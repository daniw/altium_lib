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DE13E444-1165-420B-B97C-9531FBBF0995}" xr6:coauthVersionLast="47" xr6:coauthVersionMax="47" xr10:uidLastSave="{00000000-0000-0000-0000-000000000000}"/>
  <bookViews>
    <workbookView xWindow="-120" yWindow="-120" windowWidth="29040" windowHeight="17325" activeTab="7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9" i="10" l="1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23" i="10"/>
  <c r="G7" i="12"/>
  <c r="G186" i="4"/>
  <c r="G342" i="7"/>
  <c r="G530" i="7"/>
  <c r="AB530" i="7"/>
  <c r="G701" i="7"/>
  <c r="G90" i="8"/>
  <c r="G206" i="10"/>
  <c r="G207" i="10"/>
  <c r="G208" i="10"/>
  <c r="G210" i="10"/>
  <c r="G209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2" i="10"/>
  <c r="G98" i="8"/>
  <c r="G185" i="4"/>
  <c r="G22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21" i="10"/>
  <c r="G221" i="10"/>
  <c r="I220" i="10"/>
  <c r="G220" i="10"/>
  <c r="I219" i="10"/>
  <c r="G21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4" i="10"/>
  <c r="G216" i="10"/>
  <c r="G218" i="10"/>
  <c r="G217" i="10"/>
  <c r="G215" i="10"/>
  <c r="G213" i="10"/>
  <c r="G211" i="10"/>
  <c r="G2" i="10"/>
  <c r="G1398" i="7"/>
  <c r="I1426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116" i="10"/>
  <c r="G117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8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7" i="8"/>
  <c r="G186" i="8"/>
  <c r="G1392" i="7"/>
  <c r="G185" i="8"/>
  <c r="G184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3" i="8"/>
  <c r="G18" i="4"/>
  <c r="G17" i="4"/>
  <c r="G1388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<sst xmlns="http://schemas.openxmlformats.org/spreadsheetml/2006/main" count="58931" uniqueCount="16780">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</sst>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W209" sqref="W209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16762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16763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16764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C154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16754</v>
      </c>
      <c r="B173" t="s">
        <v>16754</v>
      </c>
      <c r="C173" t="s">
        <v>16755</v>
      </c>
      <c r="D173" t="s">
        <v>21</v>
      </c>
      <c r="E173" s="14" t="s">
        <v>6449</v>
      </c>
      <c r="F173" t="s">
        <v>16756</v>
      </c>
      <c r="G173" t="str">
        <f>Config!$B$4</f>
        <v>SCH/C_IEC.SchLib</v>
      </c>
      <c r="H173" t="s">
        <v>425</v>
      </c>
      <c r="I173" t="s">
        <v>461</v>
      </c>
      <c r="J173" t="s">
        <v>16757</v>
      </c>
      <c r="K173" s="3">
        <v>1.9999999999999999E-11</v>
      </c>
      <c r="L173" t="s">
        <v>16758</v>
      </c>
      <c r="M173" t="s">
        <v>1032</v>
      </c>
      <c r="N173" t="s">
        <v>16759</v>
      </c>
      <c r="O173" t="s">
        <v>25</v>
      </c>
      <c r="P173" t="s">
        <v>16760</v>
      </c>
      <c r="U173" t="s">
        <v>1032</v>
      </c>
      <c r="V173" t="s">
        <v>16759</v>
      </c>
      <c r="W173" t="s">
        <v>4559</v>
      </c>
      <c r="X173" t="s">
        <v>16761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16765</v>
      </c>
      <c r="W575" t="s">
        <v>4559</v>
      </c>
      <c r="X575" t="s">
        <v>16766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4"/>
  <sheetViews>
    <sheetView tabSelected="1" zoomScale="85" zoomScaleNormal="85" workbookViewId="0">
      <pane xSplit="2" ySplit="1" topLeftCell="C56" activePane="bottomRight" state="frozen"/>
      <selection pane="topRight" activeCell="C1" sqref="C1"/>
      <selection pane="bottomLeft" activeCell="A2" sqref="A2"/>
      <selection pane="bottomRight" activeCell="A79" sqref="A79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16775</v>
      </c>
      <c r="B78" t="s">
        <v>13413</v>
      </c>
      <c r="C78" t="s">
        <v>16776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16774</v>
      </c>
      <c r="L78" s="1" t="s">
        <v>13497</v>
      </c>
      <c r="N78" t="s">
        <v>16770</v>
      </c>
      <c r="O78" t="s">
        <v>16771</v>
      </c>
      <c r="P78" t="s">
        <v>25</v>
      </c>
      <c r="Q78" t="s">
        <v>16772</v>
      </c>
    </row>
    <row r="79" spans="1:17" ht="15.75">
      <c r="A79" t="s">
        <v>16778</v>
      </c>
      <c r="B79" t="s">
        <v>16779</v>
      </c>
      <c r="C79" t="s">
        <v>16777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16773</v>
      </c>
      <c r="L79" s="1" t="s">
        <v>13497</v>
      </c>
      <c r="N79" t="s">
        <v>16767</v>
      </c>
      <c r="O79" t="s">
        <v>16768</v>
      </c>
      <c r="P79" t="s">
        <v>25</v>
      </c>
      <c r="Q79" t="s">
        <v>16769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12325</v>
      </c>
      <c r="B138" t="s">
        <v>12325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12333</v>
      </c>
    </row>
    <row r="139" spans="1:17" ht="15.75">
      <c r="A139" t="s">
        <v>12326</v>
      </c>
      <c r="B139" t="s">
        <v>12326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12334</v>
      </c>
      <c r="P139" t="s">
        <v>8459</v>
      </c>
      <c r="Q139">
        <v>14021779</v>
      </c>
    </row>
    <row r="140" spans="1:17" ht="15.75">
      <c r="A140" t="s">
        <v>12327</v>
      </c>
      <c r="B140" t="s">
        <v>12327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12335</v>
      </c>
      <c r="P140" t="s">
        <v>8459</v>
      </c>
      <c r="Q140">
        <v>14021780</v>
      </c>
    </row>
    <row r="141" spans="1:17" ht="15.75">
      <c r="A141" t="s">
        <v>12328</v>
      </c>
      <c r="B141" t="s">
        <v>12328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12336</v>
      </c>
      <c r="P141" t="s">
        <v>8459</v>
      </c>
      <c r="Q141">
        <v>14021781</v>
      </c>
    </row>
    <row r="142" spans="1:17" ht="15.75">
      <c r="A142" t="s">
        <v>12329</v>
      </c>
      <c r="B142" t="s">
        <v>12329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12337</v>
      </c>
    </row>
    <row r="143" spans="1:17" ht="15.75">
      <c r="A143" t="s">
        <v>12330</v>
      </c>
      <c r="B143" t="s">
        <v>12330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12338</v>
      </c>
    </row>
    <row r="144" spans="1:17" ht="15.75">
      <c r="A144" t="s">
        <v>12331</v>
      </c>
      <c r="B144" t="s">
        <v>12331</v>
      </c>
      <c r="C144" t="s">
        <v>12397</v>
      </c>
      <c r="D144" t="s">
        <v>12146</v>
      </c>
      <c r="G144" t="str">
        <f>Config!$B$7</f>
        <v>SCH/Connector.SchLib</v>
      </c>
      <c r="H144" t="s">
        <v>7005</v>
      </c>
      <c r="I144" s="39"/>
      <c r="J144" s="39"/>
      <c r="L144" s="1" t="s">
        <v>13497</v>
      </c>
      <c r="M144" t="s">
        <v>12393</v>
      </c>
      <c r="N144" t="s">
        <v>12147</v>
      </c>
      <c r="O144" t="s">
        <v>12339</v>
      </c>
    </row>
    <row r="145" spans="1:17" ht="15.75">
      <c r="A145" t="s">
        <v>12332</v>
      </c>
      <c r="B145" t="s">
        <v>12332</v>
      </c>
      <c r="C145" t="s">
        <v>12397</v>
      </c>
      <c r="D145" t="s">
        <v>12146</v>
      </c>
      <c r="G145" t="str">
        <f>Config!$B$7</f>
        <v>SCH/Connector.SchLib</v>
      </c>
      <c r="H145" t="s">
        <v>7005</v>
      </c>
      <c r="I145" s="39"/>
      <c r="J145" s="39"/>
      <c r="L145" s="1" t="s">
        <v>13497</v>
      </c>
      <c r="M145" t="s">
        <v>12393</v>
      </c>
      <c r="N145" t="s">
        <v>12147</v>
      </c>
      <c r="O145" t="s">
        <v>12340</v>
      </c>
    </row>
    <row r="146" spans="1:17" ht="15.75">
      <c r="A146" t="s">
        <v>12341</v>
      </c>
      <c r="B146" t="s">
        <v>12341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12351</v>
      </c>
      <c r="P146" t="s">
        <v>8459</v>
      </c>
      <c r="Q146">
        <v>30223684</v>
      </c>
    </row>
    <row r="147" spans="1:17" ht="15.75">
      <c r="A147" t="s">
        <v>12342</v>
      </c>
      <c r="B147" t="s">
        <v>12342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12352</v>
      </c>
      <c r="P147" t="s">
        <v>8459</v>
      </c>
      <c r="Q147">
        <v>30136412</v>
      </c>
    </row>
    <row r="148" spans="1:17" ht="15.75">
      <c r="A148" t="s">
        <v>12343</v>
      </c>
      <c r="B148" t="s">
        <v>12343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12353</v>
      </c>
      <c r="P148" t="s">
        <v>8459</v>
      </c>
      <c r="Q148">
        <v>30136413</v>
      </c>
    </row>
    <row r="149" spans="1:17" ht="15.75">
      <c r="A149" t="s">
        <v>12344</v>
      </c>
      <c r="B149" t="s">
        <v>12344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12354</v>
      </c>
    </row>
    <row r="150" spans="1:17" ht="15.75">
      <c r="A150" t="s">
        <v>12345</v>
      </c>
      <c r="B150" t="s">
        <v>12345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12355</v>
      </c>
      <c r="P150" t="s">
        <v>8459</v>
      </c>
      <c r="Q150">
        <v>30136415</v>
      </c>
    </row>
    <row r="151" spans="1:17" ht="15.75">
      <c r="A151" t="s">
        <v>12346</v>
      </c>
      <c r="B151" t="s">
        <v>12346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12356</v>
      </c>
    </row>
    <row r="152" spans="1:17" ht="15.75">
      <c r="A152" t="s">
        <v>12347</v>
      </c>
      <c r="B152" t="s">
        <v>12347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12357</v>
      </c>
    </row>
    <row r="153" spans="1:17" ht="15.75">
      <c r="A153" t="s">
        <v>12348</v>
      </c>
      <c r="B153" t="s">
        <v>12348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12358</v>
      </c>
      <c r="P153" t="s">
        <v>8459</v>
      </c>
    </row>
    <row r="154" spans="1:17" ht="15.75">
      <c r="A154" t="s">
        <v>12349</v>
      </c>
      <c r="B154" t="s">
        <v>12349</v>
      </c>
      <c r="C154" t="s">
        <v>12398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12394</v>
      </c>
      <c r="N154" t="s">
        <v>12147</v>
      </c>
      <c r="O154" t="s">
        <v>12359</v>
      </c>
      <c r="P154" t="s">
        <v>8459</v>
      </c>
      <c r="Q154">
        <v>30223687</v>
      </c>
    </row>
    <row r="155" spans="1:17" ht="15.75">
      <c r="A155" t="s">
        <v>12350</v>
      </c>
      <c r="B155" t="s">
        <v>12350</v>
      </c>
      <c r="C155" t="s">
        <v>12398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12394</v>
      </c>
      <c r="N155" t="s">
        <v>12147</v>
      </c>
      <c r="O155" t="s">
        <v>12360</v>
      </c>
      <c r="P155" t="s">
        <v>8459</v>
      </c>
      <c r="Q155">
        <v>30223688</v>
      </c>
    </row>
    <row r="156" spans="1:17" ht="15.75">
      <c r="A156" t="s">
        <v>12361</v>
      </c>
      <c r="B156" t="s">
        <v>12361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12402</v>
      </c>
    </row>
    <row r="157" spans="1:17" ht="15.75">
      <c r="A157" t="s">
        <v>12362</v>
      </c>
      <c r="B157" t="s">
        <v>12362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12403</v>
      </c>
    </row>
    <row r="158" spans="1:17" ht="15.75">
      <c r="A158" t="s">
        <v>12363</v>
      </c>
      <c r="B158" t="s">
        <v>12363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12404</v>
      </c>
    </row>
    <row r="159" spans="1:17" ht="15.75">
      <c r="A159" t="s">
        <v>12364</v>
      </c>
      <c r="B159" t="s">
        <v>12364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12405</v>
      </c>
    </row>
    <row r="160" spans="1:17" ht="15.75">
      <c r="A160" t="s">
        <v>12365</v>
      </c>
      <c r="B160" t="s">
        <v>12365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12406</v>
      </c>
    </row>
    <row r="161" spans="1:17" ht="15.75">
      <c r="A161" t="s">
        <v>12366</v>
      </c>
      <c r="B161" t="s">
        <v>12366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12407</v>
      </c>
    </row>
    <row r="162" spans="1:17" ht="15.75">
      <c r="A162" t="s">
        <v>12367</v>
      </c>
      <c r="B162" t="s">
        <v>12367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12408</v>
      </c>
    </row>
    <row r="163" spans="1:17" ht="15.75">
      <c r="A163" t="s">
        <v>12368</v>
      </c>
      <c r="B163" t="s">
        <v>12368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12409</v>
      </c>
      <c r="P163" t="s">
        <v>8459</v>
      </c>
      <c r="Q163">
        <v>30223530</v>
      </c>
    </row>
    <row r="164" spans="1:17" ht="15.75">
      <c r="A164" t="s">
        <v>12369</v>
      </c>
      <c r="B164" t="s">
        <v>12369</v>
      </c>
      <c r="C164" t="s">
        <v>12399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12477</v>
      </c>
      <c r="N164" t="s">
        <v>12147</v>
      </c>
      <c r="O164" t="s">
        <v>12410</v>
      </c>
      <c r="P164" t="s">
        <v>8459</v>
      </c>
      <c r="Q164">
        <v>30223531</v>
      </c>
    </row>
    <row r="165" spans="1:17" ht="15.75">
      <c r="A165" t="s">
        <v>12370</v>
      </c>
      <c r="B165" t="s">
        <v>12370</v>
      </c>
      <c r="C165" t="s">
        <v>12399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12477</v>
      </c>
      <c r="N165" t="s">
        <v>12147</v>
      </c>
      <c r="O165" t="s">
        <v>12411</v>
      </c>
      <c r="P165" t="s">
        <v>8459</v>
      </c>
    </row>
    <row r="166" spans="1:17" ht="15.75">
      <c r="A166" t="s">
        <v>12371</v>
      </c>
      <c r="B166" t="s">
        <v>12371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12412</v>
      </c>
      <c r="P166" t="s">
        <v>8459</v>
      </c>
      <c r="Q166">
        <v>30136211</v>
      </c>
    </row>
    <row r="167" spans="1:17" ht="15.75">
      <c r="A167" t="s">
        <v>12372</v>
      </c>
      <c r="B167" t="s">
        <v>12372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12413</v>
      </c>
      <c r="P167" t="s">
        <v>8459</v>
      </c>
      <c r="Q167">
        <v>14021753</v>
      </c>
    </row>
    <row r="168" spans="1:17" ht="15.75">
      <c r="A168" t="s">
        <v>12373</v>
      </c>
      <c r="B168" t="s">
        <v>12373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12414</v>
      </c>
      <c r="P168" t="s">
        <v>8459</v>
      </c>
      <c r="Q168">
        <v>14021754</v>
      </c>
    </row>
    <row r="169" spans="1:17" ht="15.75">
      <c r="A169" t="s">
        <v>12374</v>
      </c>
      <c r="B169" t="s">
        <v>12374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12415</v>
      </c>
      <c r="P169" t="s">
        <v>8459</v>
      </c>
      <c r="Q169">
        <v>14021757</v>
      </c>
    </row>
    <row r="170" spans="1:17" ht="15.75">
      <c r="A170" t="s">
        <v>12375</v>
      </c>
      <c r="B170" t="s">
        <v>12375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12416</v>
      </c>
      <c r="P170" t="s">
        <v>8459</v>
      </c>
      <c r="Q170">
        <v>14021755</v>
      </c>
    </row>
    <row r="171" spans="1:17" ht="15.75">
      <c r="A171" t="s">
        <v>12376</v>
      </c>
      <c r="B171" t="s">
        <v>12376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12417</v>
      </c>
      <c r="P171" t="s">
        <v>8459</v>
      </c>
      <c r="Q171">
        <v>14021756</v>
      </c>
    </row>
    <row r="172" spans="1:17" ht="15.75">
      <c r="A172" t="s">
        <v>12377</v>
      </c>
      <c r="B172" t="s">
        <v>12377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12418</v>
      </c>
    </row>
    <row r="173" spans="1:17" ht="15.75">
      <c r="A173" t="s">
        <v>12378</v>
      </c>
      <c r="B173" t="s">
        <v>12378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12419</v>
      </c>
      <c r="P173" t="s">
        <v>8459</v>
      </c>
      <c r="Q173">
        <v>30136213</v>
      </c>
    </row>
    <row r="174" spans="1:17" ht="15.75">
      <c r="A174" t="s">
        <v>12379</v>
      </c>
      <c r="B174" t="s">
        <v>12379</v>
      </c>
      <c r="C174" t="s">
        <v>12400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12478</v>
      </c>
      <c r="N174" t="s">
        <v>12147</v>
      </c>
      <c r="O174" t="s">
        <v>12420</v>
      </c>
    </row>
    <row r="175" spans="1:17" ht="15.75">
      <c r="A175" t="s">
        <v>12380</v>
      </c>
      <c r="B175" t="s">
        <v>12380</v>
      </c>
      <c r="C175" t="s">
        <v>12400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12478</v>
      </c>
      <c r="N175" t="s">
        <v>12147</v>
      </c>
      <c r="O175" t="s">
        <v>12421</v>
      </c>
    </row>
    <row r="176" spans="1:17" ht="15.75">
      <c r="A176" t="s">
        <v>12381</v>
      </c>
      <c r="B176" t="s">
        <v>12381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12422</v>
      </c>
      <c r="P176" t="s">
        <v>8459</v>
      </c>
      <c r="Q176">
        <v>14021809</v>
      </c>
    </row>
    <row r="177" spans="1:17" ht="15.75">
      <c r="A177" t="s">
        <v>12382</v>
      </c>
      <c r="B177" t="s">
        <v>12382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12423</v>
      </c>
      <c r="P177" t="s">
        <v>8459</v>
      </c>
      <c r="Q177">
        <v>14021804</v>
      </c>
    </row>
    <row r="178" spans="1:17" ht="15.75">
      <c r="A178" t="s">
        <v>12383</v>
      </c>
      <c r="B178" t="s">
        <v>12383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12424</v>
      </c>
      <c r="P178" t="s">
        <v>8459</v>
      </c>
      <c r="Q178">
        <v>14021805</v>
      </c>
    </row>
    <row r="179" spans="1:17" ht="15.75">
      <c r="A179" t="s">
        <v>12384</v>
      </c>
      <c r="B179" t="s">
        <v>12384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12425</v>
      </c>
      <c r="P179" t="s">
        <v>8459</v>
      </c>
      <c r="Q179">
        <v>14021808</v>
      </c>
    </row>
    <row r="180" spans="1:17" ht="15.75">
      <c r="A180" t="s">
        <v>12385</v>
      </c>
      <c r="B180" t="s">
        <v>12385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12426</v>
      </c>
    </row>
    <row r="181" spans="1:17" ht="15.75">
      <c r="A181" t="s">
        <v>12386</v>
      </c>
      <c r="B181" t="s">
        <v>12386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12427</v>
      </c>
    </row>
    <row r="182" spans="1:17" ht="15.75">
      <c r="A182" t="s">
        <v>12387</v>
      </c>
      <c r="B182" t="s">
        <v>12387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12428</v>
      </c>
    </row>
    <row r="183" spans="1:17" ht="15.75">
      <c r="A183" t="s">
        <v>12388</v>
      </c>
      <c r="B183" t="s">
        <v>12388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12429</v>
      </c>
    </row>
    <row r="184" spans="1:17" ht="15.75">
      <c r="A184" t="s">
        <v>12389</v>
      </c>
      <c r="B184" t="s">
        <v>12389</v>
      </c>
      <c r="C184" t="s">
        <v>12401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12479</v>
      </c>
      <c r="N184" t="s">
        <v>12147</v>
      </c>
      <c r="O184" t="s">
        <v>12430</v>
      </c>
    </row>
    <row r="185" spans="1:17" ht="15.75">
      <c r="A185" t="s">
        <v>12390</v>
      </c>
      <c r="B185" t="s">
        <v>12390</v>
      </c>
      <c r="C185" t="s">
        <v>12401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12479</v>
      </c>
      <c r="N185" t="s">
        <v>12147</v>
      </c>
      <c r="O185" t="s">
        <v>12431</v>
      </c>
    </row>
    <row r="186" spans="1:17" ht="15.75">
      <c r="A186" t="s">
        <v>12455</v>
      </c>
      <c r="B186" t="s">
        <v>12455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12433</v>
      </c>
    </row>
    <row r="187" spans="1:17" ht="15.75">
      <c r="A187" t="s">
        <v>12456</v>
      </c>
      <c r="B187" t="s">
        <v>12456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12434</v>
      </c>
      <c r="P187" t="s">
        <v>8459</v>
      </c>
      <c r="Q187">
        <v>30136393</v>
      </c>
    </row>
    <row r="188" spans="1:17" ht="15.75">
      <c r="A188" t="s">
        <v>12457</v>
      </c>
      <c r="B188" t="s">
        <v>12457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12435</v>
      </c>
      <c r="P188" t="s">
        <v>8459</v>
      </c>
      <c r="Q188">
        <v>30136394</v>
      </c>
    </row>
    <row r="189" spans="1:17" ht="15.75">
      <c r="A189" t="s">
        <v>12458</v>
      </c>
      <c r="B189" t="s">
        <v>12458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12436</v>
      </c>
      <c r="P189" t="s">
        <v>8459</v>
      </c>
      <c r="Q189">
        <v>30136395</v>
      </c>
    </row>
    <row r="190" spans="1:17" ht="15.75">
      <c r="A190" t="s">
        <v>12459</v>
      </c>
      <c r="B190" t="s">
        <v>12459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12437</v>
      </c>
      <c r="P190" t="s">
        <v>8459</v>
      </c>
      <c r="Q190">
        <v>30136396</v>
      </c>
    </row>
    <row r="191" spans="1:17" ht="15.75">
      <c r="A191" t="s">
        <v>12460</v>
      </c>
      <c r="B191" t="s">
        <v>12460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12438</v>
      </c>
    </row>
    <row r="192" spans="1:17" ht="15.75">
      <c r="A192" t="s">
        <v>12461</v>
      </c>
      <c r="B192" t="s">
        <v>12461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12439</v>
      </c>
    </row>
    <row r="193" spans="1:17" ht="15.75">
      <c r="A193" t="s">
        <v>12462</v>
      </c>
      <c r="B193" t="s">
        <v>12462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12440</v>
      </c>
      <c r="P193" t="s">
        <v>8459</v>
      </c>
      <c r="Q193">
        <v>30136399</v>
      </c>
    </row>
    <row r="194" spans="1:17" ht="15.75">
      <c r="A194" t="s">
        <v>12463</v>
      </c>
      <c r="B194" t="s">
        <v>12463</v>
      </c>
      <c r="C194" t="s">
        <v>12476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12432</v>
      </c>
      <c r="N194" t="s">
        <v>12147</v>
      </c>
      <c r="O194" t="s">
        <v>12441</v>
      </c>
      <c r="P194" t="s">
        <v>8459</v>
      </c>
      <c r="Q194">
        <v>30136400</v>
      </c>
    </row>
    <row r="195" spans="1:17" ht="15.75">
      <c r="A195" t="s">
        <v>12464</v>
      </c>
      <c r="B195" t="s">
        <v>12464</v>
      </c>
      <c r="C195" t="s">
        <v>12476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12432</v>
      </c>
      <c r="N195" t="s">
        <v>12147</v>
      </c>
      <c r="O195" t="s">
        <v>12442</v>
      </c>
    </row>
    <row r="196" spans="1:17" ht="15.75">
      <c r="A196" t="s">
        <v>12465</v>
      </c>
      <c r="B196" t="s">
        <v>12465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12443</v>
      </c>
    </row>
    <row r="197" spans="1:17" ht="15.75">
      <c r="A197" t="s">
        <v>12467</v>
      </c>
      <c r="B197" t="s">
        <v>12467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12444</v>
      </c>
      <c r="P197" t="s">
        <v>8459</v>
      </c>
      <c r="Q197">
        <v>30136403</v>
      </c>
    </row>
    <row r="198" spans="1:17" ht="15.75">
      <c r="A198" t="s">
        <v>12468</v>
      </c>
      <c r="B198" t="s">
        <v>12468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12445</v>
      </c>
      <c r="P198" t="s">
        <v>8459</v>
      </c>
      <c r="Q198">
        <v>30136404</v>
      </c>
    </row>
    <row r="199" spans="1:17" ht="15.75">
      <c r="A199" t="s">
        <v>12469</v>
      </c>
      <c r="B199" t="s">
        <v>12469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12446</v>
      </c>
      <c r="P199" t="s">
        <v>8459</v>
      </c>
      <c r="Q199">
        <v>30136405</v>
      </c>
    </row>
    <row r="200" spans="1:17" ht="15.75">
      <c r="A200" t="s">
        <v>12470</v>
      </c>
      <c r="B200" t="s">
        <v>12470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12447</v>
      </c>
    </row>
    <row r="201" spans="1:17" ht="15.75">
      <c r="A201" t="s">
        <v>12471</v>
      </c>
      <c r="B201" t="s">
        <v>12471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12448</v>
      </c>
    </row>
    <row r="202" spans="1:17" ht="15.75">
      <c r="A202" t="s">
        <v>12472</v>
      </c>
      <c r="B202" t="s">
        <v>12472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12449</v>
      </c>
    </row>
    <row r="203" spans="1:17" ht="15.75">
      <c r="A203" t="s">
        <v>12473</v>
      </c>
      <c r="B203" t="s">
        <v>12473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12450</v>
      </c>
      <c r="P203" t="s">
        <v>8459</v>
      </c>
      <c r="Q203">
        <v>30136409</v>
      </c>
    </row>
    <row r="204" spans="1:17" ht="15.75">
      <c r="A204" t="s">
        <v>12474</v>
      </c>
      <c r="B204" t="s">
        <v>12474</v>
      </c>
      <c r="C204" t="s">
        <v>12466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12454</v>
      </c>
      <c r="N204" t="s">
        <v>12147</v>
      </c>
      <c r="O204" t="s">
        <v>12451</v>
      </c>
      <c r="P204" t="s">
        <v>8459</v>
      </c>
      <c r="Q204">
        <v>30136410</v>
      </c>
    </row>
    <row r="205" spans="1:17" ht="15.75">
      <c r="A205" t="s">
        <v>12475</v>
      </c>
      <c r="B205" t="s">
        <v>12475</v>
      </c>
      <c r="C205" t="s">
        <v>12466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12454</v>
      </c>
      <c r="N205" t="s">
        <v>12147</v>
      </c>
      <c r="O205" t="s">
        <v>12453</v>
      </c>
    </row>
    <row r="206" spans="1:17" ht="15.75">
      <c r="A206" t="s">
        <v>14038</v>
      </c>
      <c r="B206" t="s">
        <v>14038</v>
      </c>
      <c r="C206" t="s">
        <v>14039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14038</v>
      </c>
      <c r="L206" s="1" t="s">
        <v>13497</v>
      </c>
    </row>
    <row r="207" spans="1:17" ht="15.75">
      <c r="A207" t="s">
        <v>14036</v>
      </c>
      <c r="B207" t="s">
        <v>14036</v>
      </c>
      <c r="C207" t="s">
        <v>14037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14036</v>
      </c>
      <c r="L207" s="1" t="s">
        <v>13497</v>
      </c>
    </row>
    <row r="208" spans="1:17" ht="15.75">
      <c r="A208" t="s">
        <v>14034</v>
      </c>
      <c r="B208" t="s">
        <v>14034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14034</v>
      </c>
      <c r="L208" s="1" t="s">
        <v>13497</v>
      </c>
    </row>
    <row r="209" spans="1:26" ht="15.75">
      <c r="A209" t="s">
        <v>14030</v>
      </c>
      <c r="B209" t="s">
        <v>14030</v>
      </c>
      <c r="C209" t="s">
        <v>14032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14030</v>
      </c>
      <c r="L209" s="1" t="s">
        <v>13497</v>
      </c>
    </row>
    <row r="210" spans="1:26" ht="15.75">
      <c r="A210" t="s">
        <v>14031</v>
      </c>
      <c r="B210" t="s">
        <v>14031</v>
      </c>
      <c r="C210" t="s">
        <v>14033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14031</v>
      </c>
      <c r="L210" s="1" t="s">
        <v>13497</v>
      </c>
    </row>
    <row r="211" spans="1:26" ht="15.75">
      <c r="A211" t="s">
        <v>12715</v>
      </c>
      <c r="B211" t="s">
        <v>12715</v>
      </c>
      <c r="C211" t="s">
        <v>12720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12715</v>
      </c>
      <c r="L211" s="1" t="s">
        <v>13497</v>
      </c>
    </row>
    <row r="212" spans="1:26" ht="15.75">
      <c r="A212" t="s">
        <v>13384</v>
      </c>
      <c r="B212" t="s">
        <v>13384</v>
      </c>
      <c r="C212" t="s">
        <v>13385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13384</v>
      </c>
      <c r="L212" s="1" t="s">
        <v>13497</v>
      </c>
    </row>
    <row r="213" spans="1:26" ht="15.75">
      <c r="A213" t="s">
        <v>12716</v>
      </c>
      <c r="B213" t="s">
        <v>12716</v>
      </c>
      <c r="C213" t="s">
        <v>12721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12716</v>
      </c>
      <c r="L213" s="1" t="s">
        <v>13497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13497</v>
      </c>
    </row>
    <row r="215" spans="1:26" ht="15.75">
      <c r="A215" t="s">
        <v>12717</v>
      </c>
      <c r="B215" t="s">
        <v>12717</v>
      </c>
      <c r="C215" t="s">
        <v>12722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12717</v>
      </c>
      <c r="L215" s="1" t="s">
        <v>13497</v>
      </c>
    </row>
    <row r="216" spans="1:26" ht="15.75">
      <c r="A216" t="s">
        <v>12725</v>
      </c>
      <c r="B216" t="s">
        <v>12725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12725</v>
      </c>
      <c r="L216" s="1" t="s">
        <v>13497</v>
      </c>
    </row>
    <row r="217" spans="1:26" ht="15.75">
      <c r="A217" t="s">
        <v>12718</v>
      </c>
      <c r="B217" t="s">
        <v>12718</v>
      </c>
      <c r="C217" t="s">
        <v>12723</v>
      </c>
      <c r="D217" t="s">
        <v>21</v>
      </c>
      <c r="G217" t="str">
        <f>Config!$B$7</f>
        <v>SCH/Connector.SchLib</v>
      </c>
      <c r="H217" t="s">
        <v>6983</v>
      </c>
      <c r="I217" t="s">
        <v>6232</v>
      </c>
      <c r="J217" t="s">
        <v>12718</v>
      </c>
      <c r="L217" s="1" t="s">
        <v>13497</v>
      </c>
    </row>
    <row r="218" spans="1:26" ht="15.75">
      <c r="A218" t="s">
        <v>12719</v>
      </c>
      <c r="B218" t="s">
        <v>12719</v>
      </c>
      <c r="C218" t="s">
        <v>12724</v>
      </c>
      <c r="D218" t="s">
        <v>21</v>
      </c>
      <c r="G218" t="str">
        <f>Config!$B$7</f>
        <v>SCH/Connector.SchLib</v>
      </c>
      <c r="H218" t="s">
        <v>6983</v>
      </c>
      <c r="I218" t="s">
        <v>6232</v>
      </c>
      <c r="J218" t="s">
        <v>12719</v>
      </c>
      <c r="L218" s="1" t="s">
        <v>13497</v>
      </c>
    </row>
    <row r="219" spans="1:26" ht="15.75">
      <c r="A219" t="s">
        <v>13070</v>
      </c>
      <c r="B219">
        <v>5600200320</v>
      </c>
      <c r="C219" t="s">
        <v>13071</v>
      </c>
      <c r="D219" t="s">
        <v>6637</v>
      </c>
      <c r="G219" t="str">
        <f>Config!$B$7</f>
        <v>SCH/Connector.SchLib</v>
      </c>
      <c r="H219" t="s">
        <v>7852</v>
      </c>
      <c r="I219" t="str">
        <f>_xlfn.CONCAT(PrivateLibraryPath,"PCB/Molex.PcbLib")</f>
        <v>../altium_lib_private/PCB/Molex.PcbLib</v>
      </c>
      <c r="J219">
        <v>5600200320</v>
      </c>
      <c r="L219" s="1" t="s">
        <v>13497</v>
      </c>
      <c r="M219" t="s">
        <v>13072</v>
      </c>
      <c r="N219" t="s">
        <v>6637</v>
      </c>
      <c r="O219" s="14" t="s">
        <v>13073</v>
      </c>
      <c r="P219" t="s">
        <v>25</v>
      </c>
      <c r="Q219" t="s">
        <v>13074</v>
      </c>
      <c r="V219" t="s">
        <v>6637</v>
      </c>
      <c r="W219" s="14" t="s">
        <v>13073</v>
      </c>
      <c r="X219" t="s">
        <v>4559</v>
      </c>
      <c r="Y219" t="s">
        <v>13075</v>
      </c>
    </row>
    <row r="220" spans="1:26" ht="15.75">
      <c r="A220" t="s">
        <v>13076</v>
      </c>
      <c r="B220">
        <v>5023520300</v>
      </c>
      <c r="C220" t="s">
        <v>13077</v>
      </c>
      <c r="D220" t="s">
        <v>6637</v>
      </c>
      <c r="G220" t="str">
        <f>Config!$B$7</f>
        <v>SCH/Connector.SchLib</v>
      </c>
      <c r="H220" t="s">
        <v>7852</v>
      </c>
      <c r="I220" t="str">
        <f>_xlfn.CONCAT(PrivateLibraryPath,"PCB/Molex.PcbLib")</f>
        <v>../altium_lib_private/PCB/Molex.PcbLib</v>
      </c>
      <c r="J220">
        <v>5023520300</v>
      </c>
      <c r="L220" s="1" t="s">
        <v>13497</v>
      </c>
      <c r="M220" t="s">
        <v>13078</v>
      </c>
      <c r="N220" t="s">
        <v>6637</v>
      </c>
      <c r="O220">
        <v>5023520300</v>
      </c>
      <c r="P220" t="s">
        <v>25</v>
      </c>
      <c r="Q220" t="s">
        <v>13079</v>
      </c>
      <c r="V220" t="s">
        <v>6637</v>
      </c>
      <c r="W220">
        <v>5023520300</v>
      </c>
      <c r="X220" t="s">
        <v>4559</v>
      </c>
      <c r="Y220" t="s">
        <v>13080</v>
      </c>
    </row>
    <row r="221" spans="1:26" ht="15.75">
      <c r="A221" t="s">
        <v>13081</v>
      </c>
      <c r="B221">
        <v>5023520200</v>
      </c>
      <c r="C221" t="s">
        <v>13082</v>
      </c>
      <c r="D221" t="s">
        <v>6637</v>
      </c>
      <c r="G221" t="str">
        <f>Config!$B$7</f>
        <v>SCH/Connector.SchLib</v>
      </c>
      <c r="H221" t="s">
        <v>7005</v>
      </c>
      <c r="I221" t="str">
        <f>_xlfn.CONCAT(PrivateLibraryPath,"PCB/Molex.PcbLib")</f>
        <v>../altium_lib_private/PCB/Molex.PcbLib</v>
      </c>
      <c r="J221">
        <v>5023520200</v>
      </c>
      <c r="L221" s="1" t="s">
        <v>13497</v>
      </c>
      <c r="M221" s="28" t="s">
        <v>13084</v>
      </c>
      <c r="N221" t="s">
        <v>6637</v>
      </c>
      <c r="O221">
        <v>5023520200</v>
      </c>
      <c r="P221" t="s">
        <v>25</v>
      </c>
      <c r="Q221" t="s">
        <v>13083</v>
      </c>
      <c r="V221" t="s">
        <v>6637</v>
      </c>
      <c r="W221">
        <v>5023520200</v>
      </c>
      <c r="X221" t="s">
        <v>4559</v>
      </c>
      <c r="Y221" t="s">
        <v>13085</v>
      </c>
    </row>
    <row r="222" spans="1:26" ht="15.75">
      <c r="A222" t="s">
        <v>13305</v>
      </c>
      <c r="B222" t="s">
        <v>13306</v>
      </c>
      <c r="C222" t="s">
        <v>13307</v>
      </c>
      <c r="D222" t="s">
        <v>13045</v>
      </c>
      <c r="G222" t="str">
        <f>Config!$B$7</f>
        <v>SCH/Connector.SchLib</v>
      </c>
      <c r="H222" t="s">
        <v>13308</v>
      </c>
      <c r="I222" t="s">
        <v>7983</v>
      </c>
      <c r="J222" t="s">
        <v>13329</v>
      </c>
      <c r="L222" s="1" t="s">
        <v>13497</v>
      </c>
      <c r="M222" t="s">
        <v>13309</v>
      </c>
      <c r="N222" t="s">
        <v>13045</v>
      </c>
      <c r="O222" t="s">
        <v>13311</v>
      </c>
      <c r="P222" t="s">
        <v>25</v>
      </c>
      <c r="Q222" t="s">
        <v>13310</v>
      </c>
      <c r="V222" t="s">
        <v>13314</v>
      </c>
      <c r="W222" t="s">
        <v>13312</v>
      </c>
      <c r="X222" t="s">
        <v>4559</v>
      </c>
      <c r="Y222" t="s">
        <v>13313</v>
      </c>
    </row>
    <row r="223" spans="1:26" ht="15.75">
      <c r="A223" t="s">
        <v>14343</v>
      </c>
      <c r="B223" t="s">
        <v>14343</v>
      </c>
      <c r="C223" t="s">
        <v>14344</v>
      </c>
      <c r="D223" t="s">
        <v>6648</v>
      </c>
      <c r="G223" t="str">
        <f>Config!$B$7</f>
        <v>SCH/Connector.SchLib</v>
      </c>
      <c r="H223" t="s">
        <v>14341</v>
      </c>
      <c r="I223" t="s">
        <v>12318</v>
      </c>
      <c r="J223" t="s">
        <v>14340</v>
      </c>
      <c r="L223" s="1" t="s">
        <v>13497</v>
      </c>
      <c r="M223" t="s">
        <v>14342</v>
      </c>
      <c r="N223" t="s">
        <v>14345</v>
      </c>
      <c r="O223" t="s">
        <v>14346</v>
      </c>
      <c r="P223" t="s">
        <v>25</v>
      </c>
      <c r="Q223" t="s">
        <v>14347</v>
      </c>
      <c r="V223" t="s">
        <v>14348</v>
      </c>
      <c r="W223" t="s">
        <v>14346</v>
      </c>
      <c r="X223" t="s">
        <v>4559</v>
      </c>
      <c r="Y223" t="s">
        <v>14349</v>
      </c>
      <c r="Z223" t="s">
        <v>4727</v>
      </c>
    </row>
    <row r="224" spans="1:26" ht="15.75">
      <c r="A224" t="s">
        <v>14350</v>
      </c>
      <c r="B224" t="s">
        <v>14350</v>
      </c>
      <c r="C224" t="s">
        <v>14351</v>
      </c>
      <c r="D224" t="s">
        <v>14352</v>
      </c>
      <c r="G224" t="s">
        <v>4430</v>
      </c>
      <c r="H224" t="s">
        <v>14341</v>
      </c>
      <c r="I224" s="39"/>
      <c r="J224" s="39"/>
      <c r="L224" s="1" t="s">
        <v>13497</v>
      </c>
      <c r="M224" t="s">
        <v>14353</v>
      </c>
      <c r="N224" t="s">
        <v>12253</v>
      </c>
      <c r="O224" t="s">
        <v>14354</v>
      </c>
      <c r="P224" t="s">
        <v>25</v>
      </c>
      <c r="Q224" t="s">
        <v>14355</v>
      </c>
      <c r="V224" t="s">
        <v>14356</v>
      </c>
      <c r="W224" t="s">
        <v>14354</v>
      </c>
      <c r="X224" t="s">
        <v>4559</v>
      </c>
      <c r="Y224" t="s">
        <v>14357</v>
      </c>
      <c r="Z224" t="s">
        <v>4727</v>
      </c>
    </row>
  </sheetData>
  <phoneticPr fontId="2" type="noConversion"/>
  <conditionalFormatting sqref="G2:G22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2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2026-02-18T07:05:22Z</dcterms:modified>
</cp:coreProperties>
</file>