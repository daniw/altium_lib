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E68EDFCC-CC7B-414F-9D18-C32686A9F227}" xr6:coauthVersionLast="47" xr6:coauthVersionMax="47" xr10:uidLastSave="{00000000-0000-0000-0000-000000000000}"/>
  <bookViews>
    <workbookView xWindow="3660" yWindow="4590" windowWidth="21600" windowHeight="12495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2" l="1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<sst xmlns="http://schemas.openxmlformats.org/spreadsheetml/2006/main" count="47647" uniqueCount="14307">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</sst>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11142</v>
      </c>
      <c r="B8" t="s">
        <v>11143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8898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8899</v>
      </c>
      <c r="B2" s="16" t="s">
        <v>8899</v>
      </c>
      <c r="C2" s="16" t="s">
        <v>8900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8901</v>
      </c>
      <c r="O2" s="16" t="s">
        <v>26</v>
      </c>
      <c r="P2" s="17" t="s">
        <v>10597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13535</v>
      </c>
      <c r="W210" s="17" t="s">
        <v>4561</v>
      </c>
      <c r="X210" s="17" t="s">
        <v>13536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13534</v>
      </c>
      <c r="W221" s="16" t="s">
        <v>4561</v>
      </c>
      <c r="X221" s="8" t="s">
        <v>13533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13578</v>
      </c>
      <c r="W226" s="17" t="s">
        <v>4561</v>
      </c>
      <c r="X226" s="8" t="s">
        <v>13577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13596</v>
      </c>
      <c r="W228" s="16" t="s">
        <v>4561</v>
      </c>
      <c r="X228" s="8" t="s">
        <v>13595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13580</v>
      </c>
      <c r="W235" s="16" t="s">
        <v>4561</v>
      </c>
      <c r="X235" s="8" t="s">
        <v>13579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13570</v>
      </c>
      <c r="W266" s="16" t="s">
        <v>4561</v>
      </c>
      <c r="X266" s="8" t="s">
        <v>13569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13668</v>
      </c>
      <c r="W273" s="16" t="s">
        <v>4561</v>
      </c>
      <c r="X273" s="44" t="s">
        <v>13667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13592</v>
      </c>
      <c r="W276" s="16" t="s">
        <v>4561</v>
      </c>
      <c r="X276" s="8" t="s">
        <v>13591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13598</v>
      </c>
      <c r="W279" s="16" t="s">
        <v>4561</v>
      </c>
      <c r="X279" s="8" t="s">
        <v>13597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13590</v>
      </c>
      <c r="W280" s="16" t="s">
        <v>4561</v>
      </c>
      <c r="X280" s="8" t="s">
        <v>13589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13593</v>
      </c>
      <c r="W288" s="16" t="s">
        <v>4561</v>
      </c>
      <c r="X288" s="8" t="s">
        <v>13594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13669</v>
      </c>
      <c r="W290" s="16" t="s">
        <v>4561</v>
      </c>
      <c r="X290" s="44" t="s">
        <v>13670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13576</v>
      </c>
      <c r="W292" s="8" t="s">
        <v>4561</v>
      </c>
      <c r="X292" s="8" t="s">
        <v>13575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13581</v>
      </c>
      <c r="W294" s="16" t="s">
        <v>4561</v>
      </c>
      <c r="X294" s="8" t="s">
        <v>13582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13584</v>
      </c>
      <c r="W295" s="16" t="s">
        <v>4561</v>
      </c>
      <c r="X295" s="8" t="s">
        <v>13583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13586</v>
      </c>
      <c r="W299" s="8" t="s">
        <v>4561</v>
      </c>
      <c r="X299" s="8" t="s">
        <v>13585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13568</v>
      </c>
      <c r="W300" s="16" t="s">
        <v>4561</v>
      </c>
      <c r="X300" s="8" t="s">
        <v>13567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13588</v>
      </c>
      <c r="W302" s="16" t="s">
        <v>4561</v>
      </c>
      <c r="X302" s="8" t="s">
        <v>13587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13672</v>
      </c>
      <c r="W304" s="16" t="s">
        <v>4561</v>
      </c>
      <c r="X304" s="44" t="s">
        <v>13671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13572</v>
      </c>
      <c r="W306" s="16" t="s">
        <v>4561</v>
      </c>
      <c r="X306" s="8" t="s">
        <v>13571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13555</v>
      </c>
      <c r="W320" s="17" t="s">
        <v>4561</v>
      </c>
      <c r="X320" s="8" t="s">
        <v>13554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13566</v>
      </c>
      <c r="W337" t="s">
        <v>4561</v>
      </c>
      <c r="X337" s="8" t="s">
        <v>13565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13660</v>
      </c>
      <c r="W339" s="17" t="s">
        <v>4561</v>
      </c>
      <c r="X339" s="9" t="s">
        <v>13659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14119</v>
      </c>
      <c r="B342" s="17" t="s">
        <v>14119</v>
      </c>
      <c r="C342" s="17" t="s">
        <v>14120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14092</v>
      </c>
      <c r="M342" s="17" t="s">
        <v>478</v>
      </c>
      <c r="N342" s="17" t="s">
        <v>14121</v>
      </c>
      <c r="O342" t="s">
        <v>26</v>
      </c>
      <c r="P342" s="17" t="s">
        <v>14122</v>
      </c>
      <c r="Q342" s="17"/>
      <c r="R342" s="17"/>
      <c r="S342" s="17"/>
      <c r="T342" s="17"/>
      <c r="U342" s="17" t="s">
        <v>478</v>
      </c>
      <c r="V342" s="17" t="s">
        <v>14121</v>
      </c>
      <c r="W342" t="s">
        <v>4561</v>
      </c>
      <c r="X342" s="17" t="s">
        <v>14123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13560</v>
      </c>
      <c r="W343" t="s">
        <v>4561</v>
      </c>
      <c r="X343" s="8" t="s">
        <v>13561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13600</v>
      </c>
      <c r="W440" t="s">
        <v>4561</v>
      </c>
      <c r="X440" s="8" t="s">
        <v>13599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13563</v>
      </c>
      <c r="W473" t="s">
        <v>4561</v>
      </c>
      <c r="X473" s="8" t="s">
        <v>13564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13574</v>
      </c>
      <c r="W488" t="s">
        <v>4561</v>
      </c>
      <c r="X488" s="8" t="s">
        <v>13573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13551</v>
      </c>
      <c r="W494" t="s">
        <v>4561</v>
      </c>
      <c r="X494" s="8" t="s">
        <v>13550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13557</v>
      </c>
      <c r="W511" s="17" t="s">
        <v>4561</v>
      </c>
      <c r="X511" s="8" t="s">
        <v>13556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14098</v>
      </c>
      <c r="W512" t="s">
        <v>4561</v>
      </c>
      <c r="X512" s="17" t="s">
        <v>14099</v>
      </c>
      <c r="Y512" s="17"/>
      <c r="Z512" s="17" t="str">
        <f t="shared" si="8"/>
        <v>GPR080510M</v>
      </c>
    </row>
    <row r="513" spans="1:26">
      <c r="A513" t="s">
        <v>14100</v>
      </c>
      <c r="B513" t="s">
        <v>14100</v>
      </c>
      <c r="C513" s="17" t="s">
        <v>14102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14092</v>
      </c>
      <c r="M513" s="17" t="s">
        <v>478</v>
      </c>
      <c r="N513" s="17" t="s">
        <v>14103</v>
      </c>
      <c r="O513" t="s">
        <v>26</v>
      </c>
      <c r="P513" s="17" t="s">
        <v>14104</v>
      </c>
      <c r="Q513" s="17"/>
      <c r="R513" s="17"/>
      <c r="S513" s="17"/>
      <c r="T513" s="17"/>
      <c r="U513" s="17" t="s">
        <v>478</v>
      </c>
      <c r="V513" s="17" t="s">
        <v>14103</v>
      </c>
      <c r="W513" t="s">
        <v>4561</v>
      </c>
      <c r="X513" s="17" t="s">
        <v>14105</v>
      </c>
      <c r="Y513" s="17"/>
      <c r="Z513" t="str">
        <f t="shared" si="8"/>
        <v>GPR080510M</v>
      </c>
    </row>
    <row r="514" spans="1:26">
      <c r="A514" s="16" t="s">
        <v>8902</v>
      </c>
      <c r="B514" s="16" t="s">
        <v>8902</v>
      </c>
      <c r="C514" s="16" t="s">
        <v>8903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8904</v>
      </c>
      <c r="B515" s="17" t="s">
        <v>8904</v>
      </c>
      <c r="C515" s="17" t="s">
        <v>8905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8906</v>
      </c>
      <c r="B516" s="17" t="s">
        <v>8906</v>
      </c>
      <c r="C516" s="17" t="s">
        <v>8907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8908</v>
      </c>
      <c r="B517" s="17" t="s">
        <v>8908</v>
      </c>
      <c r="C517" s="17" t="s">
        <v>8909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8910</v>
      </c>
      <c r="B518" s="17" t="s">
        <v>8910</v>
      </c>
      <c r="C518" s="17" t="s">
        <v>8911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8912</v>
      </c>
      <c r="B519" s="17" t="s">
        <v>8912</v>
      </c>
      <c r="C519" s="17" t="s">
        <v>8913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8914</v>
      </c>
      <c r="B520" s="17" t="s">
        <v>8914</v>
      </c>
      <c r="C520" s="17" t="s">
        <v>8915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8916</v>
      </c>
      <c r="B521" s="17" t="s">
        <v>8916</v>
      </c>
      <c r="C521" s="17" t="s">
        <v>8917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8918</v>
      </c>
      <c r="B522" s="17" t="s">
        <v>8918</v>
      </c>
      <c r="C522" s="17" t="s">
        <v>8919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8920</v>
      </c>
      <c r="B523" s="17" t="s">
        <v>8920</v>
      </c>
      <c r="C523" s="17" t="s">
        <v>8921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8922</v>
      </c>
      <c r="B524" s="17" t="s">
        <v>8922</v>
      </c>
      <c r="C524" s="17" t="s">
        <v>8923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8924</v>
      </c>
      <c r="B525" s="17" t="s">
        <v>8924</v>
      </c>
      <c r="C525" s="17" t="s">
        <v>8925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8926</v>
      </c>
      <c r="B526" s="17" t="s">
        <v>8926</v>
      </c>
      <c r="C526" s="17" t="s">
        <v>8927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8928</v>
      </c>
      <c r="B527" s="17" t="s">
        <v>8928</v>
      </c>
      <c r="C527" s="17" t="s">
        <v>8929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8930</v>
      </c>
      <c r="B528" s="17" t="s">
        <v>8930</v>
      </c>
      <c r="C528" s="17" t="s">
        <v>8931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8932</v>
      </c>
      <c r="B529" s="17" t="s">
        <v>8932</v>
      </c>
      <c r="C529" s="17" t="s">
        <v>8933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8934</v>
      </c>
      <c r="B530" s="17" t="s">
        <v>8934</v>
      </c>
      <c r="C530" s="17" t="s">
        <v>8935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8936</v>
      </c>
      <c r="B531" s="17" t="s">
        <v>8936</v>
      </c>
      <c r="C531" s="17" t="s">
        <v>8937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8938</v>
      </c>
      <c r="B532" s="17" t="s">
        <v>8938</v>
      </c>
      <c r="C532" s="17" t="s">
        <v>8939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8940</v>
      </c>
      <c r="B533" s="17" t="s">
        <v>8940</v>
      </c>
      <c r="C533" s="17" t="s">
        <v>8941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8942</v>
      </c>
      <c r="B534" s="17" t="s">
        <v>8942</v>
      </c>
      <c r="C534" s="17" t="s">
        <v>8943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8944</v>
      </c>
      <c r="B535" s="17" t="s">
        <v>8944</v>
      </c>
      <c r="C535" s="17" t="s">
        <v>8945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8946</v>
      </c>
      <c r="B536" s="17" t="s">
        <v>8946</v>
      </c>
      <c r="C536" s="17" t="s">
        <v>8947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8948</v>
      </c>
      <c r="B537" s="17" t="s">
        <v>8948</v>
      </c>
      <c r="C537" s="17" t="s">
        <v>8949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8950</v>
      </c>
      <c r="B538" s="17" t="s">
        <v>8950</v>
      </c>
      <c r="C538" s="17" t="s">
        <v>8951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8952</v>
      </c>
      <c r="B539" s="17" t="s">
        <v>8952</v>
      </c>
      <c r="C539" s="17" t="s">
        <v>8953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8954</v>
      </c>
      <c r="B540" s="17" t="s">
        <v>8954</v>
      </c>
      <c r="C540" s="17" t="s">
        <v>8955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8956</v>
      </c>
      <c r="B541" s="17" t="s">
        <v>8956</v>
      </c>
      <c r="C541" s="17" t="s">
        <v>8957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8958</v>
      </c>
      <c r="B542" s="17" t="s">
        <v>8958</v>
      </c>
      <c r="C542" s="17" t="s">
        <v>8959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8960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8961</v>
      </c>
      <c r="B544" s="17" t="s">
        <v>8961</v>
      </c>
      <c r="C544" s="17" t="s">
        <v>8962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8963</v>
      </c>
      <c r="B545" s="17" t="s">
        <v>8963</v>
      </c>
      <c r="C545" s="17" t="s">
        <v>8964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8965</v>
      </c>
      <c r="B546" s="17" t="s">
        <v>8965</v>
      </c>
      <c r="C546" s="17" t="s">
        <v>8966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8967</v>
      </c>
      <c r="B547" s="17" t="s">
        <v>8967</v>
      </c>
      <c r="C547" s="17" t="s">
        <v>8968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8969</v>
      </c>
      <c r="B548" s="17" t="s">
        <v>8969</v>
      </c>
      <c r="C548" s="17" t="s">
        <v>8970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8971</v>
      </c>
      <c r="B549" s="17" t="s">
        <v>8971</v>
      </c>
      <c r="C549" s="17" t="s">
        <v>8972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8973</v>
      </c>
      <c r="B550" s="17" t="s">
        <v>8973</v>
      </c>
      <c r="C550" s="17" t="s">
        <v>8974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8975</v>
      </c>
      <c r="B551" s="17" t="s">
        <v>8975</v>
      </c>
      <c r="C551" s="17" t="s">
        <v>8976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8977</v>
      </c>
      <c r="B552" s="17" t="s">
        <v>8977</v>
      </c>
      <c r="C552" s="17" t="s">
        <v>8978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8979</v>
      </c>
      <c r="B553" s="17" t="s">
        <v>8979</v>
      </c>
      <c r="C553" s="17" t="s">
        <v>8980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8981</v>
      </c>
      <c r="B554" s="17" t="s">
        <v>8981</v>
      </c>
      <c r="C554" s="17" t="s">
        <v>8982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8983</v>
      </c>
      <c r="B555" s="17" t="s">
        <v>8983</v>
      </c>
      <c r="C555" s="17" t="s">
        <v>8984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8985</v>
      </c>
      <c r="B556" s="17" t="s">
        <v>8985</v>
      </c>
      <c r="C556" s="17" t="s">
        <v>8986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8987</v>
      </c>
      <c r="B557" s="17" t="s">
        <v>8987</v>
      </c>
      <c r="C557" s="17" t="s">
        <v>8988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8989</v>
      </c>
      <c r="B558" s="17" t="s">
        <v>8989</v>
      </c>
      <c r="C558" s="17" t="s">
        <v>8990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8991</v>
      </c>
      <c r="B559" s="17" t="s">
        <v>8991</v>
      </c>
      <c r="C559" s="17" t="s">
        <v>8992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8993</v>
      </c>
      <c r="B560" s="17" t="s">
        <v>8993</v>
      </c>
      <c r="C560" s="17" t="s">
        <v>8994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8995</v>
      </c>
      <c r="B561" s="17" t="s">
        <v>8995</v>
      </c>
      <c r="C561" s="17" t="s">
        <v>8996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8997</v>
      </c>
      <c r="B562" s="17" t="s">
        <v>8997</v>
      </c>
      <c r="C562" s="17" t="s">
        <v>8998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8999</v>
      </c>
      <c r="B563" s="17" t="s">
        <v>8999</v>
      </c>
      <c r="C563" s="17" t="s">
        <v>9000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12714</v>
      </c>
      <c r="O563" s="17" t="s">
        <v>26</v>
      </c>
      <c r="P563" s="17" t="s">
        <v>12715</v>
      </c>
      <c r="Q563" s="17"/>
      <c r="R563" s="17"/>
      <c r="S563" s="17"/>
      <c r="T563" s="17"/>
      <c r="U563" s="17" t="s">
        <v>4731</v>
      </c>
      <c r="V563" s="8" t="s">
        <v>13553</v>
      </c>
      <c r="W563" s="17" t="s">
        <v>4561</v>
      </c>
      <c r="X563" s="8" t="s">
        <v>13552</v>
      </c>
      <c r="Y563" s="17"/>
      <c r="Z563" s="17"/>
    </row>
    <row r="564" spans="1:26">
      <c r="A564" s="17" t="s">
        <v>9001</v>
      </c>
      <c r="B564" s="17" t="s">
        <v>9001</v>
      </c>
      <c r="C564" s="17" t="s">
        <v>9002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9003</v>
      </c>
      <c r="B565" s="17" t="s">
        <v>9003</v>
      </c>
      <c r="C565" s="17" t="s">
        <v>9004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9005</v>
      </c>
      <c r="B566" s="17" t="s">
        <v>9005</v>
      </c>
      <c r="C566" s="17" t="s">
        <v>9006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9007</v>
      </c>
      <c r="B567" s="17" t="s">
        <v>9007</v>
      </c>
      <c r="C567" s="17" t="s">
        <v>9008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9009</v>
      </c>
      <c r="B568" s="17" t="s">
        <v>9009</v>
      </c>
      <c r="C568" s="17" t="s">
        <v>9010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9011</v>
      </c>
      <c r="B569" s="17" t="s">
        <v>9011</v>
      </c>
      <c r="C569" s="17" t="s">
        <v>9012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9013</v>
      </c>
      <c r="B570" s="17" t="s">
        <v>9013</v>
      </c>
      <c r="C570" s="17" t="s">
        <v>9014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9015</v>
      </c>
      <c r="B571" s="17" t="s">
        <v>9015</v>
      </c>
      <c r="C571" s="17" t="s">
        <v>9016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9017</v>
      </c>
      <c r="B572" s="17" t="s">
        <v>9017</v>
      </c>
      <c r="C572" s="17" t="s">
        <v>9018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9019</v>
      </c>
      <c r="B573" s="17" t="s">
        <v>9019</v>
      </c>
      <c r="C573" s="17" t="s">
        <v>9020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9021</v>
      </c>
      <c r="B574" s="17" t="s">
        <v>9021</v>
      </c>
      <c r="C574" s="17" t="s">
        <v>9022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9023</v>
      </c>
      <c r="B575" s="17" t="s">
        <v>9023</v>
      </c>
      <c r="C575" s="17" t="s">
        <v>9024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9025</v>
      </c>
      <c r="B576" s="17" t="s">
        <v>9025</v>
      </c>
      <c r="C576" s="17" t="s">
        <v>9026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9027</v>
      </c>
      <c r="B577" s="17" t="s">
        <v>9027</v>
      </c>
      <c r="C577" s="17" t="s">
        <v>9028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9029</v>
      </c>
      <c r="B578" s="17" t="s">
        <v>9029</v>
      </c>
      <c r="C578" s="17" t="s">
        <v>9030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9031</v>
      </c>
      <c r="B579" s="17" t="s">
        <v>9031</v>
      </c>
      <c r="C579" s="17" t="s">
        <v>9032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9033</v>
      </c>
      <c r="B580" s="17" t="s">
        <v>9033</v>
      </c>
      <c r="C580" s="17" t="s">
        <v>9034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9035</v>
      </c>
      <c r="B581" s="17" t="s">
        <v>9035</v>
      </c>
      <c r="C581" s="17" t="s">
        <v>9036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9037</v>
      </c>
      <c r="B582" s="17" t="s">
        <v>9037</v>
      </c>
      <c r="C582" s="17" t="s">
        <v>9038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9039</v>
      </c>
      <c r="B583" s="17" t="s">
        <v>9039</v>
      </c>
      <c r="C583" s="17" t="s">
        <v>9040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9041</v>
      </c>
      <c r="B584" s="17" t="s">
        <v>9041</v>
      </c>
      <c r="C584" s="17" t="s">
        <v>9042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9043</v>
      </c>
      <c r="B585" s="17" t="s">
        <v>9043</v>
      </c>
      <c r="C585" s="17" t="s">
        <v>9044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9045</v>
      </c>
      <c r="B586" s="17" t="s">
        <v>9045</v>
      </c>
      <c r="C586" s="17" t="s">
        <v>9046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9047</v>
      </c>
      <c r="B587" s="17" t="s">
        <v>9047</v>
      </c>
      <c r="C587" s="17" t="s">
        <v>9048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9049</v>
      </c>
      <c r="B588" s="17" t="s">
        <v>9049</v>
      </c>
      <c r="C588" s="17" t="s">
        <v>9050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9051</v>
      </c>
      <c r="B589" s="17" t="s">
        <v>9051</v>
      </c>
      <c r="C589" s="17" t="s">
        <v>9052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9053</v>
      </c>
      <c r="B590" s="17" t="s">
        <v>9053</v>
      </c>
      <c r="C590" s="17" t="s">
        <v>9054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9055</v>
      </c>
      <c r="B591" s="17" t="s">
        <v>9055</v>
      </c>
      <c r="C591" s="17" t="s">
        <v>9056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9057</v>
      </c>
      <c r="B592" s="17" t="s">
        <v>9057</v>
      </c>
      <c r="C592" s="17" t="s">
        <v>9058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9059</v>
      </c>
      <c r="B593" s="17" t="s">
        <v>9059</v>
      </c>
      <c r="C593" s="17" t="s">
        <v>9060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9061</v>
      </c>
      <c r="B594" s="17" t="s">
        <v>9061</v>
      </c>
      <c r="C594" s="17" t="s">
        <v>9062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9063</v>
      </c>
      <c r="B595" s="17" t="s">
        <v>9063</v>
      </c>
      <c r="C595" s="17" t="s">
        <v>9064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9065</v>
      </c>
      <c r="B596" s="17" t="s">
        <v>9065</v>
      </c>
      <c r="C596" s="17" t="s">
        <v>9066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9067</v>
      </c>
      <c r="B597" s="17" t="s">
        <v>9067</v>
      </c>
      <c r="C597" s="17" t="s">
        <v>9068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9069</v>
      </c>
      <c r="B598" s="17" t="s">
        <v>9069</v>
      </c>
      <c r="C598" s="17" t="s">
        <v>9070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9071</v>
      </c>
      <c r="B599" s="17" t="s">
        <v>9071</v>
      </c>
      <c r="C599" s="17" t="s">
        <v>9072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9073</v>
      </c>
      <c r="B600" s="17" t="s">
        <v>9073</v>
      </c>
      <c r="C600" s="17" t="s">
        <v>9074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9075</v>
      </c>
      <c r="B601" s="17" t="s">
        <v>9075</v>
      </c>
      <c r="C601" s="17" t="s">
        <v>9076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9077</v>
      </c>
      <c r="B602" s="17" t="s">
        <v>9077</v>
      </c>
      <c r="C602" s="17" t="s">
        <v>9078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9079</v>
      </c>
      <c r="B603" s="17" t="s">
        <v>9079</v>
      </c>
      <c r="C603" s="17" t="s">
        <v>9080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9081</v>
      </c>
      <c r="B604" s="17" t="s">
        <v>9081</v>
      </c>
      <c r="C604" s="17" t="s">
        <v>9082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9083</v>
      </c>
      <c r="B605" s="17" t="s">
        <v>9083</v>
      </c>
      <c r="C605" s="17" t="s">
        <v>9084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9085</v>
      </c>
      <c r="B606" s="17" t="s">
        <v>9085</v>
      </c>
      <c r="C606" s="17" t="s">
        <v>9086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9087</v>
      </c>
      <c r="B607" s="17" t="s">
        <v>9087</v>
      </c>
      <c r="C607" s="17" t="s">
        <v>9088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9089</v>
      </c>
      <c r="B608" s="17" t="s">
        <v>9089</v>
      </c>
      <c r="C608" s="17" t="s">
        <v>9090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9091</v>
      </c>
      <c r="B609" s="17" t="s">
        <v>9091</v>
      </c>
      <c r="C609" s="17" t="s">
        <v>9092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9093</v>
      </c>
      <c r="B610" s="17" t="s">
        <v>9093</v>
      </c>
      <c r="C610" s="17" t="s">
        <v>9094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9095</v>
      </c>
      <c r="B611" s="17" t="s">
        <v>9095</v>
      </c>
      <c r="C611" s="17" t="s">
        <v>9096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9097</v>
      </c>
      <c r="B612" s="17" t="s">
        <v>9097</v>
      </c>
      <c r="C612" s="17" t="s">
        <v>9098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9099</v>
      </c>
      <c r="B613" s="17" t="s">
        <v>9099</v>
      </c>
      <c r="C613" s="17" t="s">
        <v>9100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9101</v>
      </c>
      <c r="B614" s="17" t="s">
        <v>9101</v>
      </c>
      <c r="C614" s="17" t="s">
        <v>9102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9103</v>
      </c>
      <c r="B615" s="17" t="s">
        <v>9103</v>
      </c>
      <c r="C615" s="17" t="s">
        <v>9104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9105</v>
      </c>
      <c r="B616" s="17" t="s">
        <v>9105</v>
      </c>
      <c r="C616" s="17" t="s">
        <v>9106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9107</v>
      </c>
      <c r="B617" s="17" t="s">
        <v>9107</v>
      </c>
      <c r="C617" s="17" t="s">
        <v>9108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9109</v>
      </c>
      <c r="B618" s="17" t="s">
        <v>9109</v>
      </c>
      <c r="C618" s="17" t="s">
        <v>9110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9111</v>
      </c>
      <c r="B619" s="17" t="s">
        <v>9111</v>
      </c>
      <c r="C619" s="17" t="s">
        <v>9112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9113</v>
      </c>
      <c r="B620" s="17" t="s">
        <v>9113</v>
      </c>
      <c r="C620" s="17" t="s">
        <v>9114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9115</v>
      </c>
      <c r="B621" s="17" t="s">
        <v>9115</v>
      </c>
      <c r="C621" s="17" t="s">
        <v>9116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9117</v>
      </c>
      <c r="B622" s="17" t="s">
        <v>9117</v>
      </c>
      <c r="C622" s="17" t="s">
        <v>9118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9119</v>
      </c>
      <c r="B623" s="17" t="s">
        <v>9119</v>
      </c>
      <c r="C623" s="17" t="s">
        <v>9120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9121</v>
      </c>
      <c r="B624" s="17" t="s">
        <v>9121</v>
      </c>
      <c r="C624" s="17" t="s">
        <v>9122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9123</v>
      </c>
      <c r="B625" s="17" t="s">
        <v>9123</v>
      </c>
      <c r="C625" s="17" t="s">
        <v>9124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9125</v>
      </c>
      <c r="B626" s="17" t="s">
        <v>9125</v>
      </c>
      <c r="C626" s="17" t="s">
        <v>9126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9127</v>
      </c>
      <c r="B627" s="17" t="s">
        <v>9127</v>
      </c>
      <c r="C627" s="17" t="s">
        <v>9128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9129</v>
      </c>
      <c r="B628" s="17" t="s">
        <v>9129</v>
      </c>
      <c r="C628" s="17" t="s">
        <v>9130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9131</v>
      </c>
      <c r="B629" s="17" t="s">
        <v>9131</v>
      </c>
      <c r="C629" s="17" t="s">
        <v>9132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9133</v>
      </c>
      <c r="B630" s="17" t="s">
        <v>9133</v>
      </c>
      <c r="C630" s="17" t="s">
        <v>9134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9135</v>
      </c>
      <c r="B631" s="17" t="s">
        <v>9135</v>
      </c>
      <c r="C631" s="17" t="s">
        <v>9136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9137</v>
      </c>
      <c r="B632" s="17" t="s">
        <v>9137</v>
      </c>
      <c r="C632" s="17" t="s">
        <v>9138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9139</v>
      </c>
      <c r="B633" s="17" t="s">
        <v>9139</v>
      </c>
      <c r="C633" s="17" t="s">
        <v>9140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9141</v>
      </c>
      <c r="B634" s="17" t="s">
        <v>9141</v>
      </c>
      <c r="C634" s="17" t="s">
        <v>9142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9143</v>
      </c>
      <c r="B635" s="17" t="s">
        <v>9143</v>
      </c>
      <c r="C635" s="17" t="s">
        <v>9144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9145</v>
      </c>
      <c r="B636" s="17" t="s">
        <v>9145</v>
      </c>
      <c r="C636" s="17" t="s">
        <v>9146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9147</v>
      </c>
      <c r="B637" s="17" t="s">
        <v>9147</v>
      </c>
      <c r="C637" s="17" t="s">
        <v>9148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9149</v>
      </c>
      <c r="B638" s="17" t="s">
        <v>9149</v>
      </c>
      <c r="C638" s="17" t="s">
        <v>9150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9151</v>
      </c>
      <c r="B639" s="17" t="s">
        <v>9151</v>
      </c>
      <c r="C639" s="17" t="s">
        <v>9152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9153</v>
      </c>
      <c r="B640" s="17" t="s">
        <v>9153</v>
      </c>
      <c r="C640" s="17" t="s">
        <v>9154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9155</v>
      </c>
      <c r="B641" s="17" t="s">
        <v>9155</v>
      </c>
      <c r="C641" s="17" t="s">
        <v>9156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9157</v>
      </c>
      <c r="B642" s="17" t="s">
        <v>9157</v>
      </c>
      <c r="C642" s="17" t="s">
        <v>9158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9159</v>
      </c>
      <c r="B643" s="17" t="s">
        <v>9159</v>
      </c>
      <c r="C643" s="17" t="s">
        <v>9160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9161</v>
      </c>
      <c r="B644" s="17" t="s">
        <v>9161</v>
      </c>
      <c r="C644" s="17" t="s">
        <v>9162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9163</v>
      </c>
      <c r="B645" s="17" t="s">
        <v>9163</v>
      </c>
      <c r="C645" s="17" t="s">
        <v>9164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9165</v>
      </c>
      <c r="B646" s="17" t="s">
        <v>9165</v>
      </c>
      <c r="C646" s="17" t="s">
        <v>9166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9167</v>
      </c>
      <c r="B648" s="17" t="s">
        <v>9167</v>
      </c>
      <c r="C648" s="17" t="s">
        <v>9168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9169</v>
      </c>
      <c r="B649" s="17" t="s">
        <v>9169</v>
      </c>
      <c r="C649" s="17" t="s">
        <v>9170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9171</v>
      </c>
      <c r="B650" s="17" t="s">
        <v>9171</v>
      </c>
      <c r="C650" s="17" t="s">
        <v>9172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9173</v>
      </c>
      <c r="B651" s="17" t="s">
        <v>9173</v>
      </c>
      <c r="C651" s="17" t="s">
        <v>9174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9175</v>
      </c>
      <c r="B652" s="17" t="s">
        <v>9175</v>
      </c>
      <c r="C652" s="17" t="s">
        <v>9176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9177</v>
      </c>
      <c r="B653" s="17" t="s">
        <v>9177</v>
      </c>
      <c r="C653" s="17" t="s">
        <v>9178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9179</v>
      </c>
      <c r="B654" s="17" t="s">
        <v>9179</v>
      </c>
      <c r="C654" s="17" t="s">
        <v>9180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9181</v>
      </c>
      <c r="B655" s="17" t="s">
        <v>9181</v>
      </c>
      <c r="C655" s="17" t="s">
        <v>9182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9183</v>
      </c>
      <c r="B656" s="17" t="s">
        <v>9183</v>
      </c>
      <c r="C656" s="17" t="s">
        <v>9184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9185</v>
      </c>
      <c r="B657" s="17" t="s">
        <v>9185</v>
      </c>
      <c r="C657" s="17" t="s">
        <v>9186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9187</v>
      </c>
      <c r="B658" s="17" t="s">
        <v>9187</v>
      </c>
      <c r="C658" s="17" t="s">
        <v>9188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9189</v>
      </c>
      <c r="B659" s="17" t="s">
        <v>9189</v>
      </c>
      <c r="C659" s="17" t="s">
        <v>9190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9191</v>
      </c>
      <c r="B660" s="17" t="s">
        <v>9191</v>
      </c>
      <c r="C660" s="17" t="s">
        <v>9192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9193</v>
      </c>
      <c r="B661" s="17" t="s">
        <v>9193</v>
      </c>
      <c r="C661" s="17" t="s">
        <v>9194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9195</v>
      </c>
      <c r="B662" s="17" t="s">
        <v>9195</v>
      </c>
      <c r="C662" s="17" t="s">
        <v>9196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9197</v>
      </c>
      <c r="B663" s="17" t="s">
        <v>9197</v>
      </c>
      <c r="C663" s="17" t="s">
        <v>9198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9199</v>
      </c>
      <c r="B664" s="17" t="s">
        <v>9199</v>
      </c>
      <c r="C664" s="17" t="s">
        <v>9200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9201</v>
      </c>
      <c r="B665" s="17" t="s">
        <v>9201</v>
      </c>
      <c r="C665" s="17" t="s">
        <v>9202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9203</v>
      </c>
      <c r="B666" s="17" t="s">
        <v>9203</v>
      </c>
      <c r="C666" s="17" t="s">
        <v>9204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9205</v>
      </c>
      <c r="B667" s="17" t="s">
        <v>9205</v>
      </c>
      <c r="C667" s="17" t="s">
        <v>9206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9207</v>
      </c>
      <c r="B668" s="17" t="s">
        <v>9207</v>
      </c>
      <c r="C668" s="17" t="s">
        <v>9208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9209</v>
      </c>
      <c r="B669" s="17" t="s">
        <v>9209</v>
      </c>
      <c r="C669" s="17" t="s">
        <v>9210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9211</v>
      </c>
      <c r="B670" s="17" t="s">
        <v>9211</v>
      </c>
      <c r="C670" s="17" t="s">
        <v>9212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9213</v>
      </c>
      <c r="B671" s="17" t="s">
        <v>9213</v>
      </c>
      <c r="C671" s="17" t="s">
        <v>9214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9215</v>
      </c>
      <c r="B672" s="17" t="s">
        <v>9215</v>
      </c>
      <c r="C672" s="17" t="s">
        <v>9216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9217</v>
      </c>
      <c r="B673" s="17" t="s">
        <v>9217</v>
      </c>
      <c r="C673" s="17" t="s">
        <v>9218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9219</v>
      </c>
      <c r="B674" s="17" t="s">
        <v>9219</v>
      </c>
      <c r="C674" s="17" t="s">
        <v>9220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9221</v>
      </c>
      <c r="B675" s="17" t="s">
        <v>9221</v>
      </c>
      <c r="C675" s="17" t="s">
        <v>9222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9223</v>
      </c>
      <c r="B676" s="17" t="s">
        <v>9223</v>
      </c>
      <c r="C676" s="17" t="s">
        <v>9224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9225</v>
      </c>
      <c r="B677" s="17" t="s">
        <v>9225</v>
      </c>
      <c r="C677" s="17" t="s">
        <v>9226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9227</v>
      </c>
      <c r="B678" s="17" t="s">
        <v>9227</v>
      </c>
      <c r="C678" s="17" t="s">
        <v>9228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9229</v>
      </c>
      <c r="B679" s="17" t="s">
        <v>9229</v>
      </c>
      <c r="C679" s="17" t="s">
        <v>9230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9231</v>
      </c>
      <c r="B680" s="17" t="s">
        <v>9231</v>
      </c>
      <c r="C680" s="17" t="s">
        <v>9232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9233</v>
      </c>
      <c r="B681" s="17" t="s">
        <v>9233</v>
      </c>
      <c r="C681" s="17" t="s">
        <v>9234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9235</v>
      </c>
      <c r="B682" s="17" t="s">
        <v>9235</v>
      </c>
      <c r="C682" s="17" t="s">
        <v>9236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9237</v>
      </c>
      <c r="B683" s="17" t="s">
        <v>9237</v>
      </c>
      <c r="C683" s="17" t="s">
        <v>9238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14091</v>
      </c>
      <c r="M683" s="17" t="s">
        <v>478</v>
      </c>
      <c r="N683" s="17" t="s">
        <v>14093</v>
      </c>
      <c r="O683" t="s">
        <v>26</v>
      </c>
      <c r="P683" s="17" t="s">
        <v>14094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14090</v>
      </c>
      <c r="B684" s="17" t="s">
        <v>14090</v>
      </c>
      <c r="C684" s="17" t="s">
        <v>14101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14092</v>
      </c>
      <c r="M684" s="17" t="s">
        <v>478</v>
      </c>
      <c r="N684" s="17" t="s">
        <v>14095</v>
      </c>
      <c r="O684" t="s">
        <v>26</v>
      </c>
      <c r="P684" s="17" t="s">
        <v>14096</v>
      </c>
      <c r="Q684" s="17"/>
      <c r="R684" s="17"/>
      <c r="S684" s="17"/>
      <c r="T684" s="17"/>
      <c r="U684" s="17" t="s">
        <v>478</v>
      </c>
      <c r="V684" s="17" t="s">
        <v>14095</v>
      </c>
      <c r="W684" s="17" t="s">
        <v>4561</v>
      </c>
      <c r="X684" s="17" t="s">
        <v>14097</v>
      </c>
      <c r="Y684" t="s">
        <v>4729</v>
      </c>
      <c r="Z684" s="17"/>
    </row>
    <row r="685" spans="1:26">
      <c r="A685" s="16" t="s">
        <v>9239</v>
      </c>
      <c r="B685" s="16" t="s">
        <v>9239</v>
      </c>
      <c r="C685" s="16" t="s">
        <v>9240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12546</v>
      </c>
      <c r="K685" s="19">
        <v>0</v>
      </c>
      <c r="L685" s="17" t="s">
        <v>4824</v>
      </c>
      <c r="M685" s="17" t="s">
        <v>478</v>
      </c>
      <c r="N685" s="17" t="s">
        <v>12560</v>
      </c>
      <c r="O685" s="16" t="s">
        <v>26</v>
      </c>
      <c r="P685" s="17" t="s">
        <v>12561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9241</v>
      </c>
      <c r="B686" s="17" t="s">
        <v>9241</v>
      </c>
      <c r="C686" s="17" t="s">
        <v>9242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12546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9243</v>
      </c>
      <c r="B687" s="17" t="s">
        <v>9243</v>
      </c>
      <c r="C687" s="17" t="s">
        <v>9244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12546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9245</v>
      </c>
      <c r="B688" s="17" t="s">
        <v>9245</v>
      </c>
      <c r="C688" s="17" t="s">
        <v>9246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12546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9247</v>
      </c>
      <c r="B689" s="17" t="s">
        <v>9247</v>
      </c>
      <c r="C689" s="17" t="s">
        <v>9248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12546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9249</v>
      </c>
      <c r="B690" s="17" t="s">
        <v>9249</v>
      </c>
      <c r="C690" s="17" t="s">
        <v>9250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12546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9251</v>
      </c>
      <c r="B691" s="17" t="s">
        <v>9251</v>
      </c>
      <c r="C691" s="17" t="s">
        <v>9252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12546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9253</v>
      </c>
      <c r="B692" s="17" t="s">
        <v>9253</v>
      </c>
      <c r="C692" s="17" t="s">
        <v>9254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12546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9255</v>
      </c>
      <c r="B693" s="17" t="s">
        <v>9255</v>
      </c>
      <c r="C693" s="17" t="s">
        <v>9256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12546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9257</v>
      </c>
      <c r="B694" s="17" t="s">
        <v>9257</v>
      </c>
      <c r="C694" s="17" t="s">
        <v>9258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12546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9259</v>
      </c>
      <c r="B695" s="17" t="s">
        <v>9259</v>
      </c>
      <c r="C695" s="17" t="s">
        <v>9260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12546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9261</v>
      </c>
      <c r="B696" s="17" t="s">
        <v>9261</v>
      </c>
      <c r="C696" s="17" t="s">
        <v>9262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12546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9263</v>
      </c>
      <c r="B697" s="17" t="s">
        <v>9263</v>
      </c>
      <c r="C697" s="17" t="s">
        <v>9264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12546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9265</v>
      </c>
      <c r="B698" s="17" t="s">
        <v>9265</v>
      </c>
      <c r="C698" s="17" t="s">
        <v>9266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12546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9267</v>
      </c>
      <c r="B699" s="17" t="s">
        <v>9267</v>
      </c>
      <c r="C699" s="17" t="s">
        <v>9268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12546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9269</v>
      </c>
      <c r="B700" s="17" t="s">
        <v>9269</v>
      </c>
      <c r="C700" s="17" t="s">
        <v>9270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12546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9271</v>
      </c>
      <c r="B701" s="17" t="s">
        <v>9271</v>
      </c>
      <c r="C701" s="17" t="s">
        <v>9272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12546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9273</v>
      </c>
      <c r="B702" s="17" t="s">
        <v>9273</v>
      </c>
      <c r="C702" s="17" t="s">
        <v>9274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12546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9275</v>
      </c>
      <c r="B703" s="17" t="s">
        <v>9275</v>
      </c>
      <c r="C703" s="17" t="s">
        <v>9276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12546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9277</v>
      </c>
      <c r="B704" s="17" t="s">
        <v>9277</v>
      </c>
      <c r="C704" s="17" t="s">
        <v>9278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12546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9279</v>
      </c>
      <c r="B705" s="17" t="s">
        <v>9279</v>
      </c>
      <c r="C705" s="17" t="s">
        <v>9280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12546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9281</v>
      </c>
      <c r="B706" s="17" t="s">
        <v>9281</v>
      </c>
      <c r="C706" s="17" t="s">
        <v>9282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12546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9283</v>
      </c>
      <c r="B707" s="17" t="s">
        <v>9283</v>
      </c>
      <c r="C707" s="17" t="s">
        <v>9284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12546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9285</v>
      </c>
      <c r="B708" s="17" t="s">
        <v>9285</v>
      </c>
      <c r="C708" s="17" t="s">
        <v>9286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12546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9287</v>
      </c>
      <c r="B709" s="17" t="s">
        <v>9287</v>
      </c>
      <c r="C709" s="17" t="s">
        <v>9288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12546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9289</v>
      </c>
      <c r="B710" s="17" t="s">
        <v>9289</v>
      </c>
      <c r="C710" s="17" t="s">
        <v>9290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12546</v>
      </c>
      <c r="K710" s="21">
        <v>10</v>
      </c>
      <c r="L710" s="17" t="s">
        <v>4824</v>
      </c>
      <c r="M710" s="17" t="s">
        <v>478</v>
      </c>
      <c r="N710" s="17" t="s">
        <v>12558</v>
      </c>
      <c r="O710" t="s">
        <v>26</v>
      </c>
      <c r="P710" s="17" t="s">
        <v>12559</v>
      </c>
      <c r="Q710" s="17"/>
      <c r="R710" s="17"/>
      <c r="S710" s="17"/>
      <c r="T710" s="17"/>
      <c r="U710" s="8" t="s">
        <v>6386</v>
      </c>
      <c r="V710" s="8" t="s">
        <v>13558</v>
      </c>
      <c r="W710" s="8" t="s">
        <v>4561</v>
      </c>
      <c r="X710" s="8" t="s">
        <v>13559</v>
      </c>
      <c r="Y710" s="17"/>
      <c r="Z710" s="17"/>
    </row>
    <row r="711" spans="1:26">
      <c r="A711" s="17" t="s">
        <v>9291</v>
      </c>
      <c r="B711" s="17" t="s">
        <v>9291</v>
      </c>
      <c r="C711" s="17" t="s">
        <v>9292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12546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9293</v>
      </c>
      <c r="B712" s="17" t="s">
        <v>9293</v>
      </c>
      <c r="C712" s="17" t="s">
        <v>9294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12546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9295</v>
      </c>
      <c r="B713" s="17" t="s">
        <v>9295</v>
      </c>
      <c r="C713" s="17" t="s">
        <v>9296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12546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9297</v>
      </c>
      <c r="B714" s="17" t="s">
        <v>9297</v>
      </c>
      <c r="C714" s="17" t="s">
        <v>9298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12546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9299</v>
      </c>
      <c r="B715" s="17" t="s">
        <v>9299</v>
      </c>
      <c r="C715" s="17" t="s">
        <v>9300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12546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9301</v>
      </c>
      <c r="B716" s="17" t="s">
        <v>9301</v>
      </c>
      <c r="C716" s="17" t="s">
        <v>9302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12546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9303</v>
      </c>
      <c r="B717" s="17" t="s">
        <v>9303</v>
      </c>
      <c r="C717" s="17" t="s">
        <v>9304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12546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9305</v>
      </c>
      <c r="B718" s="17" t="s">
        <v>9305</v>
      </c>
      <c r="C718" s="17" t="s">
        <v>9306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12546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9307</v>
      </c>
      <c r="B719" s="17" t="s">
        <v>9307</v>
      </c>
      <c r="C719" s="17" t="s">
        <v>9308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12546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9309</v>
      </c>
      <c r="B720" s="17" t="s">
        <v>9309</v>
      </c>
      <c r="C720" s="17" t="s">
        <v>9310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12546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9311</v>
      </c>
      <c r="B721" s="17" t="s">
        <v>9311</v>
      </c>
      <c r="C721" s="17" t="s">
        <v>9312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12546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9313</v>
      </c>
      <c r="B722" s="17" t="s">
        <v>9313</v>
      </c>
      <c r="C722" s="17" t="s">
        <v>9314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12546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9315</v>
      </c>
      <c r="B723" s="17" t="s">
        <v>9315</v>
      </c>
      <c r="C723" s="17" t="s">
        <v>9316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12546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9317</v>
      </c>
      <c r="B724" s="17" t="s">
        <v>9317</v>
      </c>
      <c r="C724" s="17" t="s">
        <v>9318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12546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9319</v>
      </c>
      <c r="B725" s="17" t="s">
        <v>9319</v>
      </c>
      <c r="C725" s="17" t="s">
        <v>9320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12546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9321</v>
      </c>
      <c r="B726" s="17" t="s">
        <v>9321</v>
      </c>
      <c r="C726" s="17" t="s">
        <v>9322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12546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9323</v>
      </c>
      <c r="B727" s="17" t="s">
        <v>9323</v>
      </c>
      <c r="C727" s="17" t="s">
        <v>9324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12546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9325</v>
      </c>
      <c r="B728" s="17" t="s">
        <v>9325</v>
      </c>
      <c r="C728" s="17" t="s">
        <v>9326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12546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9327</v>
      </c>
      <c r="B729" s="17" t="s">
        <v>9327</v>
      </c>
      <c r="C729" s="17" t="s">
        <v>9328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12546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9329</v>
      </c>
      <c r="B730" s="17" t="s">
        <v>9329</v>
      </c>
      <c r="C730" s="17" t="s">
        <v>9330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12546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9331</v>
      </c>
      <c r="B731" s="17" t="s">
        <v>9331</v>
      </c>
      <c r="C731" s="17" t="s">
        <v>9332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12546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9333</v>
      </c>
      <c r="B732" s="17" t="s">
        <v>9333</v>
      </c>
      <c r="C732" s="17" t="s">
        <v>9334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12546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9335</v>
      </c>
      <c r="B733" s="17" t="s">
        <v>9335</v>
      </c>
      <c r="C733" s="17" t="s">
        <v>9336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12546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9337</v>
      </c>
      <c r="B734" s="17" t="s">
        <v>9337</v>
      </c>
      <c r="C734" s="17" t="s">
        <v>9338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12546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9339</v>
      </c>
      <c r="B735" s="17" t="s">
        <v>9339</v>
      </c>
      <c r="C735" s="17" t="s">
        <v>9340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12546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9341</v>
      </c>
      <c r="B736" s="17" t="s">
        <v>9341</v>
      </c>
      <c r="C736" s="17" t="s">
        <v>9342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12546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9343</v>
      </c>
      <c r="B737" s="17" t="s">
        <v>9343</v>
      </c>
      <c r="C737" s="17" t="s">
        <v>9344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12546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9345</v>
      </c>
      <c r="B738" s="17" t="s">
        <v>9345</v>
      </c>
      <c r="C738" s="17" t="s">
        <v>9346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12546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9347</v>
      </c>
      <c r="B739" s="17" t="s">
        <v>9347</v>
      </c>
      <c r="C739" s="17" t="s">
        <v>9348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12546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9349</v>
      </c>
      <c r="B740" s="17" t="s">
        <v>9349</v>
      </c>
      <c r="C740" s="17" t="s">
        <v>9350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12546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9351</v>
      </c>
      <c r="B741" s="17" t="s">
        <v>9351</v>
      </c>
      <c r="C741" s="17" t="s">
        <v>9352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12546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9353</v>
      </c>
      <c r="B742" s="17" t="s">
        <v>9353</v>
      </c>
      <c r="C742" s="17" t="s">
        <v>9354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12546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9355</v>
      </c>
      <c r="B743" s="17" t="s">
        <v>9355</v>
      </c>
      <c r="C743" s="17" t="s">
        <v>9356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12546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9357</v>
      </c>
      <c r="B744" s="17" t="s">
        <v>9357</v>
      </c>
      <c r="C744" s="17" t="s">
        <v>9358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12546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9359</v>
      </c>
      <c r="B745" s="17" t="s">
        <v>9359</v>
      </c>
      <c r="C745" s="17" t="s">
        <v>9360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12546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9361</v>
      </c>
      <c r="B746" s="17" t="s">
        <v>9361</v>
      </c>
      <c r="C746" s="17" t="s">
        <v>9362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12546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9363</v>
      </c>
      <c r="B747" s="17" t="s">
        <v>9363</v>
      </c>
      <c r="C747" s="17" t="s">
        <v>9364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12546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9365</v>
      </c>
      <c r="B748" s="17" t="s">
        <v>9365</v>
      </c>
      <c r="C748" s="17" t="s">
        <v>9366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12546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9367</v>
      </c>
      <c r="B749" s="17" t="s">
        <v>9367</v>
      </c>
      <c r="C749" s="17" t="s">
        <v>9368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12546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9369</v>
      </c>
      <c r="B750" s="17" t="s">
        <v>9369</v>
      </c>
      <c r="C750" s="17" t="s">
        <v>9370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12546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9371</v>
      </c>
      <c r="B751" s="17" t="s">
        <v>9371</v>
      </c>
      <c r="C751" s="17" t="s">
        <v>9372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12546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9373</v>
      </c>
      <c r="B752" s="17" t="s">
        <v>9373</v>
      </c>
      <c r="C752" s="17" t="s">
        <v>9374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12546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9375</v>
      </c>
      <c r="B753" s="17" t="s">
        <v>9375</v>
      </c>
      <c r="C753" s="17" t="s">
        <v>9376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12546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9377</v>
      </c>
      <c r="B754" s="17" t="s">
        <v>9377</v>
      </c>
      <c r="C754" s="17" t="s">
        <v>9378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12546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9379</v>
      </c>
      <c r="B755" s="17" t="s">
        <v>9379</v>
      </c>
      <c r="C755" s="17" t="s">
        <v>9380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12546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9381</v>
      </c>
      <c r="B756" s="17" t="s">
        <v>9381</v>
      </c>
      <c r="C756" s="17" t="s">
        <v>9382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12546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9383</v>
      </c>
      <c r="B757" s="17" t="s">
        <v>9383</v>
      </c>
      <c r="C757" s="17" t="s">
        <v>9384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12546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9385</v>
      </c>
      <c r="B758" s="17" t="s">
        <v>9385</v>
      </c>
      <c r="C758" s="17" t="s">
        <v>9386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12546</v>
      </c>
      <c r="K758" s="21">
        <v>1000</v>
      </c>
      <c r="L758" s="17" t="s">
        <v>4824</v>
      </c>
      <c r="M758" s="17" t="s">
        <v>478</v>
      </c>
      <c r="N758" s="17" t="s">
        <v>12556</v>
      </c>
      <c r="O758" t="s">
        <v>26</v>
      </c>
      <c r="P758" s="17" t="s">
        <v>12557</v>
      </c>
      <c r="Q758" s="17"/>
      <c r="R758" s="17"/>
      <c r="S758" s="17"/>
      <c r="T758" s="17"/>
      <c r="U758" s="8" t="s">
        <v>478</v>
      </c>
      <c r="V758" s="42" t="s">
        <v>12556</v>
      </c>
      <c r="W758" s="17" t="s">
        <v>4561</v>
      </c>
      <c r="X758" s="8" t="s">
        <v>13562</v>
      </c>
      <c r="Y758" s="17"/>
      <c r="Z758" s="17"/>
    </row>
    <row r="759" spans="1:26">
      <c r="A759" s="17" t="s">
        <v>9387</v>
      </c>
      <c r="B759" s="17" t="s">
        <v>9387</v>
      </c>
      <c r="C759" s="17" t="s">
        <v>9388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12546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9389</v>
      </c>
      <c r="B760" s="17" t="s">
        <v>9389</v>
      </c>
      <c r="C760" s="17" t="s">
        <v>9390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12546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9391</v>
      </c>
      <c r="B761" s="17" t="s">
        <v>9391</v>
      </c>
      <c r="C761" s="17" t="s">
        <v>9392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12546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9393</v>
      </c>
      <c r="B762" s="17" t="s">
        <v>9393</v>
      </c>
      <c r="C762" s="17" t="s">
        <v>9394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12546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9395</v>
      </c>
      <c r="B763" s="17" t="s">
        <v>9395</v>
      </c>
      <c r="C763" s="17" t="s">
        <v>9396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12546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9397</v>
      </c>
      <c r="B764" s="17" t="s">
        <v>9397</v>
      </c>
      <c r="C764" s="17" t="s">
        <v>9398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12546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9399</v>
      </c>
      <c r="B765" s="17" t="s">
        <v>9399</v>
      </c>
      <c r="C765" s="17" t="s">
        <v>9400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12546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9401</v>
      </c>
      <c r="B766" s="17" t="s">
        <v>9401</v>
      </c>
      <c r="C766" s="17" t="s">
        <v>9402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12546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9403</v>
      </c>
      <c r="B767" s="17" t="s">
        <v>9403</v>
      </c>
      <c r="C767" s="17" t="s">
        <v>9404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12546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9405</v>
      </c>
      <c r="B768" s="17" t="s">
        <v>9405</v>
      </c>
      <c r="C768" s="17" t="s">
        <v>9406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12546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9407</v>
      </c>
      <c r="B769" s="17" t="s">
        <v>9407</v>
      </c>
      <c r="C769" s="17" t="s">
        <v>9408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12546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9409</v>
      </c>
      <c r="B770" s="17" t="s">
        <v>9409</v>
      </c>
      <c r="C770" s="17" t="s">
        <v>9410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12546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9411</v>
      </c>
      <c r="B771" s="17" t="s">
        <v>9411</v>
      </c>
      <c r="C771" s="17" t="s">
        <v>9412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12546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9413</v>
      </c>
      <c r="B772" s="17" t="s">
        <v>9413</v>
      </c>
      <c r="C772" s="17" t="s">
        <v>9414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12546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9415</v>
      </c>
      <c r="B773" s="17" t="s">
        <v>9415</v>
      </c>
      <c r="C773" s="17" t="s">
        <v>9416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12546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9417</v>
      </c>
      <c r="B774" s="17" t="s">
        <v>9417</v>
      </c>
      <c r="C774" s="17" t="s">
        <v>9418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12546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9419</v>
      </c>
      <c r="B775" s="17" t="s">
        <v>9419</v>
      </c>
      <c r="C775" s="17" t="s">
        <v>9420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12546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9421</v>
      </c>
      <c r="B776" s="17" t="s">
        <v>9421</v>
      </c>
      <c r="C776" s="17" t="s">
        <v>9422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12546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9423</v>
      </c>
      <c r="B777" s="17" t="s">
        <v>9423</v>
      </c>
      <c r="C777" s="17" t="s">
        <v>9424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12546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9425</v>
      </c>
      <c r="B778" s="17" t="s">
        <v>9425</v>
      </c>
      <c r="C778" s="17" t="s">
        <v>9426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12546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9427</v>
      </c>
      <c r="B779" s="17" t="s">
        <v>9427</v>
      </c>
      <c r="C779" s="17" t="s">
        <v>9428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12546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9429</v>
      </c>
      <c r="B780" s="17" t="s">
        <v>9429</v>
      </c>
      <c r="C780" s="17" t="s">
        <v>9430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12546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9431</v>
      </c>
      <c r="B781" s="17" t="s">
        <v>9431</v>
      </c>
      <c r="C781" s="17" t="s">
        <v>9432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12546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9433</v>
      </c>
      <c r="B782" s="17" t="s">
        <v>9433</v>
      </c>
      <c r="C782" s="17" t="s">
        <v>9434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12546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9435</v>
      </c>
      <c r="B783" s="17" t="s">
        <v>9435</v>
      </c>
      <c r="C783" s="17" t="s">
        <v>9436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12546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9437</v>
      </c>
      <c r="B784" s="17" t="s">
        <v>9437</v>
      </c>
      <c r="C784" s="17" t="s">
        <v>9438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12546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9439</v>
      </c>
      <c r="B785" s="17" t="s">
        <v>9439</v>
      </c>
      <c r="C785" s="17" t="s">
        <v>9440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12546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9441</v>
      </c>
      <c r="B786" s="17" t="s">
        <v>9441</v>
      </c>
      <c r="C786" s="17" t="s">
        <v>9442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12546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9443</v>
      </c>
      <c r="B787" s="17" t="s">
        <v>9443</v>
      </c>
      <c r="C787" s="17" t="s">
        <v>9444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12546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9445</v>
      </c>
      <c r="B788" s="17" t="s">
        <v>9445</v>
      </c>
      <c r="C788" s="17" t="s">
        <v>9446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12546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9447</v>
      </c>
      <c r="B789" s="17" t="s">
        <v>9447</v>
      </c>
      <c r="C789" s="17" t="s">
        <v>9448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12546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9449</v>
      </c>
      <c r="B790" s="17" t="s">
        <v>9449</v>
      </c>
      <c r="C790" s="17" t="s">
        <v>9450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12546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9451</v>
      </c>
      <c r="B791" s="17" t="s">
        <v>9451</v>
      </c>
      <c r="C791" s="17" t="s">
        <v>9452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12546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9453</v>
      </c>
      <c r="B792" s="17" t="s">
        <v>9453</v>
      </c>
      <c r="C792" s="17" t="s">
        <v>9454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12546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9455</v>
      </c>
      <c r="B793" s="17" t="s">
        <v>9455</v>
      </c>
      <c r="C793" s="17" t="s">
        <v>9456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12546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9457</v>
      </c>
      <c r="B794" s="17" t="s">
        <v>9457</v>
      </c>
      <c r="C794" s="17" t="s">
        <v>9458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12546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9459</v>
      </c>
      <c r="B795" s="17" t="s">
        <v>9459</v>
      </c>
      <c r="C795" s="17" t="s">
        <v>9460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12546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9461</v>
      </c>
      <c r="B796" s="17" t="s">
        <v>9461</v>
      </c>
      <c r="C796" s="17" t="s">
        <v>9462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12546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9463</v>
      </c>
      <c r="B797" s="17" t="s">
        <v>9463</v>
      </c>
      <c r="C797" s="17" t="s">
        <v>9464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12546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9465</v>
      </c>
      <c r="B798" s="17" t="s">
        <v>9465</v>
      </c>
      <c r="C798" s="17" t="s">
        <v>9466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12546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9467</v>
      </c>
      <c r="B799" s="17" t="s">
        <v>9467</v>
      </c>
      <c r="C799" s="17" t="s">
        <v>9468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12546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9469</v>
      </c>
      <c r="B800" s="17" t="s">
        <v>9469</v>
      </c>
      <c r="C800" s="17" t="s">
        <v>9470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12546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9471</v>
      </c>
      <c r="B801" s="17" t="s">
        <v>9471</v>
      </c>
      <c r="C801" s="17" t="s">
        <v>9472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12546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9473</v>
      </c>
      <c r="B802" s="17" t="s">
        <v>9473</v>
      </c>
      <c r="C802" s="17" t="s">
        <v>9474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12546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9475</v>
      </c>
      <c r="B803" s="17" t="s">
        <v>9475</v>
      </c>
      <c r="C803" s="17" t="s">
        <v>9476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12546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9477</v>
      </c>
      <c r="B804" s="17" t="s">
        <v>9477</v>
      </c>
      <c r="C804" s="17" t="s">
        <v>9478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12546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9479</v>
      </c>
      <c r="B805" s="17" t="s">
        <v>9479</v>
      </c>
      <c r="C805" s="17" t="s">
        <v>9480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12546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9481</v>
      </c>
      <c r="B806" s="17" t="s">
        <v>9481</v>
      </c>
      <c r="C806" s="17" t="s">
        <v>9482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12546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9483</v>
      </c>
      <c r="B807" s="17" t="s">
        <v>9483</v>
      </c>
      <c r="C807" s="17" t="s">
        <v>9484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12546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9485</v>
      </c>
      <c r="B808" s="17" t="s">
        <v>9485</v>
      </c>
      <c r="C808" s="17" t="s">
        <v>9486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12546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9487</v>
      </c>
      <c r="B809" s="17" t="s">
        <v>9487</v>
      </c>
      <c r="C809" s="17" t="s">
        <v>9488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12546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9489</v>
      </c>
      <c r="B810" s="17" t="s">
        <v>9489</v>
      </c>
      <c r="C810" s="17" t="s">
        <v>9490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12546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9491</v>
      </c>
      <c r="B811" s="17" t="s">
        <v>9491</v>
      </c>
      <c r="C811" s="17" t="s">
        <v>9492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12546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9493</v>
      </c>
      <c r="B812" s="17" t="s">
        <v>9493</v>
      </c>
      <c r="C812" s="17" t="s">
        <v>9494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12546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9495</v>
      </c>
      <c r="B813" s="17" t="s">
        <v>9495</v>
      </c>
      <c r="C813" s="17" t="s">
        <v>9496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12546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9497</v>
      </c>
      <c r="B814" s="17" t="s">
        <v>9497</v>
      </c>
      <c r="C814" s="17" t="s">
        <v>9498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12546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9499</v>
      </c>
      <c r="B815" s="17" t="s">
        <v>9499</v>
      </c>
      <c r="C815" s="17" t="s">
        <v>9500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12546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9501</v>
      </c>
      <c r="B816" s="17" t="s">
        <v>9501</v>
      </c>
      <c r="C816" s="17" t="s">
        <v>9502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12546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9503</v>
      </c>
      <c r="B817" s="17" t="s">
        <v>9503</v>
      </c>
      <c r="C817" s="17" t="s">
        <v>9504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12546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9505</v>
      </c>
      <c r="B818" s="17" t="s">
        <v>9505</v>
      </c>
      <c r="C818" s="16" t="s">
        <v>9506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12546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9507</v>
      </c>
      <c r="B819" s="17" t="s">
        <v>9507</v>
      </c>
      <c r="C819" s="17" t="s">
        <v>9508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12546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9509</v>
      </c>
      <c r="B820" s="17" t="s">
        <v>9509</v>
      </c>
      <c r="C820" s="17" t="s">
        <v>9510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12546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9511</v>
      </c>
      <c r="B821" s="17" t="s">
        <v>9511</v>
      </c>
      <c r="C821" s="17" t="s">
        <v>9512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12546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9513</v>
      </c>
      <c r="B822" s="17" t="s">
        <v>9513</v>
      </c>
      <c r="C822" s="17" t="s">
        <v>9514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12546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9515</v>
      </c>
      <c r="B823" s="17" t="s">
        <v>9515</v>
      </c>
      <c r="C823" s="17" t="s">
        <v>9516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12546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9517</v>
      </c>
      <c r="B824" s="17" t="s">
        <v>9517</v>
      </c>
      <c r="C824" s="17" t="s">
        <v>9518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12546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9519</v>
      </c>
      <c r="B825" s="17" t="s">
        <v>9519</v>
      </c>
      <c r="C825" s="17" t="s">
        <v>9520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12546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9521</v>
      </c>
      <c r="B826" s="17" t="s">
        <v>9521</v>
      </c>
      <c r="C826" s="17" t="s">
        <v>9522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12546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9523</v>
      </c>
      <c r="B827" s="17" t="s">
        <v>9523</v>
      </c>
      <c r="C827" s="17" t="s">
        <v>9524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12546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9525</v>
      </c>
      <c r="B828" s="17" t="s">
        <v>9525</v>
      </c>
      <c r="C828" s="17" t="s">
        <v>9526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12546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9527</v>
      </c>
      <c r="B829" s="17" t="s">
        <v>9527</v>
      </c>
      <c r="C829" s="17" t="s">
        <v>9528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12546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9529</v>
      </c>
      <c r="B830" s="17" t="s">
        <v>9529</v>
      </c>
      <c r="C830" s="17" t="s">
        <v>9530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12546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9531</v>
      </c>
      <c r="B831" s="17" t="s">
        <v>9531</v>
      </c>
      <c r="C831" s="17" t="s">
        <v>9532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12546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9533</v>
      </c>
      <c r="B832" s="17" t="s">
        <v>9533</v>
      </c>
      <c r="C832" s="17" t="s">
        <v>9534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12546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9535</v>
      </c>
      <c r="B833" s="17" t="s">
        <v>9535</v>
      </c>
      <c r="C833" s="17" t="s">
        <v>9536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12546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9537</v>
      </c>
      <c r="B834" s="17" t="s">
        <v>9537</v>
      </c>
      <c r="C834" s="17" t="s">
        <v>9538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12546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9539</v>
      </c>
      <c r="B835" s="17" t="s">
        <v>9539</v>
      </c>
      <c r="C835" s="17" t="s">
        <v>9540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12546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9541</v>
      </c>
      <c r="B836" s="17" t="s">
        <v>9541</v>
      </c>
      <c r="C836" s="17" t="s">
        <v>9542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12546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9543</v>
      </c>
      <c r="B837" s="17" t="s">
        <v>9543</v>
      </c>
      <c r="C837" s="17" t="s">
        <v>9544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12546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9545</v>
      </c>
      <c r="B838" s="17" t="s">
        <v>9545</v>
      </c>
      <c r="C838" s="17" t="s">
        <v>9546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12546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9547</v>
      </c>
      <c r="B839" s="17" t="s">
        <v>9547</v>
      </c>
      <c r="C839" s="17" t="s">
        <v>9548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12546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9549</v>
      </c>
      <c r="B840" s="17" t="s">
        <v>9549</v>
      </c>
      <c r="C840" s="17" t="s">
        <v>9550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12546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9551</v>
      </c>
      <c r="B841" s="17" t="s">
        <v>9551</v>
      </c>
      <c r="C841" s="17" t="s">
        <v>9552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12546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9553</v>
      </c>
      <c r="B842" s="17" t="s">
        <v>9553</v>
      </c>
      <c r="C842" s="17" t="s">
        <v>9554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12546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9555</v>
      </c>
      <c r="B843" s="17" t="s">
        <v>9555</v>
      </c>
      <c r="C843" s="17" t="s">
        <v>9556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12546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9557</v>
      </c>
      <c r="B844" s="17" t="s">
        <v>9557</v>
      </c>
      <c r="C844" s="17" t="s">
        <v>9558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12546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9559</v>
      </c>
      <c r="B845" s="17" t="s">
        <v>9559</v>
      </c>
      <c r="C845" s="17" t="s">
        <v>9560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12546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9561</v>
      </c>
      <c r="B846" s="17" t="s">
        <v>9561</v>
      </c>
      <c r="C846" s="17" t="s">
        <v>9562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12546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9563</v>
      </c>
      <c r="B847" s="17" t="s">
        <v>9563</v>
      </c>
      <c r="C847" s="17" t="s">
        <v>9564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12546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9565</v>
      </c>
      <c r="B848" s="17" t="s">
        <v>9565</v>
      </c>
      <c r="C848" s="17" t="s">
        <v>9566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12546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9567</v>
      </c>
      <c r="B849" s="17" t="s">
        <v>9567</v>
      </c>
      <c r="C849" s="17" t="s">
        <v>9568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12546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9569</v>
      </c>
      <c r="B850" s="17" t="s">
        <v>9569</v>
      </c>
      <c r="C850" s="17" t="s">
        <v>9570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12546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9571</v>
      </c>
      <c r="B851" s="17" t="s">
        <v>9571</v>
      </c>
      <c r="C851" s="17" t="s">
        <v>9572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12546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9573</v>
      </c>
      <c r="B852" s="17" t="s">
        <v>9573</v>
      </c>
      <c r="C852" s="17" t="s">
        <v>9574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12546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9575</v>
      </c>
      <c r="B853" s="17" t="s">
        <v>9575</v>
      </c>
      <c r="C853" s="17" t="s">
        <v>9576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12546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9577</v>
      </c>
      <c r="B854" s="17" t="s">
        <v>9577</v>
      </c>
      <c r="C854" s="17" t="s">
        <v>9578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12546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10257</v>
      </c>
      <c r="B855" s="16" t="s">
        <v>10257</v>
      </c>
      <c r="C855" s="16" t="s">
        <v>10258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10259</v>
      </c>
      <c r="B856" s="17" t="s">
        <v>10259</v>
      </c>
      <c r="C856" s="17" t="s">
        <v>10260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10261</v>
      </c>
      <c r="B857" s="17" t="s">
        <v>10261</v>
      </c>
      <c r="C857" s="17" t="s">
        <v>10262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10263</v>
      </c>
      <c r="B858" s="17" t="s">
        <v>10263</v>
      </c>
      <c r="C858" s="17" t="s">
        <v>10264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10265</v>
      </c>
      <c r="B859" s="17" t="s">
        <v>10265</v>
      </c>
      <c r="C859" s="17" t="s">
        <v>10266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10267</v>
      </c>
      <c r="B860" s="17" t="s">
        <v>10267</v>
      </c>
      <c r="C860" s="17" t="s">
        <v>10268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10269</v>
      </c>
      <c r="B861" s="17" t="s">
        <v>10269</v>
      </c>
      <c r="C861" s="17" t="s">
        <v>10270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10271</v>
      </c>
      <c r="B862" s="17" t="s">
        <v>10271</v>
      </c>
      <c r="C862" s="17" t="s">
        <v>10272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10273</v>
      </c>
      <c r="B863" s="17" t="s">
        <v>10273</v>
      </c>
      <c r="C863" s="17" t="s">
        <v>10274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10275</v>
      </c>
      <c r="B864" s="17" t="s">
        <v>10275</v>
      </c>
      <c r="C864" s="17" t="s">
        <v>10276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10277</v>
      </c>
      <c r="B865" s="17" t="s">
        <v>10277</v>
      </c>
      <c r="C865" s="17" t="s">
        <v>10278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10279</v>
      </c>
      <c r="B866" s="17" t="s">
        <v>10279</v>
      </c>
      <c r="C866" s="17" t="s">
        <v>10280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10281</v>
      </c>
      <c r="B867" s="17" t="s">
        <v>10281</v>
      </c>
      <c r="C867" s="17" t="s">
        <v>10282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10283</v>
      </c>
      <c r="B868" s="17" t="s">
        <v>10283</v>
      </c>
      <c r="C868" s="17" t="s">
        <v>10284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10285</v>
      </c>
      <c r="B869" s="17" t="s">
        <v>10285</v>
      </c>
      <c r="C869" s="17" t="s">
        <v>10286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10287</v>
      </c>
      <c r="B870" s="17" t="s">
        <v>10287</v>
      </c>
      <c r="C870" s="17" t="s">
        <v>10288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10289</v>
      </c>
      <c r="B871" s="17" t="s">
        <v>10289</v>
      </c>
      <c r="C871" s="17" t="s">
        <v>10290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10291</v>
      </c>
      <c r="B872" s="17" t="s">
        <v>10291</v>
      </c>
      <c r="C872" s="17" t="s">
        <v>10292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10293</v>
      </c>
      <c r="B873" s="17" t="s">
        <v>10293</v>
      </c>
      <c r="C873" s="17" t="s">
        <v>10294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10295</v>
      </c>
      <c r="B874" s="17" t="s">
        <v>10295</v>
      </c>
      <c r="C874" s="17" t="s">
        <v>10296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10297</v>
      </c>
      <c r="B875" s="17" t="s">
        <v>10297</v>
      </c>
      <c r="C875" s="17" t="s">
        <v>10298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10299</v>
      </c>
      <c r="B876" s="17" t="s">
        <v>10299</v>
      </c>
      <c r="C876" s="17" t="s">
        <v>10300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10301</v>
      </c>
      <c r="B877" s="17" t="s">
        <v>10301</v>
      </c>
      <c r="C877" s="17" t="s">
        <v>10302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10303</v>
      </c>
      <c r="B878" s="17" t="s">
        <v>10303</v>
      </c>
      <c r="C878" s="17" t="s">
        <v>10304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10305</v>
      </c>
      <c r="B879" s="17" t="s">
        <v>10305</v>
      </c>
      <c r="C879" s="17" t="s">
        <v>10306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10307</v>
      </c>
      <c r="B880" s="17" t="s">
        <v>10307</v>
      </c>
      <c r="C880" s="17" t="s">
        <v>10308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10309</v>
      </c>
      <c r="B881" s="17" t="s">
        <v>10309</v>
      </c>
      <c r="C881" s="17" t="s">
        <v>10310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10311</v>
      </c>
      <c r="B882" s="17" t="s">
        <v>10311</v>
      </c>
      <c r="C882" s="17" t="s">
        <v>10312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10313</v>
      </c>
      <c r="B883" s="17" t="s">
        <v>10313</v>
      </c>
      <c r="C883" s="17" t="s">
        <v>10314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10315</v>
      </c>
      <c r="B884" s="17" t="s">
        <v>10315</v>
      </c>
      <c r="C884" s="17" t="s">
        <v>10316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10317</v>
      </c>
      <c r="B885" s="17" t="s">
        <v>10317</v>
      </c>
      <c r="C885" s="17" t="s">
        <v>10318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10319</v>
      </c>
      <c r="B886" s="17" t="s">
        <v>10319</v>
      </c>
      <c r="C886" s="17" t="s">
        <v>10320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10321</v>
      </c>
      <c r="B887" s="17" t="s">
        <v>10321</v>
      </c>
      <c r="C887" s="17" t="s">
        <v>10322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10323</v>
      </c>
      <c r="B888" s="17" t="s">
        <v>10323</v>
      </c>
      <c r="C888" s="17" t="s">
        <v>10324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10325</v>
      </c>
      <c r="B889" s="17" t="s">
        <v>10325</v>
      </c>
      <c r="C889" s="17" t="s">
        <v>10326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10327</v>
      </c>
      <c r="B890" s="17" t="s">
        <v>10327</v>
      </c>
      <c r="C890" s="17" t="s">
        <v>10328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10329</v>
      </c>
      <c r="B891" s="17" t="s">
        <v>10329</v>
      </c>
      <c r="C891" s="17" t="s">
        <v>10330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10331</v>
      </c>
      <c r="B892" s="17" t="s">
        <v>10331</v>
      </c>
      <c r="C892" s="17" t="s">
        <v>10332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10333</v>
      </c>
      <c r="B893" s="17" t="s">
        <v>10333</v>
      </c>
      <c r="C893" s="17" t="s">
        <v>10334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10335</v>
      </c>
      <c r="B894" s="17" t="s">
        <v>10335</v>
      </c>
      <c r="C894" s="17" t="s">
        <v>10336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10337</v>
      </c>
      <c r="B895" s="17" t="s">
        <v>10337</v>
      </c>
      <c r="C895" s="17" t="s">
        <v>10338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10339</v>
      </c>
      <c r="B896" s="17" t="s">
        <v>10339</v>
      </c>
      <c r="C896" s="17" t="s">
        <v>10340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10341</v>
      </c>
      <c r="B897" s="17" t="s">
        <v>10341</v>
      </c>
      <c r="C897" s="17" t="s">
        <v>10342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10343</v>
      </c>
      <c r="B898" s="17" t="s">
        <v>10343</v>
      </c>
      <c r="C898" s="17" t="s">
        <v>10344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10345</v>
      </c>
      <c r="B899" s="17" t="s">
        <v>10345</v>
      </c>
      <c r="C899" s="17" t="s">
        <v>10346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10347</v>
      </c>
      <c r="B900" s="17" t="s">
        <v>10347</v>
      </c>
      <c r="C900" s="17" t="s">
        <v>10348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10349</v>
      </c>
      <c r="B901" s="17" t="s">
        <v>10349</v>
      </c>
      <c r="C901" s="17" t="s">
        <v>10350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10351</v>
      </c>
      <c r="B902" s="17" t="s">
        <v>10351</v>
      </c>
      <c r="C902" s="17" t="s">
        <v>10352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10353</v>
      </c>
      <c r="B903" s="17" t="s">
        <v>10353</v>
      </c>
      <c r="C903" s="17" t="s">
        <v>10354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10355</v>
      </c>
      <c r="B904" s="17" t="s">
        <v>10355</v>
      </c>
      <c r="C904" s="17" t="s">
        <v>10356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10357</v>
      </c>
      <c r="B905" s="17" t="s">
        <v>10357</v>
      </c>
      <c r="C905" s="17" t="s">
        <v>10358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10359</v>
      </c>
      <c r="B906" s="17" t="s">
        <v>10359</v>
      </c>
      <c r="C906" s="17" t="s">
        <v>10360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10361</v>
      </c>
      <c r="B907" s="17" t="s">
        <v>10361</v>
      </c>
      <c r="C907" s="17" t="s">
        <v>10362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10363</v>
      </c>
      <c r="B908" s="17" t="s">
        <v>10363</v>
      </c>
      <c r="C908" s="17" t="s">
        <v>10364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10365</v>
      </c>
      <c r="B909" s="17" t="s">
        <v>10365</v>
      </c>
      <c r="C909" s="17" t="s">
        <v>10366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10367</v>
      </c>
      <c r="B910" s="17" t="s">
        <v>10367</v>
      </c>
      <c r="C910" s="17" t="s">
        <v>10368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10369</v>
      </c>
      <c r="B911" s="17" t="s">
        <v>10369</v>
      </c>
      <c r="C911" s="17" t="s">
        <v>10370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10371</v>
      </c>
      <c r="B912" s="17" t="s">
        <v>10371</v>
      </c>
      <c r="C912" s="17" t="s">
        <v>10372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10373</v>
      </c>
      <c r="B913" s="17" t="s">
        <v>10373</v>
      </c>
      <c r="C913" s="17" t="s">
        <v>10374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10375</v>
      </c>
      <c r="B914" s="17" t="s">
        <v>10375</v>
      </c>
      <c r="C914" s="17" t="s">
        <v>10376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10377</v>
      </c>
      <c r="B915" s="17" t="s">
        <v>10377</v>
      </c>
      <c r="C915" s="17" t="s">
        <v>10378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10379</v>
      </c>
      <c r="B916" s="17" t="s">
        <v>10379</v>
      </c>
      <c r="C916" s="17" t="s">
        <v>10380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10381</v>
      </c>
      <c r="B917" s="17" t="s">
        <v>10381</v>
      </c>
      <c r="C917" s="17" t="s">
        <v>10382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10383</v>
      </c>
      <c r="B918" s="17" t="s">
        <v>10383</v>
      </c>
      <c r="C918" s="17" t="s">
        <v>10384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10385</v>
      </c>
      <c r="B919" s="17" t="s">
        <v>10385</v>
      </c>
      <c r="C919" s="17" t="s">
        <v>10386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10387</v>
      </c>
      <c r="B920" s="17" t="s">
        <v>10387</v>
      </c>
      <c r="C920" s="17" t="s">
        <v>10388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10389</v>
      </c>
      <c r="B921" s="17" t="s">
        <v>10389</v>
      </c>
      <c r="C921" s="17" t="s">
        <v>10390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10391</v>
      </c>
      <c r="B922" s="17" t="s">
        <v>10391</v>
      </c>
      <c r="C922" s="17" t="s">
        <v>10392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10393</v>
      </c>
      <c r="B923" s="17" t="s">
        <v>10393</v>
      </c>
      <c r="C923" s="17" t="s">
        <v>10394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10395</v>
      </c>
      <c r="B924" s="17" t="s">
        <v>10395</v>
      </c>
      <c r="C924" s="17" t="s">
        <v>10396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10397</v>
      </c>
      <c r="B925" s="17" t="s">
        <v>10397</v>
      </c>
      <c r="C925" s="17" t="s">
        <v>10398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10399</v>
      </c>
      <c r="B926" s="17" t="s">
        <v>10399</v>
      </c>
      <c r="C926" s="17" t="s">
        <v>10400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10401</v>
      </c>
      <c r="B927" s="17" t="s">
        <v>10401</v>
      </c>
      <c r="C927" s="17" t="s">
        <v>10402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10403</v>
      </c>
      <c r="B928" s="17" t="s">
        <v>10403</v>
      </c>
      <c r="C928" s="17" t="s">
        <v>10404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10405</v>
      </c>
      <c r="B929" s="17" t="s">
        <v>10405</v>
      </c>
      <c r="C929" s="17" t="s">
        <v>10406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10407</v>
      </c>
      <c r="B930" s="17" t="s">
        <v>10407</v>
      </c>
      <c r="C930" s="17" t="s">
        <v>10408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10409</v>
      </c>
      <c r="B931" s="17" t="s">
        <v>10409</v>
      </c>
      <c r="C931" s="17" t="s">
        <v>10410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10411</v>
      </c>
      <c r="B932" s="17" t="s">
        <v>10411</v>
      </c>
      <c r="C932" s="17" t="s">
        <v>10412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10413</v>
      </c>
      <c r="B933" s="17" t="s">
        <v>10413</v>
      </c>
      <c r="C933" s="17" t="s">
        <v>10414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10415</v>
      </c>
      <c r="B934" s="17" t="s">
        <v>10415</v>
      </c>
      <c r="C934" s="17" t="s">
        <v>10416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10417</v>
      </c>
      <c r="B935" s="17" t="s">
        <v>10417</v>
      </c>
      <c r="C935" s="17" t="s">
        <v>10418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10419</v>
      </c>
      <c r="B936" s="17" t="s">
        <v>10419</v>
      </c>
      <c r="C936" s="17" t="s">
        <v>10420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10421</v>
      </c>
      <c r="B937" s="17" t="s">
        <v>10421</v>
      </c>
      <c r="C937" s="17" t="s">
        <v>10422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10423</v>
      </c>
      <c r="B938" s="17" t="s">
        <v>10423</v>
      </c>
      <c r="C938" s="17" t="s">
        <v>10424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10425</v>
      </c>
      <c r="B939" s="17" t="s">
        <v>10425</v>
      </c>
      <c r="C939" s="17" t="s">
        <v>10426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10427</v>
      </c>
      <c r="B940" s="17" t="s">
        <v>10427</v>
      </c>
      <c r="C940" s="17" t="s">
        <v>10428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10429</v>
      </c>
      <c r="B941" s="17" t="s">
        <v>10429</v>
      </c>
      <c r="C941" s="17" t="s">
        <v>10430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10431</v>
      </c>
      <c r="B942" s="17" t="s">
        <v>10431</v>
      </c>
      <c r="C942" s="17" t="s">
        <v>10432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10433</v>
      </c>
      <c r="B943" s="17" t="s">
        <v>10433</v>
      </c>
      <c r="C943" s="17" t="s">
        <v>10434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10435</v>
      </c>
      <c r="B944" s="17" t="s">
        <v>10435</v>
      </c>
      <c r="C944" s="17" t="s">
        <v>10436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10437</v>
      </c>
      <c r="B945" s="17" t="s">
        <v>10437</v>
      </c>
      <c r="C945" s="17" t="s">
        <v>10438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10439</v>
      </c>
      <c r="B946" s="17" t="s">
        <v>10439</v>
      </c>
      <c r="C946" s="17" t="s">
        <v>10440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10441</v>
      </c>
      <c r="B947" s="17" t="s">
        <v>10441</v>
      </c>
      <c r="C947" s="17" t="s">
        <v>10442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10443</v>
      </c>
      <c r="B948" s="17" t="s">
        <v>10443</v>
      </c>
      <c r="C948" s="17" t="s">
        <v>10444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10445</v>
      </c>
      <c r="B949" s="17" t="s">
        <v>10445</v>
      </c>
      <c r="C949" s="17" t="s">
        <v>10446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10447</v>
      </c>
      <c r="B950" s="17" t="s">
        <v>10447</v>
      </c>
      <c r="C950" s="17" t="s">
        <v>10448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10449</v>
      </c>
      <c r="B951" s="17" t="s">
        <v>10449</v>
      </c>
      <c r="C951" s="17" t="s">
        <v>10450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10451</v>
      </c>
      <c r="B952" s="17" t="s">
        <v>10451</v>
      </c>
      <c r="C952" s="17" t="s">
        <v>10452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10453</v>
      </c>
      <c r="B953" s="17" t="s">
        <v>10453</v>
      </c>
      <c r="C953" s="17" t="s">
        <v>10454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10455</v>
      </c>
      <c r="B954" s="17" t="s">
        <v>10455</v>
      </c>
      <c r="C954" s="17" t="s">
        <v>10456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10457</v>
      </c>
      <c r="B955" s="17" t="s">
        <v>10457</v>
      </c>
      <c r="C955" s="17" t="s">
        <v>10458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10459</v>
      </c>
      <c r="B956" s="17" t="s">
        <v>10459</v>
      </c>
      <c r="C956" s="17" t="s">
        <v>10460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10461</v>
      </c>
      <c r="B957" s="17" t="s">
        <v>10461</v>
      </c>
      <c r="C957" s="17" t="s">
        <v>10462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10463</v>
      </c>
      <c r="B958" s="17" t="s">
        <v>10463</v>
      </c>
      <c r="C958" s="17" t="s">
        <v>10464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10465</v>
      </c>
      <c r="B959" s="17" t="s">
        <v>10465</v>
      </c>
      <c r="C959" s="17" t="s">
        <v>10466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10467</v>
      </c>
      <c r="B960" s="17" t="s">
        <v>10467</v>
      </c>
      <c r="C960" s="17" t="s">
        <v>10468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10469</v>
      </c>
      <c r="B961" s="17" t="s">
        <v>10469</v>
      </c>
      <c r="C961" s="17" t="s">
        <v>10470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10471</v>
      </c>
      <c r="B962" s="17" t="s">
        <v>10471</v>
      </c>
      <c r="C962" s="17" t="s">
        <v>10472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10473</v>
      </c>
      <c r="B963" s="17" t="s">
        <v>10473</v>
      </c>
      <c r="C963" s="17" t="s">
        <v>10474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10475</v>
      </c>
      <c r="B964" s="17" t="s">
        <v>10475</v>
      </c>
      <c r="C964" s="17" t="s">
        <v>10476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10477</v>
      </c>
      <c r="B965" s="17" t="s">
        <v>10477</v>
      </c>
      <c r="C965" s="17" t="s">
        <v>10478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10479</v>
      </c>
      <c r="B966" s="17" t="s">
        <v>10479</v>
      </c>
      <c r="C966" s="17" t="s">
        <v>10480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10481</v>
      </c>
      <c r="B967" s="17" t="s">
        <v>10481</v>
      </c>
      <c r="C967" s="17" t="s">
        <v>10482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10483</v>
      </c>
      <c r="B968" s="17" t="s">
        <v>10483</v>
      </c>
      <c r="C968" s="17" t="s">
        <v>10484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10485</v>
      </c>
      <c r="B969" s="17" t="s">
        <v>10485</v>
      </c>
      <c r="C969" s="17" t="s">
        <v>10486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10487</v>
      </c>
      <c r="B970" s="17" t="s">
        <v>10487</v>
      </c>
      <c r="C970" s="17" t="s">
        <v>10488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10489</v>
      </c>
      <c r="B971" s="17" t="s">
        <v>10489</v>
      </c>
      <c r="C971" s="17" t="s">
        <v>10490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10491</v>
      </c>
      <c r="B972" s="17" t="s">
        <v>10491</v>
      </c>
      <c r="C972" s="17" t="s">
        <v>10492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10493</v>
      </c>
      <c r="B973" s="17" t="s">
        <v>10493</v>
      </c>
      <c r="C973" s="17" t="s">
        <v>10494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10495</v>
      </c>
      <c r="B974" s="17" t="s">
        <v>10495</v>
      </c>
      <c r="C974" s="17" t="s">
        <v>10496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10497</v>
      </c>
      <c r="B975" s="17" t="s">
        <v>10497</v>
      </c>
      <c r="C975" s="17" t="s">
        <v>10498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10499</v>
      </c>
      <c r="B976" s="17" t="s">
        <v>10499</v>
      </c>
      <c r="C976" s="17" t="s">
        <v>10500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10501</v>
      </c>
      <c r="B977" s="17" t="s">
        <v>10501</v>
      </c>
      <c r="C977" s="17" t="s">
        <v>10502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10503</v>
      </c>
      <c r="B978" s="17" t="s">
        <v>10503</v>
      </c>
      <c r="C978" s="17" t="s">
        <v>10504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10505</v>
      </c>
      <c r="B979" s="17" t="s">
        <v>10505</v>
      </c>
      <c r="C979" s="17" t="s">
        <v>10506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10507</v>
      </c>
      <c r="B980" s="17" t="s">
        <v>10507</v>
      </c>
      <c r="C980" s="17" t="s">
        <v>10508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10509</v>
      </c>
      <c r="B981" s="17" t="s">
        <v>10509</v>
      </c>
      <c r="C981" s="17" t="s">
        <v>10510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10511</v>
      </c>
      <c r="B982" s="17" t="s">
        <v>10511</v>
      </c>
      <c r="C982" s="17" t="s">
        <v>10512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10513</v>
      </c>
      <c r="B983" s="17" t="s">
        <v>10513</v>
      </c>
      <c r="C983" s="17" t="s">
        <v>10514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10515</v>
      </c>
      <c r="B984" s="17" t="s">
        <v>10515</v>
      </c>
      <c r="C984" s="17" t="s">
        <v>10516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10517</v>
      </c>
      <c r="B985" s="17" t="s">
        <v>10517</v>
      </c>
      <c r="C985" s="17" t="s">
        <v>10518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10519</v>
      </c>
      <c r="B986" s="17" t="s">
        <v>10519</v>
      </c>
      <c r="C986" s="17" t="s">
        <v>10520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10521</v>
      </c>
      <c r="B987" s="17" t="s">
        <v>10521</v>
      </c>
      <c r="C987" s="17" t="s">
        <v>10522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10523</v>
      </c>
      <c r="B988" s="17" t="s">
        <v>10523</v>
      </c>
      <c r="C988" s="16" t="s">
        <v>10524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10525</v>
      </c>
      <c r="B989" s="17" t="s">
        <v>10525</v>
      </c>
      <c r="C989" s="17" t="s">
        <v>10526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10527</v>
      </c>
      <c r="B990" s="17" t="s">
        <v>10527</v>
      </c>
      <c r="C990" s="17" t="s">
        <v>10528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10529</v>
      </c>
      <c r="B991" s="17" t="s">
        <v>10529</v>
      </c>
      <c r="C991" s="17" t="s">
        <v>10530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10531</v>
      </c>
      <c r="B992" s="17" t="s">
        <v>10531</v>
      </c>
      <c r="C992" s="17" t="s">
        <v>10532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10533</v>
      </c>
      <c r="B993" s="17" t="s">
        <v>10533</v>
      </c>
      <c r="C993" s="17" t="s">
        <v>10534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10535</v>
      </c>
      <c r="B994" s="17" t="s">
        <v>10535</v>
      </c>
      <c r="C994" s="17" t="s">
        <v>10536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10537</v>
      </c>
      <c r="B995" s="17" t="s">
        <v>10537</v>
      </c>
      <c r="C995" s="17" t="s">
        <v>10538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10539</v>
      </c>
      <c r="B996" s="17" t="s">
        <v>10539</v>
      </c>
      <c r="C996" s="17" t="s">
        <v>10540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10541</v>
      </c>
      <c r="B997" s="17" t="s">
        <v>10541</v>
      </c>
      <c r="C997" s="17" t="s">
        <v>10542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10543</v>
      </c>
      <c r="B998" s="17" t="s">
        <v>10543</v>
      </c>
      <c r="C998" s="17" t="s">
        <v>10544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10545</v>
      </c>
      <c r="B999" s="17" t="s">
        <v>10545</v>
      </c>
      <c r="C999" s="17" t="s">
        <v>10546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10547</v>
      </c>
      <c r="B1000" s="17" t="s">
        <v>10547</v>
      </c>
      <c r="C1000" s="17" t="s">
        <v>10548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10549</v>
      </c>
      <c r="B1001" s="17" t="s">
        <v>10549</v>
      </c>
      <c r="C1001" s="17" t="s">
        <v>10550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10551</v>
      </c>
      <c r="B1002" s="17" t="s">
        <v>10551</v>
      </c>
      <c r="C1002" s="17" t="s">
        <v>10552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10553</v>
      </c>
      <c r="B1003" s="17" t="s">
        <v>10553</v>
      </c>
      <c r="C1003" s="17" t="s">
        <v>10554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10555</v>
      </c>
      <c r="B1004" s="17" t="s">
        <v>10555</v>
      </c>
      <c r="C1004" s="17" t="s">
        <v>10556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10557</v>
      </c>
      <c r="B1005" s="17" t="s">
        <v>10557</v>
      </c>
      <c r="C1005" s="17" t="s">
        <v>10558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10559</v>
      </c>
      <c r="B1006" s="17" t="s">
        <v>10559</v>
      </c>
      <c r="C1006" s="17" t="s">
        <v>10560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10561</v>
      </c>
      <c r="B1007" s="17" t="s">
        <v>10561</v>
      </c>
      <c r="C1007" s="17" t="s">
        <v>10562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10563</v>
      </c>
      <c r="B1008" s="17" t="s">
        <v>10563</v>
      </c>
      <c r="C1008" s="17" t="s">
        <v>10564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10565</v>
      </c>
      <c r="B1009" s="17" t="s">
        <v>10565</v>
      </c>
      <c r="C1009" s="17" t="s">
        <v>10566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10567</v>
      </c>
      <c r="B1010" s="17" t="s">
        <v>10567</v>
      </c>
      <c r="C1010" s="17" t="s">
        <v>10568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10569</v>
      </c>
      <c r="B1011" s="17" t="s">
        <v>10569</v>
      </c>
      <c r="C1011" s="17" t="s">
        <v>10570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10571</v>
      </c>
      <c r="B1012" s="17" t="s">
        <v>10571</v>
      </c>
      <c r="C1012" s="17" t="s">
        <v>10572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10573</v>
      </c>
      <c r="B1013" s="17" t="s">
        <v>10573</v>
      </c>
      <c r="C1013" s="17" t="s">
        <v>10574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10575</v>
      </c>
      <c r="B1014" s="17" t="s">
        <v>10575</v>
      </c>
      <c r="C1014" s="17" t="s">
        <v>10576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10577</v>
      </c>
      <c r="B1015" s="17" t="s">
        <v>10577</v>
      </c>
      <c r="C1015" s="17" t="s">
        <v>10578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10579</v>
      </c>
      <c r="B1016" s="17" t="s">
        <v>10579</v>
      </c>
      <c r="C1016" s="17" t="s">
        <v>10580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10581</v>
      </c>
      <c r="B1017" s="17" t="s">
        <v>10581</v>
      </c>
      <c r="C1017" s="17" t="s">
        <v>10582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10583</v>
      </c>
      <c r="B1018" s="17" t="s">
        <v>10583</v>
      </c>
      <c r="C1018" s="17" t="s">
        <v>10584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10585</v>
      </c>
      <c r="B1019" s="17" t="s">
        <v>10585</v>
      </c>
      <c r="C1019" s="17" t="s">
        <v>10586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10587</v>
      </c>
      <c r="B1020" s="17" t="s">
        <v>10587</v>
      </c>
      <c r="C1020" s="17" t="s">
        <v>10588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10589</v>
      </c>
      <c r="B1021" s="17" t="s">
        <v>10589</v>
      </c>
      <c r="C1021" s="17" t="s">
        <v>10590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10591</v>
      </c>
      <c r="B1022" s="17" t="s">
        <v>10591</v>
      </c>
      <c r="C1022" s="17" t="s">
        <v>10592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10593</v>
      </c>
      <c r="B1023" s="17" t="s">
        <v>10593</v>
      </c>
      <c r="C1023" s="17" t="s">
        <v>10594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10595</v>
      </c>
      <c r="B1024" s="17" t="s">
        <v>10595</v>
      </c>
      <c r="C1024" s="17" t="s">
        <v>10596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9917</v>
      </c>
      <c r="B1025" s="16" t="s">
        <v>9917</v>
      </c>
      <c r="C1025" s="16" t="s">
        <v>9918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9919</v>
      </c>
      <c r="B1026" s="17" t="s">
        <v>9919</v>
      </c>
      <c r="C1026" s="17" t="s">
        <v>9920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9921</v>
      </c>
      <c r="B1027" s="17" t="s">
        <v>9921</v>
      </c>
      <c r="C1027" s="17" t="s">
        <v>9922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9923</v>
      </c>
      <c r="B1028" s="17" t="s">
        <v>9923</v>
      </c>
      <c r="C1028" s="17" t="s">
        <v>9924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9925</v>
      </c>
      <c r="B1029" s="17" t="s">
        <v>9925</v>
      </c>
      <c r="C1029" s="17" t="s">
        <v>9926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9927</v>
      </c>
      <c r="B1030" s="17" t="s">
        <v>9927</v>
      </c>
      <c r="C1030" s="17" t="s">
        <v>9928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9929</v>
      </c>
      <c r="B1031" s="17" t="s">
        <v>9929</v>
      </c>
      <c r="C1031" s="17" t="s">
        <v>9930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9931</v>
      </c>
      <c r="B1032" s="17" t="s">
        <v>9931</v>
      </c>
      <c r="C1032" s="17" t="s">
        <v>9932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9933</v>
      </c>
      <c r="B1033" s="17" t="s">
        <v>9933</v>
      </c>
      <c r="C1033" s="17" t="s">
        <v>9934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9935</v>
      </c>
      <c r="B1034" s="17" t="s">
        <v>9935</v>
      </c>
      <c r="C1034" s="17" t="s">
        <v>9936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9937</v>
      </c>
      <c r="B1035" s="17" t="s">
        <v>9937</v>
      </c>
      <c r="C1035" s="17" t="s">
        <v>9938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9939</v>
      </c>
      <c r="B1036" s="17" t="s">
        <v>9939</v>
      </c>
      <c r="C1036" s="17" t="s">
        <v>9940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9941</v>
      </c>
      <c r="B1037" s="17" t="s">
        <v>9941</v>
      </c>
      <c r="C1037" s="17" t="s">
        <v>9942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9943</v>
      </c>
      <c r="B1038" s="17" t="s">
        <v>9943</v>
      </c>
      <c r="C1038" s="17" t="s">
        <v>9944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9945</v>
      </c>
      <c r="B1039" s="17" t="s">
        <v>9945</v>
      </c>
      <c r="C1039" s="17" t="s">
        <v>9946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9947</v>
      </c>
      <c r="B1040" s="17" t="s">
        <v>9947</v>
      </c>
      <c r="C1040" s="17" t="s">
        <v>9948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9949</v>
      </c>
      <c r="B1041" s="17" t="s">
        <v>9949</v>
      </c>
      <c r="C1041" s="17" t="s">
        <v>9950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9951</v>
      </c>
      <c r="B1042" s="17" t="s">
        <v>9951</v>
      </c>
      <c r="C1042" s="17" t="s">
        <v>9952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9953</v>
      </c>
      <c r="B1043" s="17" t="s">
        <v>9953</v>
      </c>
      <c r="C1043" s="17" t="s">
        <v>9954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9955</v>
      </c>
      <c r="B1044" s="17" t="s">
        <v>9955</v>
      </c>
      <c r="C1044" s="17" t="s">
        <v>9956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9957</v>
      </c>
      <c r="B1045" s="17" t="s">
        <v>9957</v>
      </c>
      <c r="C1045" s="17" t="s">
        <v>9958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9959</v>
      </c>
      <c r="B1046" s="17" t="s">
        <v>9959</v>
      </c>
      <c r="C1046" s="17" t="s">
        <v>9960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9961</v>
      </c>
      <c r="B1047" s="17" t="s">
        <v>9961</v>
      </c>
      <c r="C1047" s="17" t="s">
        <v>9962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9963</v>
      </c>
      <c r="B1048" s="17" t="s">
        <v>9963</v>
      </c>
      <c r="C1048" s="17" t="s">
        <v>9964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9965</v>
      </c>
      <c r="B1049" s="17" t="s">
        <v>9965</v>
      </c>
      <c r="C1049" s="17" t="s">
        <v>9966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9967</v>
      </c>
      <c r="B1050" s="17" t="s">
        <v>9967</v>
      </c>
      <c r="C1050" s="17" t="s">
        <v>9968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9969</v>
      </c>
      <c r="B1051" s="17" t="s">
        <v>9969</v>
      </c>
      <c r="C1051" s="17" t="s">
        <v>9970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9971</v>
      </c>
      <c r="B1052" s="17" t="s">
        <v>9971</v>
      </c>
      <c r="C1052" s="17" t="s">
        <v>9972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9973</v>
      </c>
      <c r="B1053" s="17" t="s">
        <v>9973</v>
      </c>
      <c r="C1053" s="17" t="s">
        <v>9974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9975</v>
      </c>
      <c r="B1054" s="17" t="s">
        <v>9975</v>
      </c>
      <c r="C1054" s="17" t="s">
        <v>9976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9977</v>
      </c>
      <c r="B1055" s="17" t="s">
        <v>9977</v>
      </c>
      <c r="C1055" s="17" t="s">
        <v>9978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9979</v>
      </c>
      <c r="B1056" s="17" t="s">
        <v>9979</v>
      </c>
      <c r="C1056" s="17" t="s">
        <v>9980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9981</v>
      </c>
      <c r="B1057" s="17" t="s">
        <v>9981</v>
      </c>
      <c r="C1057" s="17" t="s">
        <v>9982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9983</v>
      </c>
      <c r="B1058" s="17" t="s">
        <v>9983</v>
      </c>
      <c r="C1058" s="17" t="s">
        <v>9984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9985</v>
      </c>
      <c r="B1059" s="17" t="s">
        <v>9985</v>
      </c>
      <c r="C1059" s="17" t="s">
        <v>9986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9987</v>
      </c>
      <c r="B1060" s="17" t="s">
        <v>9987</v>
      </c>
      <c r="C1060" s="17" t="s">
        <v>9988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9989</v>
      </c>
      <c r="B1061" s="17" t="s">
        <v>9989</v>
      </c>
      <c r="C1061" s="17" t="s">
        <v>9990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9991</v>
      </c>
      <c r="B1062" s="17" t="s">
        <v>9991</v>
      </c>
      <c r="C1062" s="17" t="s">
        <v>9992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9993</v>
      </c>
      <c r="B1063" s="17" t="s">
        <v>9993</v>
      </c>
      <c r="C1063" s="17" t="s">
        <v>9994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9995</v>
      </c>
      <c r="B1064" s="17" t="s">
        <v>9995</v>
      </c>
      <c r="C1064" s="17" t="s">
        <v>9996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9997</v>
      </c>
      <c r="B1065" s="17" t="s">
        <v>9997</v>
      </c>
      <c r="C1065" s="17" t="s">
        <v>9998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9999</v>
      </c>
      <c r="B1066" s="17" t="s">
        <v>9999</v>
      </c>
      <c r="C1066" s="17" t="s">
        <v>10000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10001</v>
      </c>
      <c r="B1067" s="17" t="s">
        <v>10001</v>
      </c>
      <c r="C1067" s="17" t="s">
        <v>10002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10003</v>
      </c>
      <c r="B1068" s="17" t="s">
        <v>10003</v>
      </c>
      <c r="C1068" s="17" t="s">
        <v>10004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10005</v>
      </c>
      <c r="B1069" s="17" t="s">
        <v>10005</v>
      </c>
      <c r="C1069" s="17" t="s">
        <v>10006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10007</v>
      </c>
      <c r="B1070" s="17" t="s">
        <v>10007</v>
      </c>
      <c r="C1070" s="17" t="s">
        <v>10008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10009</v>
      </c>
      <c r="B1071" s="17" t="s">
        <v>10009</v>
      </c>
      <c r="C1071" s="17" t="s">
        <v>10010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10011</v>
      </c>
      <c r="B1072" s="17" t="s">
        <v>10011</v>
      </c>
      <c r="C1072" s="17" t="s">
        <v>10012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10013</v>
      </c>
      <c r="B1073" s="17" t="s">
        <v>10013</v>
      </c>
      <c r="C1073" s="17" t="s">
        <v>10014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10015</v>
      </c>
      <c r="B1074" s="17" t="s">
        <v>10015</v>
      </c>
      <c r="C1074" s="17" t="s">
        <v>10016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10017</v>
      </c>
      <c r="B1075" s="17" t="s">
        <v>10017</v>
      </c>
      <c r="C1075" s="17" t="s">
        <v>10018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10019</v>
      </c>
      <c r="B1076" s="17" t="s">
        <v>10019</v>
      </c>
      <c r="C1076" s="17" t="s">
        <v>10020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10021</v>
      </c>
      <c r="B1077" s="17" t="s">
        <v>10021</v>
      </c>
      <c r="C1077" s="17" t="s">
        <v>10022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10023</v>
      </c>
      <c r="B1078" s="17" t="s">
        <v>10023</v>
      </c>
      <c r="C1078" s="17" t="s">
        <v>10024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10025</v>
      </c>
      <c r="B1079" s="17" t="s">
        <v>10025</v>
      </c>
      <c r="C1079" s="17" t="s">
        <v>10026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10027</v>
      </c>
      <c r="B1080" s="17" t="s">
        <v>10027</v>
      </c>
      <c r="C1080" s="17" t="s">
        <v>10028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10029</v>
      </c>
      <c r="B1081" s="17" t="s">
        <v>10029</v>
      </c>
      <c r="C1081" s="17" t="s">
        <v>10030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10031</v>
      </c>
      <c r="B1082" s="17" t="s">
        <v>10031</v>
      </c>
      <c r="C1082" s="17" t="s">
        <v>10032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10033</v>
      </c>
      <c r="B1083" s="17" t="s">
        <v>10033</v>
      </c>
      <c r="C1083" s="17" t="s">
        <v>10034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10035</v>
      </c>
      <c r="B1084" s="17" t="s">
        <v>10035</v>
      </c>
      <c r="C1084" s="17" t="s">
        <v>10036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10037</v>
      </c>
      <c r="B1085" s="17" t="s">
        <v>10037</v>
      </c>
      <c r="C1085" s="17" t="s">
        <v>10038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10039</v>
      </c>
      <c r="B1086" s="17" t="s">
        <v>10039</v>
      </c>
      <c r="C1086" s="17" t="s">
        <v>10040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10041</v>
      </c>
      <c r="B1087" s="17" t="s">
        <v>10041</v>
      </c>
      <c r="C1087" s="17" t="s">
        <v>10042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10043</v>
      </c>
      <c r="B1088" s="17" t="s">
        <v>10043</v>
      </c>
      <c r="C1088" s="17" t="s">
        <v>10044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10045</v>
      </c>
      <c r="B1089" s="17" t="s">
        <v>10045</v>
      </c>
      <c r="C1089" s="17" t="s">
        <v>10046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10047</v>
      </c>
      <c r="B1090" s="17" t="s">
        <v>10047</v>
      </c>
      <c r="C1090" s="17" t="s">
        <v>10048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10049</v>
      </c>
      <c r="B1091" s="17" t="s">
        <v>10049</v>
      </c>
      <c r="C1091" s="17" t="s">
        <v>10050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10051</v>
      </c>
      <c r="B1092" s="17" t="s">
        <v>10051</v>
      </c>
      <c r="C1092" s="17" t="s">
        <v>10052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10053</v>
      </c>
      <c r="B1093" s="17" t="s">
        <v>10053</v>
      </c>
      <c r="C1093" s="17" t="s">
        <v>10054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10055</v>
      </c>
      <c r="B1094" s="17" t="s">
        <v>10055</v>
      </c>
      <c r="C1094" s="17" t="s">
        <v>10056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10057</v>
      </c>
      <c r="B1095" s="17" t="s">
        <v>10057</v>
      </c>
      <c r="C1095" s="17" t="s">
        <v>10058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10059</v>
      </c>
      <c r="B1096" s="17" t="s">
        <v>10059</v>
      </c>
      <c r="C1096" s="17" t="s">
        <v>10060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10061</v>
      </c>
      <c r="B1097" s="17" t="s">
        <v>10061</v>
      </c>
      <c r="C1097" s="17" t="s">
        <v>10062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10063</v>
      </c>
      <c r="B1098" s="17" t="s">
        <v>10063</v>
      </c>
      <c r="C1098" s="17" t="s">
        <v>10064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10065</v>
      </c>
      <c r="B1099" s="17" t="s">
        <v>10065</v>
      </c>
      <c r="C1099" s="17" t="s">
        <v>10066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10067</v>
      </c>
      <c r="B1100" s="17" t="s">
        <v>10067</v>
      </c>
      <c r="C1100" s="17" t="s">
        <v>10068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10069</v>
      </c>
      <c r="B1101" s="17" t="s">
        <v>10069</v>
      </c>
      <c r="C1101" s="17" t="s">
        <v>10070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10071</v>
      </c>
      <c r="B1102" s="17" t="s">
        <v>10071</v>
      </c>
      <c r="C1102" s="17" t="s">
        <v>10072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10073</v>
      </c>
      <c r="B1103" s="17" t="s">
        <v>10073</v>
      </c>
      <c r="C1103" s="17" t="s">
        <v>10074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10075</v>
      </c>
      <c r="B1104" s="17" t="s">
        <v>10075</v>
      </c>
      <c r="C1104" s="17" t="s">
        <v>10076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10077</v>
      </c>
      <c r="B1105" s="17" t="s">
        <v>10077</v>
      </c>
      <c r="C1105" s="17" t="s">
        <v>10078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10079</v>
      </c>
      <c r="B1106" s="17" t="s">
        <v>10079</v>
      </c>
      <c r="C1106" s="17" t="s">
        <v>10080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10081</v>
      </c>
      <c r="B1107" s="17" t="s">
        <v>10081</v>
      </c>
      <c r="C1107" s="17" t="s">
        <v>10082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10083</v>
      </c>
      <c r="B1108" s="17" t="s">
        <v>10083</v>
      </c>
      <c r="C1108" s="17" t="s">
        <v>10084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10085</v>
      </c>
      <c r="B1109" s="17" t="s">
        <v>10085</v>
      </c>
      <c r="C1109" s="17" t="s">
        <v>10086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10087</v>
      </c>
      <c r="B1110" s="17" t="s">
        <v>10087</v>
      </c>
      <c r="C1110" s="17" t="s">
        <v>10088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10089</v>
      </c>
      <c r="B1111" s="17" t="s">
        <v>10089</v>
      </c>
      <c r="C1111" s="17" t="s">
        <v>10090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10091</v>
      </c>
      <c r="B1112" s="17" t="s">
        <v>10091</v>
      </c>
      <c r="C1112" s="17" t="s">
        <v>10092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10093</v>
      </c>
      <c r="B1113" s="17" t="s">
        <v>10093</v>
      </c>
      <c r="C1113" s="17" t="s">
        <v>10094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10095</v>
      </c>
      <c r="B1114" s="17" t="s">
        <v>10095</v>
      </c>
      <c r="C1114" s="17" t="s">
        <v>10096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10097</v>
      </c>
      <c r="B1115" s="17" t="s">
        <v>10097</v>
      </c>
      <c r="C1115" s="17" t="s">
        <v>10098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10099</v>
      </c>
      <c r="B1116" s="17" t="s">
        <v>10099</v>
      </c>
      <c r="C1116" s="17" t="s">
        <v>10100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10101</v>
      </c>
      <c r="B1117" s="17" t="s">
        <v>10101</v>
      </c>
      <c r="C1117" s="17" t="s">
        <v>10102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10103</v>
      </c>
      <c r="B1118" s="17" t="s">
        <v>10103</v>
      </c>
      <c r="C1118" s="17" t="s">
        <v>10104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10105</v>
      </c>
      <c r="B1119" s="17" t="s">
        <v>10105</v>
      </c>
      <c r="C1119" s="17" t="s">
        <v>10106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10107</v>
      </c>
      <c r="B1120" s="17" t="s">
        <v>10107</v>
      </c>
      <c r="C1120" s="17" t="s">
        <v>10108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10109</v>
      </c>
      <c r="B1121" s="17" t="s">
        <v>10109</v>
      </c>
      <c r="C1121" s="17" t="s">
        <v>10110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10111</v>
      </c>
      <c r="B1122" s="17" t="s">
        <v>10111</v>
      </c>
      <c r="C1122" s="17" t="s">
        <v>10112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10113</v>
      </c>
      <c r="B1123" s="17" t="s">
        <v>10113</v>
      </c>
      <c r="C1123" s="17" t="s">
        <v>10114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10115</v>
      </c>
      <c r="B1124" s="17" t="s">
        <v>10115</v>
      </c>
      <c r="C1124" s="17" t="s">
        <v>10116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10117</v>
      </c>
      <c r="B1125" s="17" t="s">
        <v>10117</v>
      </c>
      <c r="C1125" s="17" t="s">
        <v>10118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10119</v>
      </c>
      <c r="B1126" s="17" t="s">
        <v>10119</v>
      </c>
      <c r="C1126" s="17" t="s">
        <v>10120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10121</v>
      </c>
      <c r="B1127" s="17" t="s">
        <v>10121</v>
      </c>
      <c r="C1127" s="17" t="s">
        <v>10122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10123</v>
      </c>
      <c r="B1128" s="17" t="s">
        <v>10123</v>
      </c>
      <c r="C1128" s="17" t="s">
        <v>10124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10125</v>
      </c>
      <c r="B1129" s="17" t="s">
        <v>10125</v>
      </c>
      <c r="C1129" s="17" t="s">
        <v>10126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10127</v>
      </c>
      <c r="B1130" s="17" t="s">
        <v>10127</v>
      </c>
      <c r="C1130" s="17" t="s">
        <v>10128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10129</v>
      </c>
      <c r="B1131" s="17" t="s">
        <v>10129</v>
      </c>
      <c r="C1131" s="17" t="s">
        <v>10130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10131</v>
      </c>
      <c r="B1132" s="17" t="s">
        <v>10131</v>
      </c>
      <c r="C1132" s="17" t="s">
        <v>10132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10133</v>
      </c>
      <c r="B1133" s="17" t="s">
        <v>10133</v>
      </c>
      <c r="C1133" s="17" t="s">
        <v>10134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10135</v>
      </c>
      <c r="B1134" s="17" t="s">
        <v>10135</v>
      </c>
      <c r="C1134" s="17" t="s">
        <v>10136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10137</v>
      </c>
      <c r="B1135" s="17" t="s">
        <v>10137</v>
      </c>
      <c r="C1135" s="17" t="s">
        <v>10138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10139</v>
      </c>
      <c r="B1136" s="17" t="s">
        <v>10139</v>
      </c>
      <c r="C1136" s="17" t="s">
        <v>10140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10141</v>
      </c>
      <c r="B1137" s="17" t="s">
        <v>10141</v>
      </c>
      <c r="C1137" s="17" t="s">
        <v>10142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10143</v>
      </c>
      <c r="B1138" s="17" t="s">
        <v>10143</v>
      </c>
      <c r="C1138" s="17" t="s">
        <v>10144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10145</v>
      </c>
      <c r="B1139" s="17" t="s">
        <v>10145</v>
      </c>
      <c r="C1139" s="17" t="s">
        <v>10146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10147</v>
      </c>
      <c r="B1140" s="17" t="s">
        <v>10147</v>
      </c>
      <c r="C1140" s="17" t="s">
        <v>10148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10149</v>
      </c>
      <c r="B1141" s="17" t="s">
        <v>10149</v>
      </c>
      <c r="C1141" s="17" t="s">
        <v>10150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10151</v>
      </c>
      <c r="B1142" s="17" t="s">
        <v>10151</v>
      </c>
      <c r="C1142" s="17" t="s">
        <v>10152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10153</v>
      </c>
      <c r="B1143" s="17" t="s">
        <v>10153</v>
      </c>
      <c r="C1143" s="17" t="s">
        <v>10154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10155</v>
      </c>
      <c r="B1144" s="17" t="s">
        <v>10155</v>
      </c>
      <c r="C1144" s="17" t="s">
        <v>10156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10157</v>
      </c>
      <c r="B1145" s="17" t="s">
        <v>10157</v>
      </c>
      <c r="C1145" s="17" t="s">
        <v>10158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10159</v>
      </c>
      <c r="B1146" s="17" t="s">
        <v>10159</v>
      </c>
      <c r="C1146" s="17" t="s">
        <v>10160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10161</v>
      </c>
      <c r="B1147" s="17" t="s">
        <v>10161</v>
      </c>
      <c r="C1147" s="17" t="s">
        <v>10162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10163</v>
      </c>
      <c r="B1148" s="17" t="s">
        <v>10163</v>
      </c>
      <c r="C1148" s="17" t="s">
        <v>10164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10165</v>
      </c>
      <c r="B1149" s="17" t="s">
        <v>10165</v>
      </c>
      <c r="C1149" s="17" t="s">
        <v>10166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10167</v>
      </c>
      <c r="B1150" s="17" t="s">
        <v>10167</v>
      </c>
      <c r="C1150" s="17" t="s">
        <v>10168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10169</v>
      </c>
      <c r="B1151" s="17" t="s">
        <v>10169</v>
      </c>
      <c r="C1151" s="17" t="s">
        <v>10170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10171</v>
      </c>
      <c r="B1152" s="17" t="s">
        <v>10171</v>
      </c>
      <c r="C1152" s="17" t="s">
        <v>10172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10173</v>
      </c>
      <c r="B1153" s="17" t="s">
        <v>10173</v>
      </c>
      <c r="C1153" s="17" t="s">
        <v>10174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10175</v>
      </c>
      <c r="B1154" s="17" t="s">
        <v>10175</v>
      </c>
      <c r="C1154" s="17" t="s">
        <v>10176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10177</v>
      </c>
      <c r="B1155" s="17" t="s">
        <v>10177</v>
      </c>
      <c r="C1155" s="17" t="s">
        <v>10178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10179</v>
      </c>
      <c r="B1156" s="17" t="s">
        <v>10179</v>
      </c>
      <c r="C1156" s="17" t="s">
        <v>10180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10181</v>
      </c>
      <c r="B1157" s="17" t="s">
        <v>10181</v>
      </c>
      <c r="C1157" s="17" t="s">
        <v>10182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10183</v>
      </c>
      <c r="B1158" s="17" t="s">
        <v>10183</v>
      </c>
      <c r="C1158" s="16" t="s">
        <v>10184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10185</v>
      </c>
      <c r="B1159" s="17" t="s">
        <v>10185</v>
      </c>
      <c r="C1159" s="17" t="s">
        <v>10186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10187</v>
      </c>
      <c r="B1160" s="17" t="s">
        <v>10187</v>
      </c>
      <c r="C1160" s="17" t="s">
        <v>10188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10189</v>
      </c>
      <c r="B1161" s="17" t="s">
        <v>10189</v>
      </c>
      <c r="C1161" s="17" t="s">
        <v>10190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10191</v>
      </c>
      <c r="B1162" s="17" t="s">
        <v>10191</v>
      </c>
      <c r="C1162" s="17" t="s">
        <v>10192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10193</v>
      </c>
      <c r="B1163" s="17" t="s">
        <v>10193</v>
      </c>
      <c r="C1163" s="17" t="s">
        <v>10194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10195</v>
      </c>
      <c r="B1164" s="17" t="s">
        <v>10195</v>
      </c>
      <c r="C1164" s="17" t="s">
        <v>10196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10197</v>
      </c>
      <c r="B1165" s="17" t="s">
        <v>10197</v>
      </c>
      <c r="C1165" s="17" t="s">
        <v>10198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10199</v>
      </c>
      <c r="B1166" s="17" t="s">
        <v>10199</v>
      </c>
      <c r="C1166" s="17" t="s">
        <v>10200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10201</v>
      </c>
      <c r="B1167" s="17" t="s">
        <v>10201</v>
      </c>
      <c r="C1167" s="17" t="s">
        <v>10202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10203</v>
      </c>
      <c r="B1168" s="17" t="s">
        <v>10203</v>
      </c>
      <c r="C1168" s="17" t="s">
        <v>10204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10205</v>
      </c>
      <c r="B1169" s="17" t="s">
        <v>10205</v>
      </c>
      <c r="C1169" s="17" t="s">
        <v>10206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10207</v>
      </c>
      <c r="B1170" s="17" t="s">
        <v>10207</v>
      </c>
      <c r="C1170" s="17" t="s">
        <v>10208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10209</v>
      </c>
      <c r="B1171" s="17" t="s">
        <v>10209</v>
      </c>
      <c r="C1171" s="17" t="s">
        <v>10210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10211</v>
      </c>
      <c r="B1172" s="17" t="s">
        <v>10211</v>
      </c>
      <c r="C1172" s="17" t="s">
        <v>10212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10213</v>
      </c>
      <c r="B1173" s="17" t="s">
        <v>10213</v>
      </c>
      <c r="C1173" s="17" t="s">
        <v>10214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10215</v>
      </c>
      <c r="B1174" s="17" t="s">
        <v>10215</v>
      </c>
      <c r="C1174" s="17" t="s">
        <v>10216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10217</v>
      </c>
      <c r="B1175" s="17" t="s">
        <v>10217</v>
      </c>
      <c r="C1175" s="17" t="s">
        <v>10218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10219</v>
      </c>
      <c r="B1176" s="17" t="s">
        <v>10219</v>
      </c>
      <c r="C1176" s="17" t="s">
        <v>10220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10221</v>
      </c>
      <c r="B1177" s="17" t="s">
        <v>10221</v>
      </c>
      <c r="C1177" s="17" t="s">
        <v>10222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10223</v>
      </c>
      <c r="B1178" s="17" t="s">
        <v>10223</v>
      </c>
      <c r="C1178" s="17" t="s">
        <v>10224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10225</v>
      </c>
      <c r="B1179" s="17" t="s">
        <v>10225</v>
      </c>
      <c r="C1179" s="17" t="s">
        <v>10226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10227</v>
      </c>
      <c r="B1180" s="17" t="s">
        <v>10227</v>
      </c>
      <c r="C1180" s="17" t="s">
        <v>10228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10229</v>
      </c>
      <c r="B1181" s="17" t="s">
        <v>10229</v>
      </c>
      <c r="C1181" s="17" t="s">
        <v>10230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10231</v>
      </c>
      <c r="B1182" s="17" t="s">
        <v>10231</v>
      </c>
      <c r="C1182" s="17" t="s">
        <v>10232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10233</v>
      </c>
      <c r="B1183" s="17" t="s">
        <v>10233</v>
      </c>
      <c r="C1183" s="17" t="s">
        <v>10234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10235</v>
      </c>
      <c r="B1184" s="17" t="s">
        <v>10235</v>
      </c>
      <c r="C1184" s="17" t="s">
        <v>10236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10237</v>
      </c>
      <c r="B1185" s="17" t="s">
        <v>10237</v>
      </c>
      <c r="C1185" s="17" t="s">
        <v>10238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10239</v>
      </c>
      <c r="B1186" s="17" t="s">
        <v>10239</v>
      </c>
      <c r="C1186" s="17" t="s">
        <v>10240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10241</v>
      </c>
      <c r="B1187" s="17" t="s">
        <v>10241</v>
      </c>
      <c r="C1187" s="17" t="s">
        <v>10242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10243</v>
      </c>
      <c r="B1188" s="17" t="s">
        <v>10243</v>
      </c>
      <c r="C1188" s="17" t="s">
        <v>10244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10245</v>
      </c>
      <c r="B1189" s="17" t="s">
        <v>10245</v>
      </c>
      <c r="C1189" s="17" t="s">
        <v>10246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10247</v>
      </c>
      <c r="B1190" s="17" t="s">
        <v>10247</v>
      </c>
      <c r="C1190" s="17" t="s">
        <v>10248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10249</v>
      </c>
      <c r="B1191" s="17" t="s">
        <v>10249</v>
      </c>
      <c r="C1191" s="17" t="s">
        <v>10250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10251</v>
      </c>
      <c r="B1192" s="17" t="s">
        <v>10251</v>
      </c>
      <c r="C1192" s="17" t="s">
        <v>10252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10253</v>
      </c>
      <c r="B1193" s="17" t="s">
        <v>10253</v>
      </c>
      <c r="C1193" s="17" t="s">
        <v>10254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10255</v>
      </c>
      <c r="B1194" s="17" t="s">
        <v>10255</v>
      </c>
      <c r="C1194" s="17" t="s">
        <v>10256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9579</v>
      </c>
      <c r="B1195" s="16" t="s">
        <v>9579</v>
      </c>
      <c r="C1195" s="16" t="s">
        <v>9580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9581</v>
      </c>
      <c r="B1196" s="17" t="s">
        <v>9581</v>
      </c>
      <c r="C1196" s="17" t="s">
        <v>9582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9583</v>
      </c>
      <c r="B1197" s="17" t="s">
        <v>9583</v>
      </c>
      <c r="C1197" s="17" t="s">
        <v>9584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9585</v>
      </c>
      <c r="B1198" s="17" t="s">
        <v>9585</v>
      </c>
      <c r="C1198" s="17" t="s">
        <v>9586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9587</v>
      </c>
      <c r="B1199" s="17" t="s">
        <v>9587</v>
      </c>
      <c r="C1199" s="17" t="s">
        <v>9588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9589</v>
      </c>
      <c r="B1200" s="17" t="s">
        <v>9589</v>
      </c>
      <c r="C1200" s="17" t="s">
        <v>9590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9591</v>
      </c>
      <c r="B1201" s="17" t="s">
        <v>9591</v>
      </c>
      <c r="C1201" s="17" t="s">
        <v>9592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9593</v>
      </c>
      <c r="B1202" s="17" t="s">
        <v>9593</v>
      </c>
      <c r="C1202" s="17" t="s">
        <v>9594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9595</v>
      </c>
      <c r="B1203" s="17" t="s">
        <v>9595</v>
      </c>
      <c r="C1203" s="17" t="s">
        <v>9596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9597</v>
      </c>
      <c r="B1204" s="17" t="s">
        <v>9597</v>
      </c>
      <c r="C1204" s="17" t="s">
        <v>9598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9599</v>
      </c>
      <c r="B1205" s="17" t="s">
        <v>9599</v>
      </c>
      <c r="C1205" s="17" t="s">
        <v>9600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9601</v>
      </c>
      <c r="B1206" s="17" t="s">
        <v>9601</v>
      </c>
      <c r="C1206" s="17" t="s">
        <v>9602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9603</v>
      </c>
      <c r="B1207" s="17" t="s">
        <v>9603</v>
      </c>
      <c r="C1207" s="17" t="s">
        <v>9604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9605</v>
      </c>
      <c r="B1208" s="17" t="s">
        <v>9605</v>
      </c>
      <c r="C1208" s="17" t="s">
        <v>9606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9607</v>
      </c>
      <c r="B1209" s="17" t="s">
        <v>9607</v>
      </c>
      <c r="C1209" s="17" t="s">
        <v>9608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9609</v>
      </c>
      <c r="B1210" s="17" t="s">
        <v>9609</v>
      </c>
      <c r="C1210" s="17" t="s">
        <v>9610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9611</v>
      </c>
      <c r="B1211" s="17" t="s">
        <v>9611</v>
      </c>
      <c r="C1211" s="17" t="s">
        <v>9612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9613</v>
      </c>
      <c r="B1212" s="17" t="s">
        <v>9613</v>
      </c>
      <c r="C1212" s="17" t="s">
        <v>9614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9615</v>
      </c>
      <c r="B1213" s="17" t="s">
        <v>9615</v>
      </c>
      <c r="C1213" s="17" t="s">
        <v>9616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9617</v>
      </c>
      <c r="B1214" s="17" t="s">
        <v>9617</v>
      </c>
      <c r="C1214" s="17" t="s">
        <v>9618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9619</v>
      </c>
      <c r="B1215" s="17" t="s">
        <v>9619</v>
      </c>
      <c r="C1215" s="17" t="s">
        <v>9620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9621</v>
      </c>
      <c r="B1216" s="17" t="s">
        <v>9621</v>
      </c>
      <c r="C1216" s="17" t="s">
        <v>9622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9623</v>
      </c>
      <c r="B1217" s="17" t="s">
        <v>9623</v>
      </c>
      <c r="C1217" s="17" t="s">
        <v>9624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9625</v>
      </c>
      <c r="B1218" s="17" t="s">
        <v>9625</v>
      </c>
      <c r="C1218" s="17" t="s">
        <v>9626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9627</v>
      </c>
      <c r="B1219" s="17" t="s">
        <v>9627</v>
      </c>
      <c r="C1219" s="17" t="s">
        <v>9628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9629</v>
      </c>
      <c r="B1220" s="17" t="s">
        <v>9629</v>
      </c>
      <c r="C1220" s="17" t="s">
        <v>9630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9631</v>
      </c>
      <c r="B1221" s="17" t="s">
        <v>9631</v>
      </c>
      <c r="C1221" s="17" t="s">
        <v>9632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9633</v>
      </c>
      <c r="B1222" s="17" t="s">
        <v>9633</v>
      </c>
      <c r="C1222" s="17" t="s">
        <v>9634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9635</v>
      </c>
      <c r="B1223" s="17" t="s">
        <v>9635</v>
      </c>
      <c r="C1223" s="17" t="s">
        <v>9636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9637</v>
      </c>
      <c r="B1224" s="17" t="s">
        <v>9637</v>
      </c>
      <c r="C1224" s="17" t="s">
        <v>9638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9639</v>
      </c>
      <c r="B1225" s="17" t="s">
        <v>9639</v>
      </c>
      <c r="C1225" s="17" t="s">
        <v>9640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9641</v>
      </c>
      <c r="B1226" s="17" t="s">
        <v>9641</v>
      </c>
      <c r="C1226" s="17" t="s">
        <v>9642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9643</v>
      </c>
      <c r="B1227" s="17" t="s">
        <v>9643</v>
      </c>
      <c r="C1227" s="17" t="s">
        <v>9644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9645</v>
      </c>
      <c r="B1228" s="17" t="s">
        <v>9645</v>
      </c>
      <c r="C1228" s="17" t="s">
        <v>9646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9647</v>
      </c>
      <c r="B1229" s="17" t="s">
        <v>9647</v>
      </c>
      <c r="C1229" s="17" t="s">
        <v>9648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9649</v>
      </c>
      <c r="B1230" s="17" t="s">
        <v>9649</v>
      </c>
      <c r="C1230" s="17" t="s">
        <v>9650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9651</v>
      </c>
      <c r="B1231" s="17" t="s">
        <v>9651</v>
      </c>
      <c r="C1231" s="17" t="s">
        <v>9652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9653</v>
      </c>
      <c r="B1232" s="17" t="s">
        <v>9653</v>
      </c>
      <c r="C1232" s="17" t="s">
        <v>9654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9655</v>
      </c>
      <c r="B1233" s="17" t="s">
        <v>9655</v>
      </c>
      <c r="C1233" s="17" t="s">
        <v>9656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9657</v>
      </c>
      <c r="B1234" s="17" t="s">
        <v>9657</v>
      </c>
      <c r="C1234" s="17" t="s">
        <v>9658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9659</v>
      </c>
      <c r="B1235" s="17" t="s">
        <v>9659</v>
      </c>
      <c r="C1235" s="17" t="s">
        <v>9660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9661</v>
      </c>
      <c r="B1236" s="17" t="s">
        <v>9661</v>
      </c>
      <c r="C1236" s="17" t="s">
        <v>9662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9663</v>
      </c>
      <c r="B1237" s="17" t="s">
        <v>9663</v>
      </c>
      <c r="C1237" s="17" t="s">
        <v>9664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9665</v>
      </c>
      <c r="B1238" s="17" t="s">
        <v>9665</v>
      </c>
      <c r="C1238" s="17" t="s">
        <v>9666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9667</v>
      </c>
      <c r="B1239" s="17" t="s">
        <v>9667</v>
      </c>
      <c r="C1239" s="17" t="s">
        <v>9668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9669</v>
      </c>
      <c r="B1240" s="17" t="s">
        <v>9669</v>
      </c>
      <c r="C1240" s="17" t="s">
        <v>9670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9671</v>
      </c>
      <c r="B1241" s="17" t="s">
        <v>9671</v>
      </c>
      <c r="C1241" s="17" t="s">
        <v>9672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9673</v>
      </c>
      <c r="B1242" s="17" t="s">
        <v>9673</v>
      </c>
      <c r="C1242" s="17" t="s">
        <v>9674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9675</v>
      </c>
      <c r="B1243" s="17" t="s">
        <v>9675</v>
      </c>
      <c r="C1243" s="17" t="s">
        <v>9676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9677</v>
      </c>
      <c r="B1244" s="17" t="s">
        <v>9677</v>
      </c>
      <c r="C1244" s="17" t="s">
        <v>9678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9679</v>
      </c>
      <c r="B1245" s="17" t="s">
        <v>9679</v>
      </c>
      <c r="C1245" s="17" t="s">
        <v>9680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9681</v>
      </c>
      <c r="B1246" s="17" t="s">
        <v>9681</v>
      </c>
      <c r="C1246" s="17" t="s">
        <v>9682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9683</v>
      </c>
      <c r="B1247" s="17" t="s">
        <v>9683</v>
      </c>
      <c r="C1247" s="17" t="s">
        <v>9684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9685</v>
      </c>
      <c r="B1248" s="17" t="s">
        <v>9685</v>
      </c>
      <c r="C1248" s="17" t="s">
        <v>9686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9687</v>
      </c>
      <c r="B1249" s="17" t="s">
        <v>9687</v>
      </c>
      <c r="C1249" s="17" t="s">
        <v>9688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9689</v>
      </c>
      <c r="B1250" s="17" t="s">
        <v>9689</v>
      </c>
      <c r="C1250" s="17" t="s">
        <v>9690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9691</v>
      </c>
      <c r="B1251" s="17" t="s">
        <v>9691</v>
      </c>
      <c r="C1251" s="17" t="s">
        <v>9692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9693</v>
      </c>
      <c r="B1252" s="17" t="s">
        <v>9693</v>
      </c>
      <c r="C1252" s="17" t="s">
        <v>9694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9695</v>
      </c>
      <c r="B1253" s="17" t="s">
        <v>9695</v>
      </c>
      <c r="C1253" s="17" t="s">
        <v>9696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9697</v>
      </c>
      <c r="B1254" s="17" t="s">
        <v>9697</v>
      </c>
      <c r="C1254" s="17" t="s">
        <v>9698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9699</v>
      </c>
      <c r="B1255" s="17" t="s">
        <v>9699</v>
      </c>
      <c r="C1255" s="17" t="s">
        <v>9700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9701</v>
      </c>
      <c r="B1256" s="17" t="s">
        <v>9701</v>
      </c>
      <c r="C1256" s="17" t="s">
        <v>9702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9703</v>
      </c>
      <c r="B1257" s="17" t="s">
        <v>9703</v>
      </c>
      <c r="C1257" s="17" t="s">
        <v>9704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9705</v>
      </c>
      <c r="B1258" s="17" t="s">
        <v>9705</v>
      </c>
      <c r="C1258" s="17" t="s">
        <v>9706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9707</v>
      </c>
      <c r="B1259" s="17" t="s">
        <v>9707</v>
      </c>
      <c r="C1259" s="17" t="s">
        <v>9708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9709</v>
      </c>
      <c r="B1260" s="17" t="s">
        <v>9709</v>
      </c>
      <c r="C1260" s="17" t="s">
        <v>9710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9711</v>
      </c>
      <c r="B1261" s="17" t="s">
        <v>9711</v>
      </c>
      <c r="C1261" s="17" t="s">
        <v>9712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9713</v>
      </c>
      <c r="B1262" s="17" t="s">
        <v>9713</v>
      </c>
      <c r="C1262" s="17" t="s">
        <v>9714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13711</v>
      </c>
      <c r="O1262" s="17" t="s">
        <v>26</v>
      </c>
      <c r="P1262" s="17" t="s">
        <v>13712</v>
      </c>
      <c r="Q1262" t="s">
        <v>478</v>
      </c>
      <c r="R1262" s="17" t="s">
        <v>13713</v>
      </c>
      <c r="S1262" t="s">
        <v>26</v>
      </c>
      <c r="T1262" s="17" t="s">
        <v>13714</v>
      </c>
      <c r="U1262" s="17"/>
      <c r="V1262" s="17"/>
      <c r="W1262" s="17"/>
      <c r="X1262" s="17"/>
      <c r="Y1262" s="17"/>
      <c r="Z1262" s="17"/>
    </row>
    <row r="1263" spans="1:26">
      <c r="A1263" s="17" t="s">
        <v>9715</v>
      </c>
      <c r="B1263" s="17" t="s">
        <v>9715</v>
      </c>
      <c r="C1263" s="17" t="s">
        <v>9716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9717</v>
      </c>
      <c r="B1264" s="17" t="s">
        <v>9717</v>
      </c>
      <c r="C1264" s="17" t="s">
        <v>9718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9719</v>
      </c>
      <c r="B1265" s="17" t="s">
        <v>9719</v>
      </c>
      <c r="C1265" s="17" t="s">
        <v>9720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9721</v>
      </c>
      <c r="B1266" s="17" t="s">
        <v>9721</v>
      </c>
      <c r="C1266" s="17" t="s">
        <v>9722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9723</v>
      </c>
      <c r="B1267" s="17" t="s">
        <v>9723</v>
      </c>
      <c r="C1267" s="17" t="s">
        <v>9724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9725</v>
      </c>
      <c r="B1268" s="17" t="s">
        <v>9725</v>
      </c>
      <c r="C1268" s="17" t="s">
        <v>9726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9727</v>
      </c>
      <c r="B1269" s="17" t="s">
        <v>9727</v>
      </c>
      <c r="C1269" s="17" t="s">
        <v>9728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9729</v>
      </c>
      <c r="B1271" s="17" t="s">
        <v>9729</v>
      </c>
      <c r="C1271" s="17" t="s">
        <v>9730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9731</v>
      </c>
      <c r="B1272" s="17" t="s">
        <v>9731</v>
      </c>
      <c r="C1272" s="17" t="s">
        <v>9732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9733</v>
      </c>
      <c r="B1273" s="17" t="s">
        <v>9733</v>
      </c>
      <c r="C1273" s="17" t="s">
        <v>9734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9735</v>
      </c>
      <c r="B1274" s="17" t="s">
        <v>9735</v>
      </c>
      <c r="C1274" s="17" t="s">
        <v>9736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9737</v>
      </c>
      <c r="B1275" s="17" t="s">
        <v>9737</v>
      </c>
      <c r="C1275" s="17" t="s">
        <v>9738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9739</v>
      </c>
      <c r="B1276" s="17" t="s">
        <v>9739</v>
      </c>
      <c r="C1276" s="17" t="s">
        <v>9740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9741</v>
      </c>
      <c r="B1277" s="17" t="s">
        <v>9741</v>
      </c>
      <c r="C1277" s="17" t="s">
        <v>9742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9743</v>
      </c>
      <c r="B1278" s="17" t="s">
        <v>9743</v>
      </c>
      <c r="C1278" s="17" t="s">
        <v>9744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9745</v>
      </c>
      <c r="B1279" s="17" t="s">
        <v>9745</v>
      </c>
      <c r="C1279" s="17" t="s">
        <v>9746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9747</v>
      </c>
      <c r="B1280" s="17" t="s">
        <v>9747</v>
      </c>
      <c r="C1280" s="17" t="s">
        <v>9748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9749</v>
      </c>
      <c r="B1281" s="17" t="s">
        <v>9749</v>
      </c>
      <c r="C1281" s="17" t="s">
        <v>9750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9751</v>
      </c>
      <c r="B1282" s="17" t="s">
        <v>9751</v>
      </c>
      <c r="C1282" s="17" t="s">
        <v>9752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9753</v>
      </c>
      <c r="B1283" s="17" t="s">
        <v>9753</v>
      </c>
      <c r="C1283" s="17" t="s">
        <v>9754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9755</v>
      </c>
      <c r="B1284" s="17" t="s">
        <v>9755</v>
      </c>
      <c r="C1284" s="17" t="s">
        <v>9756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9757</v>
      </c>
      <c r="B1285" s="17" t="s">
        <v>9757</v>
      </c>
      <c r="C1285" s="17" t="s">
        <v>9758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9759</v>
      </c>
      <c r="B1286" s="17" t="s">
        <v>9759</v>
      </c>
      <c r="C1286" s="17" t="s">
        <v>9760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9761</v>
      </c>
      <c r="B1287" s="17" t="s">
        <v>9761</v>
      </c>
      <c r="C1287" s="17" t="s">
        <v>9762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9763</v>
      </c>
      <c r="B1288" s="17" t="s">
        <v>9763</v>
      </c>
      <c r="C1288" s="17" t="s">
        <v>9764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9765</v>
      </c>
      <c r="B1289" s="17" t="s">
        <v>9765</v>
      </c>
      <c r="C1289" s="17" t="s">
        <v>9766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9767</v>
      </c>
      <c r="B1290" s="17" t="s">
        <v>9767</v>
      </c>
      <c r="C1290" s="17" t="s">
        <v>9768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9769</v>
      </c>
      <c r="B1291" s="17" t="s">
        <v>9769</v>
      </c>
      <c r="C1291" s="17" t="s">
        <v>9770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9771</v>
      </c>
      <c r="B1292" s="17" t="s">
        <v>9771</v>
      </c>
      <c r="C1292" s="17" t="s">
        <v>9772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9773</v>
      </c>
      <c r="B1293" s="17" t="s">
        <v>9773</v>
      </c>
      <c r="C1293" s="17" t="s">
        <v>9774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9775</v>
      </c>
      <c r="B1294" s="17" t="s">
        <v>9775</v>
      </c>
      <c r="C1294" s="17" t="s">
        <v>9776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9777</v>
      </c>
      <c r="B1295" s="17" t="s">
        <v>9777</v>
      </c>
      <c r="C1295" s="17" t="s">
        <v>9778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9779</v>
      </c>
      <c r="B1296" s="17" t="s">
        <v>9779</v>
      </c>
      <c r="C1296" s="17" t="s">
        <v>9780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9781</v>
      </c>
      <c r="B1297" s="17" t="s">
        <v>9781</v>
      </c>
      <c r="C1297" s="17" t="s">
        <v>9782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9783</v>
      </c>
      <c r="B1298" s="17" t="s">
        <v>9783</v>
      </c>
      <c r="C1298" s="17" t="s">
        <v>9784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9785</v>
      </c>
      <c r="B1299" s="17" t="s">
        <v>9785</v>
      </c>
      <c r="C1299" s="17" t="s">
        <v>9786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9787</v>
      </c>
      <c r="B1300" s="17" t="s">
        <v>9787</v>
      </c>
      <c r="C1300" s="17" t="s">
        <v>9788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9789</v>
      </c>
      <c r="B1301" s="17" t="s">
        <v>9789</v>
      </c>
      <c r="C1301" s="17" t="s">
        <v>9790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9791</v>
      </c>
      <c r="B1302" s="17" t="s">
        <v>9791</v>
      </c>
      <c r="C1302" s="17" t="s">
        <v>9792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9793</v>
      </c>
      <c r="B1303" s="17" t="s">
        <v>9793</v>
      </c>
      <c r="C1303" s="17" t="s">
        <v>9794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9795</v>
      </c>
      <c r="B1304" s="17" t="s">
        <v>9795</v>
      </c>
      <c r="C1304" s="17" t="s">
        <v>9796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9797</v>
      </c>
      <c r="B1305" s="17" t="s">
        <v>9797</v>
      </c>
      <c r="C1305" s="17" t="s">
        <v>9798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9799</v>
      </c>
      <c r="B1306" s="17" t="s">
        <v>9799</v>
      </c>
      <c r="C1306" s="17" t="s">
        <v>9800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9801</v>
      </c>
      <c r="B1307" s="17" t="s">
        <v>9801</v>
      </c>
      <c r="C1307" s="17" t="s">
        <v>9802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9803</v>
      </c>
      <c r="B1308" s="17" t="s">
        <v>9803</v>
      </c>
      <c r="C1308" s="17" t="s">
        <v>9804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9805</v>
      </c>
      <c r="B1309" s="17" t="s">
        <v>9805</v>
      </c>
      <c r="C1309" s="17" t="s">
        <v>9806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9807</v>
      </c>
      <c r="B1310" s="17" t="s">
        <v>9807</v>
      </c>
      <c r="C1310" s="17" t="s">
        <v>9808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9809</v>
      </c>
      <c r="B1311" s="17" t="s">
        <v>9809</v>
      </c>
      <c r="C1311" s="17" t="s">
        <v>9810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9811</v>
      </c>
      <c r="B1312" s="17" t="s">
        <v>9811</v>
      </c>
      <c r="C1312" s="17" t="s">
        <v>9812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9813</v>
      </c>
      <c r="B1313" s="17" t="s">
        <v>9813</v>
      </c>
      <c r="C1313" s="17" t="s">
        <v>9814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9815</v>
      </c>
      <c r="B1314" s="17" t="s">
        <v>9815</v>
      </c>
      <c r="C1314" s="17" t="s">
        <v>9816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9817</v>
      </c>
      <c r="B1315" s="17" t="s">
        <v>9817</v>
      </c>
      <c r="C1315" s="17" t="s">
        <v>9818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9819</v>
      </c>
      <c r="B1316" s="17" t="s">
        <v>9819</v>
      </c>
      <c r="C1316" s="17" t="s">
        <v>9820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9821</v>
      </c>
      <c r="B1317" s="17" t="s">
        <v>9821</v>
      </c>
      <c r="C1317" s="17" t="s">
        <v>9822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9823</v>
      </c>
      <c r="B1318" s="17" t="s">
        <v>9823</v>
      </c>
      <c r="C1318" s="17" t="s">
        <v>9824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9825</v>
      </c>
      <c r="B1319" s="17" t="s">
        <v>9825</v>
      </c>
      <c r="C1319" s="17" t="s">
        <v>9826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9827</v>
      </c>
      <c r="B1320" s="17" t="s">
        <v>9827</v>
      </c>
      <c r="C1320" s="17" t="s">
        <v>9828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9829</v>
      </c>
      <c r="B1321" s="17" t="s">
        <v>9829</v>
      </c>
      <c r="C1321" s="17" t="s">
        <v>9830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9831</v>
      </c>
      <c r="B1322" s="17" t="s">
        <v>9831</v>
      </c>
      <c r="C1322" s="17" t="s">
        <v>9832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9833</v>
      </c>
      <c r="B1323" s="17" t="s">
        <v>9833</v>
      </c>
      <c r="C1323" s="17" t="s">
        <v>9834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9835</v>
      </c>
      <c r="B1324" s="17" t="s">
        <v>9835</v>
      </c>
      <c r="C1324" s="17" t="s">
        <v>9836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9837</v>
      </c>
      <c r="B1325" s="17" t="s">
        <v>9837</v>
      </c>
      <c r="C1325" s="17" t="s">
        <v>9838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9839</v>
      </c>
      <c r="B1326" s="17" t="s">
        <v>9839</v>
      </c>
      <c r="C1326" s="17" t="s">
        <v>9840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9841</v>
      </c>
      <c r="B1327" s="17" t="s">
        <v>9841</v>
      </c>
      <c r="C1327" s="17" t="s">
        <v>9842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9843</v>
      </c>
      <c r="B1328" s="17" t="s">
        <v>9843</v>
      </c>
      <c r="C1328" s="16" t="s">
        <v>9844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9845</v>
      </c>
      <c r="B1329" s="17" t="s">
        <v>9845</v>
      </c>
      <c r="C1329" s="17" t="s">
        <v>9846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9847</v>
      </c>
      <c r="B1330" s="17" t="s">
        <v>9847</v>
      </c>
      <c r="C1330" s="17" t="s">
        <v>9848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9849</v>
      </c>
      <c r="B1331" s="17" t="s">
        <v>9849</v>
      </c>
      <c r="C1331" s="17" t="s">
        <v>9850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9851</v>
      </c>
      <c r="B1332" s="17" t="s">
        <v>9851</v>
      </c>
      <c r="C1332" s="17" t="s">
        <v>9852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9853</v>
      </c>
      <c r="B1333" s="17" t="s">
        <v>9853</v>
      </c>
      <c r="C1333" s="17" t="s">
        <v>9854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9855</v>
      </c>
      <c r="B1334" s="17" t="s">
        <v>9855</v>
      </c>
      <c r="C1334" s="17" t="s">
        <v>9856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9857</v>
      </c>
      <c r="B1335" s="17" t="s">
        <v>9857</v>
      </c>
      <c r="C1335" s="17" t="s">
        <v>9858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9859</v>
      </c>
      <c r="B1336" s="17" t="s">
        <v>9859</v>
      </c>
      <c r="C1336" s="17" t="s">
        <v>9860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9861</v>
      </c>
      <c r="B1337" s="17" t="s">
        <v>9861</v>
      </c>
      <c r="C1337" s="17" t="s">
        <v>9862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9863</v>
      </c>
      <c r="B1338" s="17" t="s">
        <v>9863</v>
      </c>
      <c r="C1338" s="17" t="s">
        <v>9864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9865</v>
      </c>
      <c r="B1339" s="17" t="s">
        <v>9865</v>
      </c>
      <c r="C1339" s="17" t="s">
        <v>9866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9867</v>
      </c>
      <c r="B1340" s="17" t="s">
        <v>9867</v>
      </c>
      <c r="C1340" s="17" t="s">
        <v>9868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9869</v>
      </c>
      <c r="B1341" s="17" t="s">
        <v>9869</v>
      </c>
      <c r="C1341" s="17" t="s">
        <v>9870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9871</v>
      </c>
      <c r="B1342" s="17" t="s">
        <v>9871</v>
      </c>
      <c r="C1342" s="17" t="s">
        <v>9872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9873</v>
      </c>
      <c r="B1343" s="17" t="s">
        <v>9873</v>
      </c>
      <c r="C1343" s="17" t="s">
        <v>9874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9875</v>
      </c>
      <c r="B1344" s="17" t="s">
        <v>9875</v>
      </c>
      <c r="C1344" s="17" t="s">
        <v>9876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9877</v>
      </c>
      <c r="B1345" s="17" t="s">
        <v>9877</v>
      </c>
      <c r="C1345" s="17" t="s">
        <v>9878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9879</v>
      </c>
      <c r="B1346" s="17" t="s">
        <v>9879</v>
      </c>
      <c r="C1346" s="17" t="s">
        <v>9880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9881</v>
      </c>
      <c r="B1347" s="17" t="s">
        <v>9881</v>
      </c>
      <c r="C1347" s="17" t="s">
        <v>9882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9883</v>
      </c>
      <c r="B1348" s="17" t="s">
        <v>9883</v>
      </c>
      <c r="C1348" s="17" t="s">
        <v>9884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9885</v>
      </c>
      <c r="B1349" s="17" t="s">
        <v>9885</v>
      </c>
      <c r="C1349" s="17" t="s">
        <v>9886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9887</v>
      </c>
      <c r="B1350" s="17" t="s">
        <v>9887</v>
      </c>
      <c r="C1350" s="17" t="s">
        <v>9888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9889</v>
      </c>
      <c r="B1351" s="17" t="s">
        <v>9889</v>
      </c>
      <c r="C1351" s="17" t="s">
        <v>9890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9891</v>
      </c>
      <c r="B1352" s="17" t="s">
        <v>9891</v>
      </c>
      <c r="C1352" s="17" t="s">
        <v>9892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9893</v>
      </c>
      <c r="B1353" s="17" t="s">
        <v>9893</v>
      </c>
      <c r="C1353" s="17" t="s">
        <v>9894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9895</v>
      </c>
      <c r="B1354" s="17" t="s">
        <v>9895</v>
      </c>
      <c r="C1354" s="17" t="s">
        <v>9896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12718</v>
      </c>
      <c r="O1354" t="s">
        <v>26</v>
      </c>
      <c r="P1354" s="17" t="s">
        <v>12719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9897</v>
      </c>
      <c r="B1355" s="17" t="s">
        <v>9897</v>
      </c>
      <c r="C1355" s="17" t="s">
        <v>9898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9899</v>
      </c>
      <c r="B1356" s="17" t="s">
        <v>9899</v>
      </c>
      <c r="C1356" s="17" t="s">
        <v>9900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12720</v>
      </c>
      <c r="O1356" t="s">
        <v>26</v>
      </c>
      <c r="P1356" t="s">
        <v>12721</v>
      </c>
      <c r="Q1356" s="17" t="s">
        <v>478</v>
      </c>
      <c r="R1356" s="17" t="s">
        <v>12716</v>
      </c>
      <c r="S1356" t="s">
        <v>26</v>
      </c>
      <c r="T1356" s="17" t="s">
        <v>12717</v>
      </c>
      <c r="U1356" s="17"/>
      <c r="V1356" s="17"/>
      <c r="W1356" s="17"/>
      <c r="X1356" s="17"/>
      <c r="Y1356" s="17"/>
      <c r="Z1356" s="17"/>
    </row>
    <row r="1357" spans="1:26">
      <c r="A1357" s="17" t="s">
        <v>9901</v>
      </c>
      <c r="B1357" s="17" t="s">
        <v>9901</v>
      </c>
      <c r="C1357" s="17" t="s">
        <v>9902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9903</v>
      </c>
      <c r="B1358" s="17" t="s">
        <v>9903</v>
      </c>
      <c r="C1358" s="17" t="s">
        <v>9904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9905</v>
      </c>
      <c r="B1359" s="17" t="s">
        <v>9905</v>
      </c>
      <c r="C1359" s="17" t="s">
        <v>9906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9907</v>
      </c>
      <c r="B1360" s="17" t="s">
        <v>9907</v>
      </c>
      <c r="C1360" s="17" t="s">
        <v>9908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9909</v>
      </c>
      <c r="B1361" s="17" t="s">
        <v>9909</v>
      </c>
      <c r="C1361" s="17" t="s">
        <v>9910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9911</v>
      </c>
      <c r="B1362" s="17" t="s">
        <v>9911</v>
      </c>
      <c r="C1362" s="17" t="s">
        <v>9912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9913</v>
      </c>
      <c r="B1363" s="17" t="s">
        <v>9913</v>
      </c>
      <c r="C1363" s="17" t="s">
        <v>9914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9915</v>
      </c>
      <c r="B1364" s="17" t="s">
        <v>9915</v>
      </c>
      <c r="C1364" s="17" t="s">
        <v>9916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13547</v>
      </c>
      <c r="V1379" s="8" t="s">
        <v>13546</v>
      </c>
      <c r="W1379" t="s">
        <v>4561</v>
      </c>
      <c r="X1379" t="s">
        <v>13545</v>
      </c>
    </row>
    <row r="1380" spans="1:25" ht="15.75">
      <c r="A1380" t="s">
        <v>12550</v>
      </c>
      <c r="B1380" t="s">
        <v>12550</v>
      </c>
      <c r="C1380" s="16" t="s">
        <v>12551</v>
      </c>
      <c r="D1380" s="16" t="s">
        <v>21</v>
      </c>
      <c r="E1380" s="14" t="s">
        <v>7480</v>
      </c>
      <c r="F1380" t="s">
        <v>12552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12553</v>
      </c>
      <c r="M1380" s="16" t="s">
        <v>478</v>
      </c>
      <c r="N1380" t="s">
        <v>12554</v>
      </c>
      <c r="O1380" s="16" t="s">
        <v>26</v>
      </c>
      <c r="P1380" t="s">
        <v>12555</v>
      </c>
      <c r="U1380" s="8" t="s">
        <v>13547</v>
      </c>
      <c r="V1380" s="8" t="s">
        <v>13549</v>
      </c>
      <c r="W1380" t="s">
        <v>4561</v>
      </c>
      <c r="X1380" s="8" t="s">
        <v>13548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10789</v>
      </c>
      <c r="B1407" t="s">
        <v>10789</v>
      </c>
      <c r="C1407" t="s">
        <v>10790</v>
      </c>
      <c r="D1407" s="16" t="s">
        <v>10791</v>
      </c>
      <c r="E1407" s="14" t="s">
        <v>10792</v>
      </c>
      <c r="F1407" t="s">
        <v>7601</v>
      </c>
      <c r="G1407" s="17" t="str">
        <f>Config!$B$3</f>
        <v>SCH/R_IEC.SchLib</v>
      </c>
      <c r="H1407" s="17" t="s">
        <v>10805</v>
      </c>
      <c r="I1407" s="38"/>
      <c r="J1407" s="40"/>
      <c r="L1407" t="s">
        <v>12122</v>
      </c>
      <c r="M1407" s="16" t="s">
        <v>12123</v>
      </c>
      <c r="N1407" t="s">
        <v>12124</v>
      </c>
      <c r="O1407" s="16" t="s">
        <v>26</v>
      </c>
      <c r="P1407" t="s">
        <v>12125</v>
      </c>
    </row>
    <row r="1408" spans="1:16">
      <c r="A1408" t="s">
        <v>10793</v>
      </c>
      <c r="B1408" t="s">
        <v>10793</v>
      </c>
      <c r="C1408" t="s">
        <v>12548</v>
      </c>
      <c r="D1408" s="16" t="s">
        <v>12549</v>
      </c>
      <c r="E1408" s="14" t="s">
        <v>10792</v>
      </c>
      <c r="G1408" s="17" t="str">
        <f>Config!$B$3</f>
        <v>SCH/R_IEC.SchLib</v>
      </c>
      <c r="H1408" t="s">
        <v>10795</v>
      </c>
      <c r="I1408" s="38" t="str">
        <f>_xlfn.CONCAT(PrivateLibraryPath,"PCB/Littelfuse.PcbLib")</f>
        <v>../altium_lib_private/PCB/Littelfuse.PcbLib</v>
      </c>
      <c r="J1408" s="16" t="s">
        <v>12126</v>
      </c>
      <c r="L1408" t="s">
        <v>12547</v>
      </c>
      <c r="M1408" s="16" t="s">
        <v>2671</v>
      </c>
      <c r="N1408" t="s">
        <v>12126</v>
      </c>
      <c r="O1408" s="16" t="s">
        <v>26</v>
      </c>
      <c r="P1408" t="s">
        <v>12127</v>
      </c>
    </row>
    <row r="1409" spans="1:26">
      <c r="A1409" t="s">
        <v>10794</v>
      </c>
      <c r="B1409" t="s">
        <v>10794</v>
      </c>
      <c r="D1409" s="16"/>
      <c r="E1409" s="14" t="s">
        <v>10792</v>
      </c>
      <c r="G1409" s="17" t="str">
        <f>Config!$B$3</f>
        <v>SCH/R_IEC.SchLib</v>
      </c>
      <c r="H1409" t="s">
        <v>10796</v>
      </c>
      <c r="I1409" s="18"/>
      <c r="J1409" s="16"/>
      <c r="M1409" s="16"/>
      <c r="O1409" s="16"/>
    </row>
    <row r="1410" spans="1:26">
      <c r="A1410" t="s">
        <v>13991</v>
      </c>
      <c r="B1410" t="s">
        <v>13991</v>
      </c>
      <c r="C1410" t="s">
        <v>14024</v>
      </c>
      <c r="D1410" s="16" t="s">
        <v>14005</v>
      </c>
      <c r="E1410" s="14" t="s">
        <v>13999</v>
      </c>
      <c r="F1410" t="s">
        <v>7594</v>
      </c>
      <c r="G1410" s="17" t="str">
        <f>Config!$B$3</f>
        <v>SCH/R_IEC.SchLib</v>
      </c>
      <c r="H1410" s="17" t="s">
        <v>10805</v>
      </c>
      <c r="I1410" s="18" t="s">
        <v>14080</v>
      </c>
      <c r="J1410" s="40" t="s">
        <v>14079</v>
      </c>
      <c r="L1410" t="s">
        <v>14006</v>
      </c>
      <c r="M1410" s="16" t="s">
        <v>14005</v>
      </c>
      <c r="N1410">
        <v>3061295</v>
      </c>
      <c r="O1410" s="16" t="s">
        <v>26</v>
      </c>
      <c r="P1410" t="s">
        <v>14007</v>
      </c>
    </row>
    <row r="1411" spans="1:26">
      <c r="A1411" t="s">
        <v>13992</v>
      </c>
      <c r="B1411" t="s">
        <v>13992</v>
      </c>
      <c r="C1411" t="s">
        <v>14025</v>
      </c>
      <c r="D1411" s="16" t="s">
        <v>14005</v>
      </c>
      <c r="E1411" s="14" t="s">
        <v>13999</v>
      </c>
      <c r="F1411" t="s">
        <v>7597</v>
      </c>
      <c r="G1411" s="17" t="str">
        <f>Config!$B$3</f>
        <v>SCH/R_IEC.SchLib</v>
      </c>
      <c r="H1411" s="17" t="s">
        <v>10805</v>
      </c>
      <c r="I1411" s="18" t="s">
        <v>14080</v>
      </c>
      <c r="J1411" s="40" t="s">
        <v>14079</v>
      </c>
      <c r="L1411" t="s">
        <v>14008</v>
      </c>
      <c r="M1411" s="16" t="s">
        <v>14005</v>
      </c>
      <c r="N1411">
        <v>3061305</v>
      </c>
      <c r="O1411" s="16" t="s">
        <v>26</v>
      </c>
      <c r="P1411" t="s">
        <v>14009</v>
      </c>
    </row>
    <row r="1412" spans="1:26">
      <c r="A1412" t="s">
        <v>13993</v>
      </c>
      <c r="B1412" t="s">
        <v>13993</v>
      </c>
      <c r="C1412" t="s">
        <v>14026</v>
      </c>
      <c r="D1412" s="16" t="s">
        <v>14005</v>
      </c>
      <c r="E1412" s="14" t="s">
        <v>13999</v>
      </c>
      <c r="F1412" t="s">
        <v>14000</v>
      </c>
      <c r="G1412" s="17" t="str">
        <f>Config!$B$3</f>
        <v>SCH/R_IEC.SchLib</v>
      </c>
      <c r="H1412" s="17" t="s">
        <v>10805</v>
      </c>
      <c r="I1412" s="18" t="s">
        <v>14080</v>
      </c>
      <c r="J1412" s="40" t="s">
        <v>14079</v>
      </c>
      <c r="L1412" t="s">
        <v>14010</v>
      </c>
      <c r="M1412" s="16" t="s">
        <v>14005</v>
      </c>
      <c r="N1412">
        <v>3061318</v>
      </c>
      <c r="O1412" s="16" t="s">
        <v>26</v>
      </c>
      <c r="P1412" t="s">
        <v>14011</v>
      </c>
    </row>
    <row r="1413" spans="1:26">
      <c r="A1413" t="s">
        <v>13994</v>
      </c>
      <c r="B1413" t="s">
        <v>13994</v>
      </c>
      <c r="C1413" t="s">
        <v>14027</v>
      </c>
      <c r="D1413" s="16" t="s">
        <v>14005</v>
      </c>
      <c r="E1413" s="14" t="s">
        <v>13999</v>
      </c>
      <c r="F1413" t="s">
        <v>7600</v>
      </c>
      <c r="G1413" s="17" t="str">
        <f>Config!$B$3</f>
        <v>SCH/R_IEC.SchLib</v>
      </c>
      <c r="H1413" s="17" t="s">
        <v>10805</v>
      </c>
      <c r="I1413" s="18" t="s">
        <v>14080</v>
      </c>
      <c r="J1413" s="40" t="s">
        <v>14079</v>
      </c>
      <c r="L1413" t="s">
        <v>14012</v>
      </c>
      <c r="M1413" s="16" t="s">
        <v>14005</v>
      </c>
      <c r="N1413">
        <v>3061321</v>
      </c>
      <c r="O1413" s="16" t="s">
        <v>26</v>
      </c>
      <c r="P1413" t="s">
        <v>14013</v>
      </c>
    </row>
    <row r="1414" spans="1:26">
      <c r="A1414" t="s">
        <v>13988</v>
      </c>
      <c r="B1414" t="s">
        <v>13988</v>
      </c>
      <c r="C1414" t="s">
        <v>14028</v>
      </c>
      <c r="D1414" s="16" t="s">
        <v>14005</v>
      </c>
      <c r="E1414" s="14" t="s">
        <v>13999</v>
      </c>
      <c r="F1414" t="s">
        <v>7601</v>
      </c>
      <c r="G1414" s="17" t="str">
        <f>Config!$B$3</f>
        <v>SCH/R_IEC.SchLib</v>
      </c>
      <c r="H1414" s="17" t="s">
        <v>10805</v>
      </c>
      <c r="I1414" s="18" t="s">
        <v>14080</v>
      </c>
      <c r="J1414" s="40" t="s">
        <v>14079</v>
      </c>
      <c r="L1414" t="s">
        <v>14014</v>
      </c>
      <c r="M1414" s="16" t="s">
        <v>14005</v>
      </c>
      <c r="N1414">
        <v>3061334</v>
      </c>
      <c r="O1414" s="16" t="s">
        <v>26</v>
      </c>
      <c r="P1414" t="s">
        <v>14015</v>
      </c>
    </row>
    <row r="1415" spans="1:26">
      <c r="A1415" t="s">
        <v>13990</v>
      </c>
      <c r="B1415" t="s">
        <v>13990</v>
      </c>
      <c r="C1415" t="s">
        <v>14029</v>
      </c>
      <c r="D1415" s="16" t="s">
        <v>14005</v>
      </c>
      <c r="E1415" s="14" t="s">
        <v>13999</v>
      </c>
      <c r="F1415" t="s">
        <v>14001</v>
      </c>
      <c r="G1415" s="17" t="str">
        <f>Config!$B$3</f>
        <v>SCH/R_IEC.SchLib</v>
      </c>
      <c r="H1415" s="17" t="s">
        <v>10805</v>
      </c>
      <c r="I1415" s="18" t="s">
        <v>14080</v>
      </c>
      <c r="J1415" s="40" t="s">
        <v>14079</v>
      </c>
      <c r="L1415" t="s">
        <v>14016</v>
      </c>
      <c r="M1415" s="16" t="s">
        <v>14005</v>
      </c>
      <c r="N1415">
        <v>3061347</v>
      </c>
      <c r="O1415" s="16" t="s">
        <v>26</v>
      </c>
      <c r="P1415" t="s">
        <v>14017</v>
      </c>
    </row>
    <row r="1416" spans="1:26">
      <c r="A1416" t="s">
        <v>13995</v>
      </c>
      <c r="B1416" t="s">
        <v>13995</v>
      </c>
      <c r="C1416" t="s">
        <v>14030</v>
      </c>
      <c r="D1416" s="16" t="s">
        <v>14005</v>
      </c>
      <c r="E1416" s="14" t="s">
        <v>13999</v>
      </c>
      <c r="F1416" t="s">
        <v>14002</v>
      </c>
      <c r="G1416" s="17" t="str">
        <f>Config!$B$3</f>
        <v>SCH/R_IEC.SchLib</v>
      </c>
      <c r="H1416" s="17" t="s">
        <v>10805</v>
      </c>
      <c r="I1416" s="18" t="s">
        <v>14080</v>
      </c>
      <c r="J1416" s="40" t="s">
        <v>14079</v>
      </c>
      <c r="L1416" t="s">
        <v>14018</v>
      </c>
      <c r="M1416" s="16" t="s">
        <v>14005</v>
      </c>
      <c r="N1416">
        <v>3062784</v>
      </c>
      <c r="O1416" s="16" t="s">
        <v>26</v>
      </c>
      <c r="P1416" t="s">
        <v>14019</v>
      </c>
    </row>
    <row r="1417" spans="1:26">
      <c r="A1417" t="s">
        <v>13996</v>
      </c>
      <c r="B1417" t="s">
        <v>13996</v>
      </c>
      <c r="C1417" t="s">
        <v>14031</v>
      </c>
      <c r="D1417" s="16" t="s">
        <v>14005</v>
      </c>
      <c r="E1417" s="14" t="s">
        <v>13999</v>
      </c>
      <c r="F1417" t="s">
        <v>14003</v>
      </c>
      <c r="G1417" s="17" t="str">
        <f>Config!$B$3</f>
        <v>SCH/R_IEC.SchLib</v>
      </c>
      <c r="H1417" s="17" t="s">
        <v>10805</v>
      </c>
      <c r="I1417" s="18" t="s">
        <v>14080</v>
      </c>
      <c r="J1417" s="40" t="s">
        <v>14079</v>
      </c>
      <c r="L1417" t="s">
        <v>14020</v>
      </c>
      <c r="M1417" s="16" t="s">
        <v>14005</v>
      </c>
      <c r="N1417">
        <v>3061350</v>
      </c>
      <c r="O1417" s="16" t="s">
        <v>26</v>
      </c>
      <c r="P1417" t="s">
        <v>14021</v>
      </c>
    </row>
    <row r="1418" spans="1:26">
      <c r="A1418" t="s">
        <v>13997</v>
      </c>
      <c r="B1418" t="s">
        <v>13997</v>
      </c>
      <c r="C1418" t="s">
        <v>14032</v>
      </c>
      <c r="D1418" s="16" t="s">
        <v>14005</v>
      </c>
      <c r="E1418" s="14" t="s">
        <v>13999</v>
      </c>
      <c r="F1418" t="s">
        <v>14004</v>
      </c>
      <c r="G1418" s="17" t="str">
        <f>Config!$B$3</f>
        <v>SCH/R_IEC.SchLib</v>
      </c>
      <c r="H1418" s="17" t="s">
        <v>10805</v>
      </c>
      <c r="I1418" s="18" t="s">
        <v>14080</v>
      </c>
      <c r="J1418" s="40" t="s">
        <v>14079</v>
      </c>
      <c r="L1418" t="s">
        <v>14022</v>
      </c>
      <c r="M1418" s="16" t="s">
        <v>14005</v>
      </c>
      <c r="N1418">
        <v>3061363</v>
      </c>
      <c r="O1418" s="16" t="s">
        <v>26</v>
      </c>
      <c r="P1418" t="s">
        <v>14023</v>
      </c>
    </row>
    <row r="1419" spans="1:26">
      <c r="A1419" t="s">
        <v>13998</v>
      </c>
      <c r="B1419" t="s">
        <v>13998</v>
      </c>
      <c r="D1419" s="16"/>
      <c r="E1419" s="14" t="s">
        <v>13999</v>
      </c>
      <c r="G1419" s="17" t="str">
        <f>Config!$B$3</f>
        <v>SCH/R_IEC.SchLib</v>
      </c>
      <c r="H1419" t="s">
        <v>10795</v>
      </c>
      <c r="I1419" s="18" t="s">
        <v>14078</v>
      </c>
      <c r="J1419" s="16" t="s">
        <v>14077</v>
      </c>
      <c r="L1419" t="s">
        <v>14033</v>
      </c>
      <c r="M1419" s="16" t="s">
        <v>14034</v>
      </c>
      <c r="N1419">
        <v>3576</v>
      </c>
      <c r="O1419" s="16" t="s">
        <v>26</v>
      </c>
      <c r="P1419" t="s">
        <v>14035</v>
      </c>
      <c r="Q1419" s="16" t="s">
        <v>14034</v>
      </c>
      <c r="R1419">
        <v>3576</v>
      </c>
      <c r="S1419" s="16" t="s">
        <v>4351</v>
      </c>
      <c r="T1419" t="s">
        <v>14039</v>
      </c>
    </row>
    <row r="1420" spans="1:26">
      <c r="A1420" t="s">
        <v>14036</v>
      </c>
      <c r="B1420" t="s">
        <v>14036</v>
      </c>
      <c r="D1420" s="16"/>
      <c r="E1420" s="14" t="s">
        <v>13999</v>
      </c>
      <c r="G1420" s="17" t="str">
        <f>Config!$B$3</f>
        <v>SCH/R_IEC.SchLib</v>
      </c>
      <c r="H1420" t="s">
        <v>10795</v>
      </c>
      <c r="I1420" s="18" t="s">
        <v>14078</v>
      </c>
      <c r="J1420" s="16" t="s">
        <v>14076</v>
      </c>
      <c r="L1420" t="s">
        <v>14037</v>
      </c>
      <c r="M1420" s="16" t="s">
        <v>14034</v>
      </c>
      <c r="N1420">
        <v>3574</v>
      </c>
      <c r="O1420" s="16" t="s">
        <v>26</v>
      </c>
      <c r="P1420" t="s">
        <v>14038</v>
      </c>
      <c r="Q1420" s="16" t="s">
        <v>14034</v>
      </c>
      <c r="R1420">
        <v>3574</v>
      </c>
      <c r="S1420" s="16" t="s">
        <v>4351</v>
      </c>
      <c r="T1420" t="s">
        <v>14040</v>
      </c>
    </row>
    <row r="1421" spans="1:26">
      <c r="A1421" t="s">
        <v>13989</v>
      </c>
      <c r="B1421" t="s">
        <v>13989</v>
      </c>
      <c r="D1421" s="16"/>
      <c r="E1421" s="14" t="s">
        <v>13999</v>
      </c>
      <c r="G1421" s="17" t="str">
        <f>Config!$B$3</f>
        <v>SCH/R_IEC.SchLib</v>
      </c>
      <c r="H1421" t="s">
        <v>10796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10598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10599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10599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10599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8543</v>
      </c>
      <c r="B1594" s="16" t="s">
        <v>8122</v>
      </c>
      <c r="C1594" s="16" t="s">
        <v>8713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8883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8544</v>
      </c>
      <c r="B1595" s="16" t="s">
        <v>8123</v>
      </c>
      <c r="C1595" s="16" t="s">
        <v>8714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8883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8545</v>
      </c>
      <c r="B1596" s="16" t="s">
        <v>8124</v>
      </c>
      <c r="C1596" s="16" t="s">
        <v>8715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8883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8546</v>
      </c>
      <c r="B1597" s="16" t="s">
        <v>8125</v>
      </c>
      <c r="C1597" s="16" t="s">
        <v>8716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8883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8547</v>
      </c>
      <c r="B1598" s="16" t="s">
        <v>8126</v>
      </c>
      <c r="C1598" s="16" t="s">
        <v>8717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8883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8548</v>
      </c>
      <c r="B1599" s="16" t="s">
        <v>8127</v>
      </c>
      <c r="C1599" s="16" t="s">
        <v>8718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8883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8549</v>
      </c>
      <c r="B1600" s="16" t="s">
        <v>8128</v>
      </c>
      <c r="C1600" s="16" t="s">
        <v>8719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8883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8550</v>
      </c>
      <c r="B1601" s="16" t="s">
        <v>8129</v>
      </c>
      <c r="C1601" s="16" t="s">
        <v>8720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8883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8551</v>
      </c>
      <c r="B1602" s="16" t="s">
        <v>8130</v>
      </c>
      <c r="C1602" s="16" t="s">
        <v>8721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8883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8552</v>
      </c>
      <c r="B1603" s="16" t="s">
        <v>8131</v>
      </c>
      <c r="C1603" s="16" t="s">
        <v>8722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8883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8553</v>
      </c>
      <c r="B1604" s="16" t="s">
        <v>8132</v>
      </c>
      <c r="C1604" s="16" t="s">
        <v>8723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8883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8554</v>
      </c>
      <c r="B1605" s="16" t="s">
        <v>8133</v>
      </c>
      <c r="C1605" s="16" t="s">
        <v>8724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8883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8555</v>
      </c>
      <c r="B1606" s="16" t="s">
        <v>8134</v>
      </c>
      <c r="C1606" s="16" t="s">
        <v>8725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8883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8556</v>
      </c>
      <c r="B1607" s="16" t="s">
        <v>8135</v>
      </c>
      <c r="C1607" s="16" t="s">
        <v>8726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8883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8557</v>
      </c>
      <c r="B1608" s="16" t="s">
        <v>8136</v>
      </c>
      <c r="C1608" s="16" t="s">
        <v>8727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8883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8558</v>
      </c>
      <c r="B1609" s="16" t="s">
        <v>8137</v>
      </c>
      <c r="C1609" s="16" t="s">
        <v>8728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8883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8559</v>
      </c>
      <c r="B1610" s="16" t="s">
        <v>8138</v>
      </c>
      <c r="C1610" s="16" t="s">
        <v>8729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8883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8560</v>
      </c>
      <c r="B1611" s="16" t="s">
        <v>8139</v>
      </c>
      <c r="C1611" s="16" t="s">
        <v>8730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8883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8561</v>
      </c>
      <c r="B1612" s="16" t="s">
        <v>8140</v>
      </c>
      <c r="C1612" s="16" t="s">
        <v>8731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8883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8562</v>
      </c>
      <c r="B1613" s="16" t="s">
        <v>8141</v>
      </c>
      <c r="C1613" s="16" t="s">
        <v>8732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8883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8563</v>
      </c>
      <c r="B1614" s="16" t="s">
        <v>8142</v>
      </c>
      <c r="C1614" s="16" t="s">
        <v>8733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8883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8564</v>
      </c>
      <c r="B1615" s="16" t="s">
        <v>8143</v>
      </c>
      <c r="C1615" s="16" t="s">
        <v>8734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8883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8565</v>
      </c>
      <c r="B1616" s="16" t="s">
        <v>8144</v>
      </c>
      <c r="C1616" s="16" t="s">
        <v>8735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8883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8566</v>
      </c>
      <c r="B1617" s="16" t="s">
        <v>8145</v>
      </c>
      <c r="C1617" s="16" t="s">
        <v>8736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8883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8567</v>
      </c>
      <c r="B1618" s="16" t="s">
        <v>8146</v>
      </c>
      <c r="C1618" s="16" t="s">
        <v>8737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8883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8568</v>
      </c>
      <c r="B1619" s="16" t="s">
        <v>8147</v>
      </c>
      <c r="C1619" s="16" t="s">
        <v>8738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8883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8569</v>
      </c>
      <c r="B1620" s="16" t="s">
        <v>8148</v>
      </c>
      <c r="C1620" s="16" t="s">
        <v>8739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8883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8570</v>
      </c>
      <c r="B1621" s="16" t="s">
        <v>8149</v>
      </c>
      <c r="C1621" s="16" t="s">
        <v>8740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8883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8571</v>
      </c>
      <c r="B1622" s="16" t="s">
        <v>8150</v>
      </c>
      <c r="C1622" s="16" t="s">
        <v>8741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8883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8572</v>
      </c>
      <c r="B1623" s="16" t="s">
        <v>8151</v>
      </c>
      <c r="C1623" s="16" t="s">
        <v>8742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8883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8573</v>
      </c>
      <c r="B1624" s="16" t="s">
        <v>8152</v>
      </c>
      <c r="C1624" s="16" t="s">
        <v>8743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8883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8574</v>
      </c>
      <c r="B1625" s="16" t="s">
        <v>8153</v>
      </c>
      <c r="C1625" s="16" t="s">
        <v>8744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8883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8575</v>
      </c>
      <c r="B1626" s="16" t="s">
        <v>8154</v>
      </c>
      <c r="C1626" s="16" t="s">
        <v>8745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8883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8576</v>
      </c>
      <c r="B1627" s="16" t="s">
        <v>8155</v>
      </c>
      <c r="C1627" s="16" t="s">
        <v>8746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8883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8577</v>
      </c>
      <c r="B1628" s="16" t="s">
        <v>8156</v>
      </c>
      <c r="C1628" s="16" t="s">
        <v>8747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8883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8578</v>
      </c>
      <c r="B1629" s="16" t="s">
        <v>8157</v>
      </c>
      <c r="C1629" s="16" t="s">
        <v>8748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8883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8579</v>
      </c>
      <c r="B1630" s="16" t="s">
        <v>8158</v>
      </c>
      <c r="C1630" s="16" t="s">
        <v>8749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8883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8580</v>
      </c>
      <c r="B1631" s="16" t="s">
        <v>8159</v>
      </c>
      <c r="C1631" s="16" t="s">
        <v>8750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8883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8581</v>
      </c>
      <c r="B1632" s="16" t="s">
        <v>8160</v>
      </c>
      <c r="C1632" s="16" t="s">
        <v>8751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8883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8582</v>
      </c>
      <c r="B1633" s="16" t="s">
        <v>8161</v>
      </c>
      <c r="C1633" s="16" t="s">
        <v>8752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8883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8583</v>
      </c>
      <c r="B1634" s="16" t="s">
        <v>8162</v>
      </c>
      <c r="C1634" s="16" t="s">
        <v>8753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8883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8584</v>
      </c>
      <c r="B1635" s="16" t="s">
        <v>8163</v>
      </c>
      <c r="C1635" s="16" t="s">
        <v>8754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8883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8585</v>
      </c>
      <c r="B1636" s="16" t="s">
        <v>8164</v>
      </c>
      <c r="C1636" s="16" t="s">
        <v>8755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8883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8586</v>
      </c>
      <c r="B1637" s="16" t="s">
        <v>8165</v>
      </c>
      <c r="C1637" s="16" t="s">
        <v>8756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8883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8587</v>
      </c>
      <c r="B1638" s="16" t="s">
        <v>8166</v>
      </c>
      <c r="C1638" s="16" t="s">
        <v>8757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8883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8588</v>
      </c>
      <c r="B1639" s="16" t="s">
        <v>8167</v>
      </c>
      <c r="C1639" s="16" t="s">
        <v>8758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8883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8589</v>
      </c>
      <c r="B1640" s="16" t="s">
        <v>8168</v>
      </c>
      <c r="C1640" s="16" t="s">
        <v>8759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8883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8590</v>
      </c>
      <c r="B1641" s="16" t="s">
        <v>8169</v>
      </c>
      <c r="C1641" s="16" t="s">
        <v>8760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8883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8591</v>
      </c>
      <c r="B1642" s="16" t="s">
        <v>8170</v>
      </c>
      <c r="C1642" s="16" t="s">
        <v>8761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8883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8592</v>
      </c>
      <c r="B1643" s="16" t="s">
        <v>8171</v>
      </c>
      <c r="C1643" s="16" t="s">
        <v>8762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8883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10598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8593</v>
      </c>
      <c r="B1644" s="16" t="s">
        <v>8172</v>
      </c>
      <c r="C1644" s="16" t="s">
        <v>8763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8883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8594</v>
      </c>
      <c r="B1645" s="16" t="s">
        <v>8173</v>
      </c>
      <c r="C1645" s="16" t="s">
        <v>8764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8883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8595</v>
      </c>
      <c r="B1646" s="16" t="s">
        <v>8174</v>
      </c>
      <c r="C1646" s="16" t="s">
        <v>8765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8883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8596</v>
      </c>
      <c r="B1647" s="16" t="s">
        <v>8175</v>
      </c>
      <c r="C1647" s="16" t="s">
        <v>8766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8883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8597</v>
      </c>
      <c r="B1648" s="16" t="s">
        <v>8176</v>
      </c>
      <c r="C1648" s="16" t="s">
        <v>8767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8883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8598</v>
      </c>
      <c r="B1649" s="16" t="s">
        <v>8177</v>
      </c>
      <c r="C1649" s="16" t="s">
        <v>8768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8883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8599</v>
      </c>
      <c r="B1650" s="16" t="s">
        <v>8178</v>
      </c>
      <c r="C1650" s="16" t="s">
        <v>8769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8883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8600</v>
      </c>
      <c r="B1651" s="16" t="s">
        <v>8179</v>
      </c>
      <c r="C1651" s="16" t="s">
        <v>8770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8883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8601</v>
      </c>
      <c r="B1652" s="16" t="s">
        <v>8180</v>
      </c>
      <c r="C1652" s="16" t="s">
        <v>8771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8883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8602</v>
      </c>
      <c r="B1653" s="16" t="s">
        <v>8181</v>
      </c>
      <c r="C1653" s="16" t="s">
        <v>8772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8883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8603</v>
      </c>
      <c r="B1654" s="16" t="s">
        <v>8182</v>
      </c>
      <c r="C1654" s="16" t="s">
        <v>8773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8883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8604</v>
      </c>
      <c r="B1655" s="16" t="s">
        <v>8183</v>
      </c>
      <c r="C1655" s="16" t="s">
        <v>8774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8883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8605</v>
      </c>
      <c r="B1656" s="16" t="s">
        <v>8184</v>
      </c>
      <c r="C1656" s="16" t="s">
        <v>8775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8883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8606</v>
      </c>
      <c r="B1657" s="16" t="s">
        <v>8185</v>
      </c>
      <c r="C1657" s="16" t="s">
        <v>8776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8883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8607</v>
      </c>
      <c r="B1658" s="16" t="s">
        <v>8186</v>
      </c>
      <c r="C1658" s="16" t="s">
        <v>8777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8883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8608</v>
      </c>
      <c r="B1659" s="16" t="s">
        <v>8187</v>
      </c>
      <c r="C1659" s="16" t="s">
        <v>8778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8883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8609</v>
      </c>
      <c r="B1660" s="16" t="s">
        <v>8188</v>
      </c>
      <c r="C1660" s="16" t="s">
        <v>8779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8883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8610</v>
      </c>
      <c r="B1661" s="16" t="s">
        <v>8189</v>
      </c>
      <c r="C1661" s="16" t="s">
        <v>8780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8883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8611</v>
      </c>
      <c r="B1662" s="16" t="s">
        <v>8190</v>
      </c>
      <c r="C1662" s="16" t="s">
        <v>8781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8883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8612</v>
      </c>
      <c r="B1663" s="16" t="s">
        <v>8191</v>
      </c>
      <c r="C1663" s="16" t="s">
        <v>8782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8883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8613</v>
      </c>
      <c r="B1664" s="16" t="s">
        <v>8192</v>
      </c>
      <c r="C1664" s="16" t="s">
        <v>8783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8883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8614</v>
      </c>
      <c r="B1665" s="16" t="s">
        <v>8193</v>
      </c>
      <c r="C1665" s="16" t="s">
        <v>8784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8883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8615</v>
      </c>
      <c r="B1666" s="16" t="s">
        <v>8194</v>
      </c>
      <c r="C1666" s="16" t="s">
        <v>8785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8883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8616</v>
      </c>
      <c r="B1667" s="16" t="s">
        <v>8195</v>
      </c>
      <c r="C1667" s="16" t="s">
        <v>8786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8883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10599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8617</v>
      </c>
      <c r="B1668" s="16" t="s">
        <v>8196</v>
      </c>
      <c r="C1668" s="16" t="s">
        <v>8787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8883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8618</v>
      </c>
      <c r="B1669" s="16" t="s">
        <v>8197</v>
      </c>
      <c r="C1669" s="16" t="s">
        <v>8788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8883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8619</v>
      </c>
      <c r="B1670" s="16" t="s">
        <v>8198</v>
      </c>
      <c r="C1670" s="16" t="s">
        <v>8789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8883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8620</v>
      </c>
      <c r="B1671" s="16" t="s">
        <v>8199</v>
      </c>
      <c r="C1671" s="16" t="s">
        <v>8790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8883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8621</v>
      </c>
      <c r="B1672" s="16" t="s">
        <v>8200</v>
      </c>
      <c r="C1672" s="16" t="s">
        <v>8791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8883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8622</v>
      </c>
      <c r="B1673" s="16" t="s">
        <v>8201</v>
      </c>
      <c r="C1673" s="16" t="s">
        <v>8792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8883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8623</v>
      </c>
      <c r="B1674" s="16" t="s">
        <v>8202</v>
      </c>
      <c r="C1674" s="16" t="s">
        <v>8793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8883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8624</v>
      </c>
      <c r="B1675" s="16" t="s">
        <v>8203</v>
      </c>
      <c r="C1675" s="16" t="s">
        <v>8794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8883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8625</v>
      </c>
      <c r="B1676" s="16" t="s">
        <v>8204</v>
      </c>
      <c r="C1676" s="16" t="s">
        <v>8795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8883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8626</v>
      </c>
      <c r="B1677" s="16" t="s">
        <v>8205</v>
      </c>
      <c r="C1677" s="16" t="s">
        <v>8796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8883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8627</v>
      </c>
      <c r="B1678" s="16" t="s">
        <v>8206</v>
      </c>
      <c r="C1678" s="16" t="s">
        <v>8797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8883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8628</v>
      </c>
      <c r="B1679" s="16" t="s">
        <v>8207</v>
      </c>
      <c r="C1679" s="16" t="s">
        <v>8798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8883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8629</v>
      </c>
      <c r="B1680" s="16" t="s">
        <v>8208</v>
      </c>
      <c r="C1680" s="16" t="s">
        <v>8799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8883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8630</v>
      </c>
      <c r="B1681" s="16" t="s">
        <v>8209</v>
      </c>
      <c r="C1681" s="16" t="s">
        <v>8800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8883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8631</v>
      </c>
      <c r="B1682" s="16" t="s">
        <v>8210</v>
      </c>
      <c r="C1682" s="16" t="s">
        <v>8801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8883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8632</v>
      </c>
      <c r="B1683" s="16" t="s">
        <v>8211</v>
      </c>
      <c r="C1683" s="16" t="s">
        <v>8802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8883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8633</v>
      </c>
      <c r="B1684" s="16" t="s">
        <v>8212</v>
      </c>
      <c r="C1684" s="16" t="s">
        <v>8803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8883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8634</v>
      </c>
      <c r="B1685" s="16" t="s">
        <v>8213</v>
      </c>
      <c r="C1685" s="16" t="s">
        <v>8804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8883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8635</v>
      </c>
      <c r="B1686" s="16" t="s">
        <v>8214</v>
      </c>
      <c r="C1686" s="16" t="s">
        <v>8805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8883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8636</v>
      </c>
      <c r="B1687" s="16" t="s">
        <v>8215</v>
      </c>
      <c r="C1687" s="16" t="s">
        <v>8806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8883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8637</v>
      </c>
      <c r="B1688" s="16" t="s">
        <v>8216</v>
      </c>
      <c r="C1688" s="16" t="s">
        <v>8807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8883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8638</v>
      </c>
      <c r="B1689" s="16" t="s">
        <v>8217</v>
      </c>
      <c r="C1689" s="16" t="s">
        <v>8808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8883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8639</v>
      </c>
      <c r="B1690" s="16" t="s">
        <v>8218</v>
      </c>
      <c r="C1690" s="16" t="s">
        <v>8809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8883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8640</v>
      </c>
      <c r="B1691" s="16" t="s">
        <v>8219</v>
      </c>
      <c r="C1691" s="16" t="s">
        <v>8810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8883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10600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8641</v>
      </c>
      <c r="B1692" s="16" t="s">
        <v>8220</v>
      </c>
      <c r="C1692" s="16" t="s">
        <v>8811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8883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8642</v>
      </c>
      <c r="B1693" s="16" t="s">
        <v>8221</v>
      </c>
      <c r="C1693" s="16" t="s">
        <v>8812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8883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8643</v>
      </c>
      <c r="B1694" s="16" t="s">
        <v>8222</v>
      </c>
      <c r="C1694" s="16" t="s">
        <v>8813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8883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8644</v>
      </c>
      <c r="B1695" s="16" t="s">
        <v>8223</v>
      </c>
      <c r="C1695" s="16" t="s">
        <v>8814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8883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8645</v>
      </c>
      <c r="B1696" s="16" t="s">
        <v>8224</v>
      </c>
      <c r="C1696" s="16" t="s">
        <v>8815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8883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8646</v>
      </c>
      <c r="B1697" s="16" t="s">
        <v>8225</v>
      </c>
      <c r="C1697" s="16" t="s">
        <v>8816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8883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8647</v>
      </c>
      <c r="B1698" s="16" t="s">
        <v>8226</v>
      </c>
      <c r="C1698" s="16" t="s">
        <v>8817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8883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8648</v>
      </c>
      <c r="B1699" s="16" t="s">
        <v>8227</v>
      </c>
      <c r="C1699" s="16" t="s">
        <v>8818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8883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8649</v>
      </c>
      <c r="B1700" s="16" t="s">
        <v>8228</v>
      </c>
      <c r="C1700" s="16" t="s">
        <v>8819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8883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8650</v>
      </c>
      <c r="B1701" s="16" t="s">
        <v>8229</v>
      </c>
      <c r="C1701" s="16" t="s">
        <v>8820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8883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8651</v>
      </c>
      <c r="B1702" s="16" t="s">
        <v>8230</v>
      </c>
      <c r="C1702" s="16" t="s">
        <v>8821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8883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8652</v>
      </c>
      <c r="B1703" s="16" t="s">
        <v>8231</v>
      </c>
      <c r="C1703" s="16" t="s">
        <v>8822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8883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8653</v>
      </c>
      <c r="B1704" s="16" t="s">
        <v>8232</v>
      </c>
      <c r="C1704" s="16" t="s">
        <v>8823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8883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8654</v>
      </c>
      <c r="B1705" s="16" t="s">
        <v>8233</v>
      </c>
      <c r="C1705" s="16" t="s">
        <v>8824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8883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8655</v>
      </c>
      <c r="B1706" s="16" t="s">
        <v>8234</v>
      </c>
      <c r="C1706" s="16" t="s">
        <v>8825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8883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8656</v>
      </c>
      <c r="B1707" s="16" t="s">
        <v>8235</v>
      </c>
      <c r="C1707" s="16" t="s">
        <v>8826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8883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8657</v>
      </c>
      <c r="B1708" s="16" t="s">
        <v>8236</v>
      </c>
      <c r="C1708" s="16" t="s">
        <v>8827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8883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8658</v>
      </c>
      <c r="B1709" s="16" t="s">
        <v>8237</v>
      </c>
      <c r="C1709" s="16" t="s">
        <v>8828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8883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8659</v>
      </c>
      <c r="B1710" s="16" t="s">
        <v>8238</v>
      </c>
      <c r="C1710" s="16" t="s">
        <v>8829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8883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8660</v>
      </c>
      <c r="B1711" s="16" t="s">
        <v>8239</v>
      </c>
      <c r="C1711" s="16" t="s">
        <v>8830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8883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8661</v>
      </c>
      <c r="B1712" s="16" t="s">
        <v>8240</v>
      </c>
      <c r="C1712" s="16" t="s">
        <v>8831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8883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8662</v>
      </c>
      <c r="B1713" s="16" t="s">
        <v>8241</v>
      </c>
      <c r="C1713" s="16" t="s">
        <v>8832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8883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8663</v>
      </c>
      <c r="B1714" s="16" t="s">
        <v>8242</v>
      </c>
      <c r="C1714" s="16" t="s">
        <v>8833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8883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8664</v>
      </c>
      <c r="B1715" s="16" t="s">
        <v>8243</v>
      </c>
      <c r="C1715" s="16" t="s">
        <v>8834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8883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10601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8665</v>
      </c>
      <c r="B1716" s="16" t="s">
        <v>8244</v>
      </c>
      <c r="C1716" s="16" t="s">
        <v>8835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8883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8666</v>
      </c>
      <c r="B1717" s="16" t="s">
        <v>8245</v>
      </c>
      <c r="C1717" s="16" t="s">
        <v>8836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8883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8667</v>
      </c>
      <c r="B1718" s="16" t="s">
        <v>8246</v>
      </c>
      <c r="C1718" s="16" t="s">
        <v>8837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8883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8668</v>
      </c>
      <c r="B1719" s="16" t="s">
        <v>8247</v>
      </c>
      <c r="C1719" s="16" t="s">
        <v>8838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8883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8669</v>
      </c>
      <c r="B1720" s="16" t="s">
        <v>8248</v>
      </c>
      <c r="C1720" s="16" t="s">
        <v>8839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8883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8670</v>
      </c>
      <c r="B1721" s="16" t="s">
        <v>8249</v>
      </c>
      <c r="C1721" s="16" t="s">
        <v>8840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8883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8671</v>
      </c>
      <c r="B1722" s="16" t="s">
        <v>8250</v>
      </c>
      <c r="C1722" s="16" t="s">
        <v>8841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8883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8672</v>
      </c>
      <c r="B1723" s="16" t="s">
        <v>8251</v>
      </c>
      <c r="C1723" s="16" t="s">
        <v>8842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8883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8673</v>
      </c>
      <c r="B1724" s="16" t="s">
        <v>8252</v>
      </c>
      <c r="C1724" s="16" t="s">
        <v>8843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8883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8674</v>
      </c>
      <c r="B1725" s="16" t="s">
        <v>8253</v>
      </c>
      <c r="C1725" s="16" t="s">
        <v>8844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8883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8675</v>
      </c>
      <c r="B1726" s="16" t="s">
        <v>8254</v>
      </c>
      <c r="C1726" s="16" t="s">
        <v>8845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8883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8676</v>
      </c>
      <c r="B1727" s="16" t="s">
        <v>8255</v>
      </c>
      <c r="C1727" s="16" t="s">
        <v>8846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8883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8677</v>
      </c>
      <c r="B1728" s="16" t="s">
        <v>8256</v>
      </c>
      <c r="C1728" s="16" t="s">
        <v>8847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8883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8678</v>
      </c>
      <c r="B1729" s="16" t="s">
        <v>8257</v>
      </c>
      <c r="C1729" s="16" t="s">
        <v>8848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8883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8679</v>
      </c>
      <c r="B1730" s="16" t="s">
        <v>8258</v>
      </c>
      <c r="C1730" s="16" t="s">
        <v>8849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8883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8680</v>
      </c>
      <c r="B1731" s="16" t="s">
        <v>8259</v>
      </c>
      <c r="C1731" s="16" t="s">
        <v>8850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8883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8681</v>
      </c>
      <c r="B1732" s="16" t="s">
        <v>8260</v>
      </c>
      <c r="C1732" s="16" t="s">
        <v>8851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8883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8682</v>
      </c>
      <c r="B1733" s="16" t="s">
        <v>8261</v>
      </c>
      <c r="C1733" s="16" t="s">
        <v>8852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8883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8683</v>
      </c>
      <c r="B1734" s="16" t="s">
        <v>8262</v>
      </c>
      <c r="C1734" s="16" t="s">
        <v>8853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8883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8684</v>
      </c>
      <c r="B1735" s="16" t="s">
        <v>8263</v>
      </c>
      <c r="C1735" s="16" t="s">
        <v>8854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8883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8685</v>
      </c>
      <c r="B1736" s="16" t="s">
        <v>8264</v>
      </c>
      <c r="C1736" s="16" t="s">
        <v>8855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8883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8686</v>
      </c>
      <c r="B1737" s="16" t="s">
        <v>8265</v>
      </c>
      <c r="C1737" s="16" t="s">
        <v>8856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8883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8687</v>
      </c>
      <c r="B1738" s="16" t="s">
        <v>8266</v>
      </c>
      <c r="C1738" s="16" t="s">
        <v>8857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8883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8688</v>
      </c>
      <c r="B1739" s="16" t="s">
        <v>8267</v>
      </c>
      <c r="C1739" s="16" t="s">
        <v>8858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8883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8689</v>
      </c>
      <c r="B1740" s="16" t="s">
        <v>8268</v>
      </c>
      <c r="C1740" s="16" t="s">
        <v>8859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8883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8690</v>
      </c>
      <c r="B1741" s="16" t="s">
        <v>8269</v>
      </c>
      <c r="C1741" s="16" t="s">
        <v>8860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8883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8691</v>
      </c>
      <c r="B1742" s="16" t="s">
        <v>8270</v>
      </c>
      <c r="C1742" s="16" t="s">
        <v>8861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8883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8692</v>
      </c>
      <c r="B1743" s="16" t="s">
        <v>8271</v>
      </c>
      <c r="C1743" s="16" t="s">
        <v>8862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8883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8693</v>
      </c>
      <c r="B1744" s="16" t="s">
        <v>8272</v>
      </c>
      <c r="C1744" s="16" t="s">
        <v>8863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8883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8694</v>
      </c>
      <c r="B1745" s="16" t="s">
        <v>8273</v>
      </c>
      <c r="C1745" s="16" t="s">
        <v>8864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8883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8695</v>
      </c>
      <c r="B1746" s="16" t="s">
        <v>8274</v>
      </c>
      <c r="C1746" s="16" t="s">
        <v>8865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8883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8696</v>
      </c>
      <c r="B1747" s="16" t="s">
        <v>8275</v>
      </c>
      <c r="C1747" s="16" t="s">
        <v>8866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8883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8697</v>
      </c>
      <c r="B1748" s="16" t="s">
        <v>8276</v>
      </c>
      <c r="C1748" s="16" t="s">
        <v>8867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8883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8698</v>
      </c>
      <c r="B1749" s="16" t="s">
        <v>8277</v>
      </c>
      <c r="C1749" s="16" t="s">
        <v>8868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8883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8699</v>
      </c>
      <c r="B1750" s="16" t="s">
        <v>8278</v>
      </c>
      <c r="C1750" s="16" t="s">
        <v>8869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8883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8700</v>
      </c>
      <c r="B1751" s="16" t="s">
        <v>8279</v>
      </c>
      <c r="C1751" s="16" t="s">
        <v>8870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8883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8701</v>
      </c>
      <c r="B1752" s="16" t="s">
        <v>8280</v>
      </c>
      <c r="C1752" s="16" t="s">
        <v>8871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8883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8702</v>
      </c>
      <c r="B1753" s="16" t="s">
        <v>8281</v>
      </c>
      <c r="C1753" s="16" t="s">
        <v>8872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8883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8703</v>
      </c>
      <c r="B1754" s="16" t="s">
        <v>8282</v>
      </c>
      <c r="C1754" s="16" t="s">
        <v>8873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8883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8704</v>
      </c>
      <c r="B1755" s="16" t="s">
        <v>8283</v>
      </c>
      <c r="C1755" s="16" t="s">
        <v>8874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8883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8705</v>
      </c>
      <c r="B1756" s="16" t="s">
        <v>8284</v>
      </c>
      <c r="C1756" s="16" t="s">
        <v>8875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8883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8706</v>
      </c>
      <c r="B1757" s="16" t="s">
        <v>8285</v>
      </c>
      <c r="C1757" s="16" t="s">
        <v>8876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8883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8707</v>
      </c>
      <c r="B1758" s="16" t="s">
        <v>8286</v>
      </c>
      <c r="C1758" s="16" t="s">
        <v>8877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8883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8708</v>
      </c>
      <c r="B1759" s="16" t="s">
        <v>8287</v>
      </c>
      <c r="C1759" s="16" t="s">
        <v>8878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8883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8709</v>
      </c>
      <c r="B1760" s="16" t="s">
        <v>8288</v>
      </c>
      <c r="C1760" s="16" t="s">
        <v>8879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8883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8710</v>
      </c>
      <c r="B1761" s="17" t="s">
        <v>8289</v>
      </c>
      <c r="C1761" s="17" t="s">
        <v>8880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8883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8711</v>
      </c>
      <c r="B1762" s="17" t="s">
        <v>8290</v>
      </c>
      <c r="C1762" s="17" t="s">
        <v>8881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8883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8712</v>
      </c>
      <c r="B1763" s="17" t="s">
        <v>8291</v>
      </c>
      <c r="C1763" s="17" t="s">
        <v>8882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8883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11701</v>
      </c>
      <c r="B1764" t="s">
        <v>11645</v>
      </c>
      <c r="C1764" t="s">
        <v>11757</v>
      </c>
      <c r="D1764" s="17" t="s">
        <v>21</v>
      </c>
      <c r="E1764" t="s">
        <v>11621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11622</v>
      </c>
      <c r="K1764" s="3">
        <v>5.0999999999999996</v>
      </c>
      <c r="L1764" t="s">
        <v>11461</v>
      </c>
      <c r="M1764" t="s">
        <v>11516</v>
      </c>
      <c r="N1764" t="s">
        <v>11566</v>
      </c>
      <c r="O1764" t="s">
        <v>26</v>
      </c>
      <c r="P1764" t="s">
        <v>11975</v>
      </c>
    </row>
    <row r="1765" spans="1:26">
      <c r="A1765" t="s">
        <v>11706</v>
      </c>
      <c r="B1765" t="s">
        <v>11650</v>
      </c>
      <c r="C1765" t="s">
        <v>11762</v>
      </c>
      <c r="D1765" s="17" t="s">
        <v>21</v>
      </c>
      <c r="E1765" t="s">
        <v>11621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11622</v>
      </c>
      <c r="K1765" s="3">
        <v>5.6</v>
      </c>
      <c r="L1765" t="s">
        <v>11468</v>
      </c>
      <c r="M1765" t="s">
        <v>11516</v>
      </c>
      <c r="N1765" t="s">
        <v>11573</v>
      </c>
      <c r="O1765" t="s">
        <v>26</v>
      </c>
      <c r="P1765" t="s">
        <v>11982</v>
      </c>
    </row>
    <row r="1766" spans="1:26">
      <c r="A1766" t="s">
        <v>11702</v>
      </c>
      <c r="B1766" t="s">
        <v>11646</v>
      </c>
      <c r="C1766" t="s">
        <v>11758</v>
      </c>
      <c r="D1766" s="17" t="s">
        <v>21</v>
      </c>
      <c r="E1766" t="s">
        <v>11621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11622</v>
      </c>
      <c r="K1766" s="3">
        <v>6.2</v>
      </c>
      <c r="L1766" t="s">
        <v>11462</v>
      </c>
      <c r="M1766" t="s">
        <v>11516</v>
      </c>
      <c r="N1766" t="s">
        <v>11567</v>
      </c>
      <c r="O1766" t="s">
        <v>26</v>
      </c>
      <c r="P1766" t="s">
        <v>11976</v>
      </c>
    </row>
    <row r="1767" spans="1:26">
      <c r="A1767" t="s">
        <v>11723</v>
      </c>
      <c r="B1767" t="s">
        <v>11667</v>
      </c>
      <c r="C1767" t="s">
        <v>11779</v>
      </c>
      <c r="D1767" s="17" t="s">
        <v>21</v>
      </c>
      <c r="E1767" t="s">
        <v>11621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11622</v>
      </c>
      <c r="K1767" s="3">
        <v>6.8</v>
      </c>
      <c r="L1767" t="s">
        <v>11494</v>
      </c>
      <c r="M1767" t="s">
        <v>11516</v>
      </c>
      <c r="N1767" t="s">
        <v>11599</v>
      </c>
      <c r="O1767" t="s">
        <v>26</v>
      </c>
      <c r="P1767" t="s">
        <v>12008</v>
      </c>
    </row>
    <row r="1768" spans="1:26">
      <c r="A1768" t="s">
        <v>11703</v>
      </c>
      <c r="B1768" t="s">
        <v>11647</v>
      </c>
      <c r="C1768" t="s">
        <v>11759</v>
      </c>
      <c r="D1768" s="17" t="s">
        <v>21</v>
      </c>
      <c r="E1768" t="s">
        <v>11621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11622</v>
      </c>
      <c r="K1768" s="3">
        <v>7.5</v>
      </c>
      <c r="L1768" t="s">
        <v>11463</v>
      </c>
      <c r="M1768" t="s">
        <v>11516</v>
      </c>
      <c r="N1768" t="s">
        <v>11568</v>
      </c>
      <c r="O1768" t="s">
        <v>26</v>
      </c>
      <c r="P1768" t="s">
        <v>11977</v>
      </c>
    </row>
    <row r="1769" spans="1:26">
      <c r="A1769" t="s">
        <v>11705</v>
      </c>
      <c r="B1769" t="s">
        <v>11649</v>
      </c>
      <c r="C1769" t="s">
        <v>11761</v>
      </c>
      <c r="D1769" s="17" t="s">
        <v>21</v>
      </c>
      <c r="E1769" t="s">
        <v>11621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11622</v>
      </c>
      <c r="K1769" s="3">
        <v>8.1999999999999993</v>
      </c>
      <c r="L1769" t="s">
        <v>11465</v>
      </c>
      <c r="M1769" t="s">
        <v>11516</v>
      </c>
      <c r="N1769" t="s">
        <v>11570</v>
      </c>
      <c r="O1769" t="s">
        <v>26</v>
      </c>
      <c r="P1769" t="s">
        <v>11979</v>
      </c>
    </row>
    <row r="1770" spans="1:26">
      <c r="A1770" t="s">
        <v>11729</v>
      </c>
      <c r="B1770" t="s">
        <v>11673</v>
      </c>
      <c r="C1770" t="s">
        <v>11785</v>
      </c>
      <c r="D1770" s="17" t="s">
        <v>21</v>
      </c>
      <c r="E1770" t="s">
        <v>11621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11622</v>
      </c>
      <c r="K1770" s="3">
        <v>9.1</v>
      </c>
      <c r="L1770" t="s">
        <v>11506</v>
      </c>
      <c r="M1770" t="s">
        <v>11516</v>
      </c>
      <c r="N1770" t="s">
        <v>11611</v>
      </c>
      <c r="O1770" t="s">
        <v>26</v>
      </c>
      <c r="P1770" t="s">
        <v>12020</v>
      </c>
    </row>
    <row r="1771" spans="1:26">
      <c r="A1771" t="s">
        <v>11816</v>
      </c>
      <c r="B1771" t="s">
        <v>11861</v>
      </c>
      <c r="C1771" t="s">
        <v>11906</v>
      </c>
      <c r="D1771" s="17" t="s">
        <v>21</v>
      </c>
      <c r="E1771" t="s">
        <v>11621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11622</v>
      </c>
      <c r="K1771" s="3">
        <v>10</v>
      </c>
      <c r="L1771" t="s">
        <v>11467</v>
      </c>
      <c r="M1771" t="s">
        <v>11516</v>
      </c>
      <c r="N1771" t="s">
        <v>11572</v>
      </c>
      <c r="O1771" t="s">
        <v>26</v>
      </c>
      <c r="P1771" t="s">
        <v>11981</v>
      </c>
    </row>
    <row r="1772" spans="1:26">
      <c r="A1772" t="s">
        <v>11833</v>
      </c>
      <c r="B1772" t="s">
        <v>11878</v>
      </c>
      <c r="C1772" t="s">
        <v>11923</v>
      </c>
      <c r="D1772" s="17" t="s">
        <v>21</v>
      </c>
      <c r="E1772" t="s">
        <v>11621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11622</v>
      </c>
      <c r="K1772" s="3">
        <v>11</v>
      </c>
      <c r="L1772" t="s">
        <v>11510</v>
      </c>
      <c r="M1772" t="s">
        <v>11516</v>
      </c>
      <c r="N1772" t="s">
        <v>11615</v>
      </c>
      <c r="O1772" t="s">
        <v>26</v>
      </c>
      <c r="P1772" t="s">
        <v>12024</v>
      </c>
    </row>
    <row r="1773" spans="1:26">
      <c r="A1773" t="s">
        <v>11827</v>
      </c>
      <c r="B1773" t="s">
        <v>11872</v>
      </c>
      <c r="C1773" t="s">
        <v>11917</v>
      </c>
      <c r="D1773" s="17" t="s">
        <v>21</v>
      </c>
      <c r="E1773" t="s">
        <v>11621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11622</v>
      </c>
      <c r="K1773" s="3">
        <v>12</v>
      </c>
      <c r="L1773" t="s">
        <v>11498</v>
      </c>
      <c r="M1773" t="s">
        <v>11516</v>
      </c>
      <c r="N1773" t="s">
        <v>11603</v>
      </c>
      <c r="O1773" t="s">
        <v>26</v>
      </c>
      <c r="P1773" t="s">
        <v>12012</v>
      </c>
    </row>
    <row r="1774" spans="1:26">
      <c r="A1774" t="s">
        <v>11832</v>
      </c>
      <c r="B1774" t="s">
        <v>11877</v>
      </c>
      <c r="C1774" t="s">
        <v>11922</v>
      </c>
      <c r="D1774" s="17" t="s">
        <v>21</v>
      </c>
      <c r="E1774" t="s">
        <v>11621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11622</v>
      </c>
      <c r="K1774" s="3">
        <v>13</v>
      </c>
      <c r="L1774" t="s">
        <v>11507</v>
      </c>
      <c r="M1774" t="s">
        <v>11516</v>
      </c>
      <c r="N1774" t="s">
        <v>11612</v>
      </c>
      <c r="O1774" t="s">
        <v>26</v>
      </c>
      <c r="P1774" t="s">
        <v>12021</v>
      </c>
    </row>
    <row r="1775" spans="1:26">
      <c r="A1775" t="s">
        <v>11795</v>
      </c>
      <c r="B1775" t="s">
        <v>11840</v>
      </c>
      <c r="C1775" t="s">
        <v>11885</v>
      </c>
      <c r="D1775" s="17" t="s">
        <v>21</v>
      </c>
      <c r="E1775" t="s">
        <v>11621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11622</v>
      </c>
      <c r="K1775" s="3">
        <v>15</v>
      </c>
      <c r="L1775" t="s">
        <v>11418</v>
      </c>
      <c r="M1775" t="s">
        <v>11516</v>
      </c>
      <c r="N1775" t="s">
        <v>11523</v>
      </c>
      <c r="O1775" t="s">
        <v>26</v>
      </c>
      <c r="P1775" t="s">
        <v>11932</v>
      </c>
    </row>
    <row r="1776" spans="1:26">
      <c r="A1776" t="s">
        <v>11800</v>
      </c>
      <c r="B1776" t="s">
        <v>11845</v>
      </c>
      <c r="C1776" t="s">
        <v>11890</v>
      </c>
      <c r="D1776" s="17" t="s">
        <v>21</v>
      </c>
      <c r="E1776" t="s">
        <v>11621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11622</v>
      </c>
      <c r="K1776" s="3">
        <v>16</v>
      </c>
      <c r="L1776" t="s">
        <v>11429</v>
      </c>
      <c r="M1776" t="s">
        <v>11516</v>
      </c>
      <c r="N1776" t="s">
        <v>11534</v>
      </c>
      <c r="O1776" t="s">
        <v>26</v>
      </c>
      <c r="P1776" t="s">
        <v>11943</v>
      </c>
    </row>
    <row r="1777" spans="1:16">
      <c r="A1777" t="s">
        <v>11806</v>
      </c>
      <c r="B1777" t="s">
        <v>11851</v>
      </c>
      <c r="C1777" t="s">
        <v>11896</v>
      </c>
      <c r="D1777" s="17" t="s">
        <v>21</v>
      </c>
      <c r="E1777" t="s">
        <v>11621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11622</v>
      </c>
      <c r="K1777" s="3">
        <v>18</v>
      </c>
      <c r="L1777" t="s">
        <v>11437</v>
      </c>
      <c r="M1777" t="s">
        <v>11516</v>
      </c>
      <c r="N1777" t="s">
        <v>11542</v>
      </c>
      <c r="O1777" t="s">
        <v>26</v>
      </c>
      <c r="P1777" t="s">
        <v>11951</v>
      </c>
    </row>
    <row r="1778" spans="1:16">
      <c r="A1778" t="s">
        <v>11809</v>
      </c>
      <c r="B1778" t="s">
        <v>11854</v>
      </c>
      <c r="C1778" t="s">
        <v>11899</v>
      </c>
      <c r="D1778" s="17" t="s">
        <v>21</v>
      </c>
      <c r="E1778" t="s">
        <v>11621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11622</v>
      </c>
      <c r="K1778" s="3">
        <v>20</v>
      </c>
      <c r="L1778" t="s">
        <v>11448</v>
      </c>
      <c r="M1778" t="s">
        <v>11516</v>
      </c>
      <c r="N1778" t="s">
        <v>11553</v>
      </c>
      <c r="O1778" t="s">
        <v>26</v>
      </c>
      <c r="P1778" t="s">
        <v>11962</v>
      </c>
    </row>
    <row r="1779" spans="1:16">
      <c r="A1779" t="s">
        <v>11822</v>
      </c>
      <c r="B1779" t="s">
        <v>11867</v>
      </c>
      <c r="C1779" t="s">
        <v>11912</v>
      </c>
      <c r="D1779" s="17" t="s">
        <v>21</v>
      </c>
      <c r="E1779" t="s">
        <v>11621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11622</v>
      </c>
      <c r="K1779" s="3">
        <v>22</v>
      </c>
      <c r="L1779" t="s">
        <v>11488</v>
      </c>
      <c r="M1779" t="s">
        <v>11516</v>
      </c>
      <c r="N1779" t="s">
        <v>11593</v>
      </c>
      <c r="O1779" t="s">
        <v>26</v>
      </c>
      <c r="P1779" t="s">
        <v>12002</v>
      </c>
    </row>
    <row r="1780" spans="1:16">
      <c r="A1780" t="s">
        <v>11831</v>
      </c>
      <c r="B1780" t="s">
        <v>11876</v>
      </c>
      <c r="C1780" t="s">
        <v>11921</v>
      </c>
      <c r="D1780" s="17" t="s">
        <v>21</v>
      </c>
      <c r="E1780" t="s">
        <v>11621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11622</v>
      </c>
      <c r="K1780" s="3">
        <v>24</v>
      </c>
      <c r="L1780" t="s">
        <v>11502</v>
      </c>
      <c r="M1780" t="s">
        <v>11516</v>
      </c>
      <c r="N1780" t="s">
        <v>11607</v>
      </c>
      <c r="O1780" t="s">
        <v>26</v>
      </c>
      <c r="P1780" t="s">
        <v>12016</v>
      </c>
    </row>
    <row r="1781" spans="1:16">
      <c r="A1781" t="s">
        <v>11797</v>
      </c>
      <c r="B1781" t="s">
        <v>11842</v>
      </c>
      <c r="C1781" t="s">
        <v>11887</v>
      </c>
      <c r="D1781" s="17" t="s">
        <v>21</v>
      </c>
      <c r="E1781" t="s">
        <v>11621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11622</v>
      </c>
      <c r="K1781" s="3">
        <v>27</v>
      </c>
      <c r="L1781" t="s">
        <v>11420</v>
      </c>
      <c r="M1781" t="s">
        <v>11516</v>
      </c>
      <c r="N1781" t="s">
        <v>11525</v>
      </c>
      <c r="O1781" t="s">
        <v>26</v>
      </c>
      <c r="P1781" t="s">
        <v>11934</v>
      </c>
    </row>
    <row r="1782" spans="1:16">
      <c r="A1782" t="s">
        <v>11815</v>
      </c>
      <c r="B1782" t="s">
        <v>11860</v>
      </c>
      <c r="C1782" t="s">
        <v>11905</v>
      </c>
      <c r="D1782" s="17" t="s">
        <v>21</v>
      </c>
      <c r="E1782" t="s">
        <v>11621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11622</v>
      </c>
      <c r="K1782" s="3">
        <v>30</v>
      </c>
      <c r="L1782" t="s">
        <v>11466</v>
      </c>
      <c r="M1782" t="s">
        <v>11516</v>
      </c>
      <c r="N1782" t="s">
        <v>11571</v>
      </c>
      <c r="O1782" t="s">
        <v>26</v>
      </c>
      <c r="P1782" t="s">
        <v>11980</v>
      </c>
    </row>
    <row r="1783" spans="1:16">
      <c r="A1783" t="s">
        <v>11818</v>
      </c>
      <c r="B1783" t="s">
        <v>11863</v>
      </c>
      <c r="C1783" t="s">
        <v>11908</v>
      </c>
      <c r="D1783" s="17" t="s">
        <v>21</v>
      </c>
      <c r="E1783" t="s">
        <v>11621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11622</v>
      </c>
      <c r="K1783" s="3">
        <v>33</v>
      </c>
      <c r="L1783" t="s">
        <v>11472</v>
      </c>
      <c r="M1783" t="s">
        <v>11516</v>
      </c>
      <c r="N1783" t="s">
        <v>11577</v>
      </c>
      <c r="O1783" t="s">
        <v>26</v>
      </c>
      <c r="P1783" t="s">
        <v>11986</v>
      </c>
    </row>
    <row r="1784" spans="1:16">
      <c r="A1784" t="s">
        <v>11834</v>
      </c>
      <c r="B1784" t="s">
        <v>11879</v>
      </c>
      <c r="C1784" t="s">
        <v>11924</v>
      </c>
      <c r="D1784" s="17" t="s">
        <v>21</v>
      </c>
      <c r="E1784" t="s">
        <v>11621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11622</v>
      </c>
      <c r="K1784" s="3">
        <v>36</v>
      </c>
      <c r="L1784" t="s">
        <v>11511</v>
      </c>
      <c r="M1784" t="s">
        <v>11516</v>
      </c>
      <c r="N1784" t="s">
        <v>11616</v>
      </c>
      <c r="O1784" t="s">
        <v>26</v>
      </c>
      <c r="P1784" t="s">
        <v>12025</v>
      </c>
    </row>
    <row r="1785" spans="1:16">
      <c r="A1785" t="s">
        <v>11830</v>
      </c>
      <c r="B1785" t="s">
        <v>11875</v>
      </c>
      <c r="C1785" t="s">
        <v>11920</v>
      </c>
      <c r="D1785" s="17" t="s">
        <v>21</v>
      </c>
      <c r="E1785" t="s">
        <v>11621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11622</v>
      </c>
      <c r="K1785" s="3">
        <v>39</v>
      </c>
      <c r="L1785" t="s">
        <v>11501</v>
      </c>
      <c r="M1785" t="s">
        <v>11516</v>
      </c>
      <c r="N1785" t="s">
        <v>11606</v>
      </c>
      <c r="O1785" t="s">
        <v>26</v>
      </c>
      <c r="P1785" t="s">
        <v>12015</v>
      </c>
    </row>
    <row r="1786" spans="1:16">
      <c r="A1786" t="s">
        <v>11813</v>
      </c>
      <c r="B1786" t="s">
        <v>11858</v>
      </c>
      <c r="C1786" t="s">
        <v>11903</v>
      </c>
      <c r="D1786" s="17" t="s">
        <v>21</v>
      </c>
      <c r="E1786" t="s">
        <v>11621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11622</v>
      </c>
      <c r="K1786" s="3">
        <v>43</v>
      </c>
      <c r="L1786" t="s">
        <v>11456</v>
      </c>
      <c r="M1786" t="s">
        <v>11516</v>
      </c>
      <c r="N1786" t="s">
        <v>11561</v>
      </c>
      <c r="O1786" t="s">
        <v>26</v>
      </c>
      <c r="P1786" t="s">
        <v>11970</v>
      </c>
    </row>
    <row r="1787" spans="1:16">
      <c r="A1787" t="s">
        <v>12030</v>
      </c>
      <c r="B1787" t="s">
        <v>12031</v>
      </c>
      <c r="C1787" t="s">
        <v>12032</v>
      </c>
      <c r="D1787" s="17" t="s">
        <v>21</v>
      </c>
      <c r="E1787" t="s">
        <v>11621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11622</v>
      </c>
      <c r="K1787" s="3">
        <v>47</v>
      </c>
      <c r="L1787" t="s">
        <v>11441</v>
      </c>
      <c r="M1787" t="s">
        <v>11516</v>
      </c>
      <c r="N1787" t="s">
        <v>11546</v>
      </c>
      <c r="O1787" t="s">
        <v>26</v>
      </c>
      <c r="P1787" t="s">
        <v>11955</v>
      </c>
    </row>
    <row r="1788" spans="1:16">
      <c r="A1788" t="s">
        <v>11791</v>
      </c>
      <c r="B1788" t="s">
        <v>11836</v>
      </c>
      <c r="C1788" t="s">
        <v>11881</v>
      </c>
      <c r="D1788" s="17" t="s">
        <v>21</v>
      </c>
      <c r="E1788" t="s">
        <v>11621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11622</v>
      </c>
      <c r="K1788" s="3">
        <v>51</v>
      </c>
      <c r="L1788" t="s">
        <v>11412</v>
      </c>
      <c r="M1788" t="s">
        <v>11516</v>
      </c>
      <c r="N1788" t="s">
        <v>11517</v>
      </c>
      <c r="O1788" t="s">
        <v>26</v>
      </c>
      <c r="P1788" t="s">
        <v>11926</v>
      </c>
    </row>
    <row r="1789" spans="1:16">
      <c r="A1789" t="s">
        <v>12033</v>
      </c>
      <c r="B1789" t="s">
        <v>12034</v>
      </c>
      <c r="C1789" t="s">
        <v>12035</v>
      </c>
      <c r="D1789" s="17" t="s">
        <v>21</v>
      </c>
      <c r="E1789" t="s">
        <v>11621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11622</v>
      </c>
      <c r="K1789" s="3">
        <v>56</v>
      </c>
      <c r="L1789" t="s">
        <v>11421</v>
      </c>
      <c r="M1789" t="s">
        <v>11516</v>
      </c>
      <c r="N1789" t="s">
        <v>11526</v>
      </c>
      <c r="O1789" t="s">
        <v>26</v>
      </c>
      <c r="P1789" t="s">
        <v>11935</v>
      </c>
    </row>
    <row r="1790" spans="1:16">
      <c r="A1790" t="s">
        <v>11792</v>
      </c>
      <c r="B1790" t="s">
        <v>11837</v>
      </c>
      <c r="C1790" t="s">
        <v>11882</v>
      </c>
      <c r="D1790" s="17" t="s">
        <v>21</v>
      </c>
      <c r="E1790" t="s">
        <v>11621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11622</v>
      </c>
      <c r="K1790" s="3">
        <v>62</v>
      </c>
      <c r="L1790" t="s">
        <v>11414</v>
      </c>
      <c r="M1790" t="s">
        <v>11516</v>
      </c>
      <c r="N1790" t="s">
        <v>11519</v>
      </c>
      <c r="O1790" t="s">
        <v>26</v>
      </c>
      <c r="P1790" t="s">
        <v>11928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11621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11622</v>
      </c>
      <c r="K1791" s="3">
        <v>68</v>
      </c>
      <c r="L1791" t="s">
        <v>11500</v>
      </c>
      <c r="M1791" t="s">
        <v>11516</v>
      </c>
      <c r="N1791" t="s">
        <v>11605</v>
      </c>
      <c r="O1791" t="s">
        <v>26</v>
      </c>
      <c r="P1791" t="s">
        <v>12014</v>
      </c>
    </row>
    <row r="1792" spans="1:16">
      <c r="A1792" t="s">
        <v>12036</v>
      </c>
      <c r="B1792" t="s">
        <v>12037</v>
      </c>
      <c r="C1792" t="s">
        <v>12038</v>
      </c>
      <c r="D1792" s="17" t="s">
        <v>21</v>
      </c>
      <c r="E1792" t="s">
        <v>11621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11622</v>
      </c>
      <c r="K1792" s="3">
        <v>75</v>
      </c>
      <c r="L1792" t="s">
        <v>11442</v>
      </c>
      <c r="M1792" t="s">
        <v>11516</v>
      </c>
      <c r="N1792" t="s">
        <v>11547</v>
      </c>
      <c r="O1792" t="s">
        <v>26</v>
      </c>
      <c r="P1792" t="s">
        <v>11956</v>
      </c>
    </row>
    <row r="1793" spans="1:16">
      <c r="A1793" t="s">
        <v>11823</v>
      </c>
      <c r="B1793" t="s">
        <v>11868</v>
      </c>
      <c r="C1793" t="s">
        <v>11913</v>
      </c>
      <c r="D1793" s="17" t="s">
        <v>21</v>
      </c>
      <c r="E1793" t="s">
        <v>11621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11622</v>
      </c>
      <c r="K1793" s="3">
        <v>82</v>
      </c>
      <c r="L1793" t="s">
        <v>11489</v>
      </c>
      <c r="M1793" t="s">
        <v>11516</v>
      </c>
      <c r="N1793" t="s">
        <v>11594</v>
      </c>
      <c r="O1793" t="s">
        <v>26</v>
      </c>
      <c r="P1793" t="s">
        <v>12003</v>
      </c>
    </row>
    <row r="1794" spans="1:16">
      <c r="A1794" t="s">
        <v>11828</v>
      </c>
      <c r="B1794" t="s">
        <v>11873</v>
      </c>
      <c r="C1794" t="s">
        <v>11918</v>
      </c>
      <c r="D1794" s="17" t="s">
        <v>21</v>
      </c>
      <c r="E1794" t="s">
        <v>11621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11622</v>
      </c>
      <c r="K1794" s="3">
        <v>91</v>
      </c>
      <c r="L1794" t="s">
        <v>11499</v>
      </c>
      <c r="M1794" t="s">
        <v>11516</v>
      </c>
      <c r="N1794" t="s">
        <v>11604</v>
      </c>
      <c r="O1794" t="s">
        <v>26</v>
      </c>
      <c r="P1794" t="s">
        <v>12013</v>
      </c>
    </row>
    <row r="1795" spans="1:16">
      <c r="A1795" t="s">
        <v>11794</v>
      </c>
      <c r="B1795" t="s">
        <v>11839</v>
      </c>
      <c r="C1795" t="s">
        <v>11884</v>
      </c>
      <c r="D1795" s="17" t="s">
        <v>21</v>
      </c>
      <c r="E1795" t="s">
        <v>11621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11622</v>
      </c>
      <c r="K1795" s="3">
        <v>100</v>
      </c>
      <c r="L1795" t="s">
        <v>11417</v>
      </c>
      <c r="M1795" t="s">
        <v>11516</v>
      </c>
      <c r="N1795" t="s">
        <v>11522</v>
      </c>
      <c r="O1795" t="s">
        <v>26</v>
      </c>
      <c r="P1795" t="s">
        <v>11931</v>
      </c>
    </row>
    <row r="1796" spans="1:16">
      <c r="A1796" t="s">
        <v>11801</v>
      </c>
      <c r="B1796" t="s">
        <v>11846</v>
      </c>
      <c r="C1796" t="s">
        <v>11891</v>
      </c>
      <c r="D1796" s="17" t="s">
        <v>21</v>
      </c>
      <c r="E1796" t="s">
        <v>11621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11622</v>
      </c>
      <c r="K1796" s="3">
        <v>110</v>
      </c>
      <c r="L1796" t="s">
        <v>11432</v>
      </c>
      <c r="M1796" t="s">
        <v>11516</v>
      </c>
      <c r="N1796" t="s">
        <v>11537</v>
      </c>
      <c r="O1796" t="s">
        <v>26</v>
      </c>
      <c r="P1796" t="s">
        <v>11946</v>
      </c>
    </row>
    <row r="1797" spans="1:16">
      <c r="A1797" t="s">
        <v>11805</v>
      </c>
      <c r="B1797" t="s">
        <v>11850</v>
      </c>
      <c r="C1797" t="s">
        <v>11895</v>
      </c>
      <c r="D1797" s="17" t="s">
        <v>21</v>
      </c>
      <c r="E1797" t="s">
        <v>11621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11622</v>
      </c>
      <c r="K1797" s="3">
        <v>120</v>
      </c>
      <c r="L1797" t="s">
        <v>11436</v>
      </c>
      <c r="M1797" t="s">
        <v>11516</v>
      </c>
      <c r="N1797" t="s">
        <v>11541</v>
      </c>
      <c r="O1797" t="s">
        <v>26</v>
      </c>
      <c r="P1797" t="s">
        <v>11950</v>
      </c>
    </row>
    <row r="1798" spans="1:16">
      <c r="A1798" t="s">
        <v>11807</v>
      </c>
      <c r="B1798" t="s">
        <v>11852</v>
      </c>
      <c r="C1798" t="s">
        <v>11897</v>
      </c>
      <c r="D1798" s="17" t="s">
        <v>21</v>
      </c>
      <c r="E1798" t="s">
        <v>11621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11622</v>
      </c>
      <c r="K1798" s="3">
        <v>130</v>
      </c>
      <c r="L1798" t="s">
        <v>11445</v>
      </c>
      <c r="M1798" t="s">
        <v>11516</v>
      </c>
      <c r="N1798" t="s">
        <v>11550</v>
      </c>
      <c r="O1798" t="s">
        <v>26</v>
      </c>
      <c r="P1798" t="s">
        <v>11959</v>
      </c>
    </row>
    <row r="1799" spans="1:16">
      <c r="A1799" t="s">
        <v>11824</v>
      </c>
      <c r="B1799" t="s">
        <v>11869</v>
      </c>
      <c r="C1799" t="s">
        <v>11914</v>
      </c>
      <c r="D1799" s="17" t="s">
        <v>21</v>
      </c>
      <c r="E1799" t="s">
        <v>11621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11622</v>
      </c>
      <c r="K1799" s="3">
        <v>150</v>
      </c>
      <c r="L1799" t="s">
        <v>11491</v>
      </c>
      <c r="M1799" t="s">
        <v>11516</v>
      </c>
      <c r="N1799" t="s">
        <v>11596</v>
      </c>
      <c r="O1799" t="s">
        <v>26</v>
      </c>
      <c r="P1799" t="s">
        <v>12005</v>
      </c>
    </row>
    <row r="1800" spans="1:16">
      <c r="A1800" t="s">
        <v>11808</v>
      </c>
      <c r="B1800" t="s">
        <v>11853</v>
      </c>
      <c r="C1800" t="s">
        <v>11898</v>
      </c>
      <c r="D1800" s="17" t="s">
        <v>21</v>
      </c>
      <c r="E1800" t="s">
        <v>11621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11622</v>
      </c>
      <c r="K1800" s="3">
        <v>160</v>
      </c>
      <c r="L1800" t="s">
        <v>11446</v>
      </c>
      <c r="M1800" t="s">
        <v>11516</v>
      </c>
      <c r="N1800" t="s">
        <v>11551</v>
      </c>
      <c r="O1800" t="s">
        <v>26</v>
      </c>
      <c r="P1800" t="s">
        <v>11960</v>
      </c>
    </row>
    <row r="1801" spans="1:16">
      <c r="A1801" t="s">
        <v>11811</v>
      </c>
      <c r="B1801" t="s">
        <v>11856</v>
      </c>
      <c r="C1801" t="s">
        <v>11901</v>
      </c>
      <c r="D1801" s="17" t="s">
        <v>21</v>
      </c>
      <c r="E1801" t="s">
        <v>11621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11622</v>
      </c>
      <c r="K1801" s="3">
        <v>180</v>
      </c>
      <c r="L1801" t="s">
        <v>11453</v>
      </c>
      <c r="M1801" t="s">
        <v>11516</v>
      </c>
      <c r="N1801" t="s">
        <v>11558</v>
      </c>
      <c r="O1801" t="s">
        <v>26</v>
      </c>
      <c r="P1801" t="s">
        <v>11967</v>
      </c>
    </row>
    <row r="1802" spans="1:16">
      <c r="A1802" t="s">
        <v>11802</v>
      </c>
      <c r="B1802" t="s">
        <v>11847</v>
      </c>
      <c r="C1802" t="s">
        <v>11892</v>
      </c>
      <c r="D1802" s="17" t="s">
        <v>21</v>
      </c>
      <c r="E1802" t="s">
        <v>11621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11622</v>
      </c>
      <c r="K1802" s="3">
        <v>200</v>
      </c>
      <c r="L1802" t="s">
        <v>11433</v>
      </c>
      <c r="M1802" t="s">
        <v>11516</v>
      </c>
      <c r="N1802" t="s">
        <v>11538</v>
      </c>
      <c r="O1802" t="s">
        <v>26</v>
      </c>
      <c r="P1802" t="s">
        <v>11947</v>
      </c>
    </row>
    <row r="1803" spans="1:16">
      <c r="A1803" t="s">
        <v>11796</v>
      </c>
      <c r="B1803" t="s">
        <v>11841</v>
      </c>
      <c r="C1803" t="s">
        <v>11886</v>
      </c>
      <c r="D1803" s="17" t="s">
        <v>21</v>
      </c>
      <c r="E1803" t="s">
        <v>11621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11622</v>
      </c>
      <c r="K1803" s="3">
        <v>220</v>
      </c>
      <c r="L1803" t="s">
        <v>11419</v>
      </c>
      <c r="M1803" t="s">
        <v>11516</v>
      </c>
      <c r="N1803" t="s">
        <v>11524</v>
      </c>
      <c r="O1803" t="s">
        <v>26</v>
      </c>
      <c r="P1803" t="s">
        <v>11933</v>
      </c>
    </row>
    <row r="1804" spans="1:16">
      <c r="A1804" t="s">
        <v>11793</v>
      </c>
      <c r="B1804" t="s">
        <v>11838</v>
      </c>
      <c r="C1804" t="s">
        <v>11883</v>
      </c>
      <c r="D1804" s="17" t="s">
        <v>21</v>
      </c>
      <c r="E1804" t="s">
        <v>11621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11622</v>
      </c>
      <c r="K1804" s="3">
        <v>240</v>
      </c>
      <c r="L1804" t="s">
        <v>11415</v>
      </c>
      <c r="M1804" t="s">
        <v>11516</v>
      </c>
      <c r="N1804" t="s">
        <v>11520</v>
      </c>
      <c r="O1804" t="s">
        <v>26</v>
      </c>
      <c r="P1804" t="s">
        <v>11929</v>
      </c>
    </row>
    <row r="1805" spans="1:16">
      <c r="A1805" t="s">
        <v>11799</v>
      </c>
      <c r="B1805" t="s">
        <v>11844</v>
      </c>
      <c r="C1805" t="s">
        <v>11889</v>
      </c>
      <c r="D1805" s="17" t="s">
        <v>21</v>
      </c>
      <c r="E1805" t="s">
        <v>11621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11622</v>
      </c>
      <c r="K1805" s="3">
        <v>270</v>
      </c>
      <c r="L1805" t="s">
        <v>11424</v>
      </c>
      <c r="M1805" t="s">
        <v>11516</v>
      </c>
      <c r="N1805" t="s">
        <v>11529</v>
      </c>
      <c r="O1805" t="s">
        <v>26</v>
      </c>
      <c r="P1805" t="s">
        <v>11938</v>
      </c>
    </row>
    <row r="1806" spans="1:16">
      <c r="A1806" t="s">
        <v>11821</v>
      </c>
      <c r="B1806" t="s">
        <v>11866</v>
      </c>
      <c r="C1806" t="s">
        <v>11911</v>
      </c>
      <c r="D1806" s="17" t="s">
        <v>21</v>
      </c>
      <c r="E1806" t="s">
        <v>11621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11622</v>
      </c>
      <c r="K1806" s="3">
        <v>300</v>
      </c>
      <c r="L1806" t="s">
        <v>11487</v>
      </c>
      <c r="M1806" t="s">
        <v>11516</v>
      </c>
      <c r="N1806" t="s">
        <v>11592</v>
      </c>
      <c r="O1806" t="s">
        <v>26</v>
      </c>
      <c r="P1806" t="s">
        <v>12001</v>
      </c>
    </row>
    <row r="1807" spans="1:16">
      <c r="A1807" t="s">
        <v>11803</v>
      </c>
      <c r="B1807" t="s">
        <v>11848</v>
      </c>
      <c r="C1807" t="s">
        <v>11893</v>
      </c>
      <c r="D1807" s="17" t="s">
        <v>21</v>
      </c>
      <c r="E1807" t="s">
        <v>11621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11622</v>
      </c>
      <c r="K1807" s="3">
        <v>330</v>
      </c>
      <c r="L1807" t="s">
        <v>11434</v>
      </c>
      <c r="M1807" t="s">
        <v>11516</v>
      </c>
      <c r="N1807" t="s">
        <v>11539</v>
      </c>
      <c r="O1807" t="s">
        <v>26</v>
      </c>
      <c r="P1807" t="s">
        <v>11948</v>
      </c>
    </row>
    <row r="1808" spans="1:16">
      <c r="A1808" t="s">
        <v>11812</v>
      </c>
      <c r="B1808" t="s">
        <v>11857</v>
      </c>
      <c r="C1808" t="s">
        <v>11902</v>
      </c>
      <c r="D1808" s="17" t="s">
        <v>21</v>
      </c>
      <c r="E1808" t="s">
        <v>11621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11622</v>
      </c>
      <c r="K1808" s="3">
        <v>360</v>
      </c>
      <c r="L1808" t="s">
        <v>11454</v>
      </c>
      <c r="M1808" t="s">
        <v>11516</v>
      </c>
      <c r="N1808" t="s">
        <v>11559</v>
      </c>
      <c r="O1808" t="s">
        <v>26</v>
      </c>
      <c r="P1808" t="s">
        <v>11968</v>
      </c>
    </row>
    <row r="1809" spans="1:16">
      <c r="A1809" t="s">
        <v>11810</v>
      </c>
      <c r="B1809" t="s">
        <v>11855</v>
      </c>
      <c r="C1809" t="s">
        <v>11900</v>
      </c>
      <c r="D1809" s="17" t="s">
        <v>21</v>
      </c>
      <c r="E1809" t="s">
        <v>11621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11622</v>
      </c>
      <c r="K1809" s="3">
        <v>390</v>
      </c>
      <c r="L1809" t="s">
        <v>11450</v>
      </c>
      <c r="M1809" t="s">
        <v>11516</v>
      </c>
      <c r="N1809" t="s">
        <v>11555</v>
      </c>
      <c r="O1809" t="s">
        <v>26</v>
      </c>
      <c r="P1809" t="s">
        <v>11964</v>
      </c>
    </row>
    <row r="1810" spans="1:16">
      <c r="A1810" t="s">
        <v>11835</v>
      </c>
      <c r="B1810" t="s">
        <v>11880</v>
      </c>
      <c r="C1810" t="s">
        <v>11925</v>
      </c>
      <c r="D1810" s="17" t="s">
        <v>21</v>
      </c>
      <c r="E1810" t="s">
        <v>11621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11622</v>
      </c>
      <c r="K1810" s="3">
        <v>430</v>
      </c>
      <c r="L1810" t="s">
        <v>11515</v>
      </c>
      <c r="M1810" t="s">
        <v>11516</v>
      </c>
      <c r="N1810" t="s">
        <v>11620</v>
      </c>
      <c r="O1810" t="s">
        <v>26</v>
      </c>
      <c r="P1810" t="s">
        <v>12029</v>
      </c>
    </row>
    <row r="1811" spans="1:16">
      <c r="A1811" t="s">
        <v>11798</v>
      </c>
      <c r="B1811" t="s">
        <v>11843</v>
      </c>
      <c r="C1811" t="s">
        <v>11888</v>
      </c>
      <c r="D1811" s="17" t="s">
        <v>21</v>
      </c>
      <c r="E1811" t="s">
        <v>11621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11622</v>
      </c>
      <c r="K1811" s="3">
        <v>470</v>
      </c>
      <c r="L1811" t="s">
        <v>11423</v>
      </c>
      <c r="M1811" t="s">
        <v>11516</v>
      </c>
      <c r="N1811" t="s">
        <v>11528</v>
      </c>
      <c r="O1811" t="s">
        <v>26</v>
      </c>
      <c r="P1811" t="s">
        <v>11937</v>
      </c>
    </row>
    <row r="1812" spans="1:16">
      <c r="A1812" t="s">
        <v>11814</v>
      </c>
      <c r="B1812" t="s">
        <v>11859</v>
      </c>
      <c r="C1812" t="s">
        <v>11904</v>
      </c>
      <c r="D1812" s="17" t="s">
        <v>21</v>
      </c>
      <c r="E1812" t="s">
        <v>11621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11622</v>
      </c>
      <c r="K1812" s="3">
        <v>510</v>
      </c>
      <c r="L1812" t="s">
        <v>11457</v>
      </c>
      <c r="M1812" t="s">
        <v>11516</v>
      </c>
      <c r="N1812" t="s">
        <v>11562</v>
      </c>
      <c r="O1812" t="s">
        <v>26</v>
      </c>
      <c r="P1812" t="s">
        <v>11971</v>
      </c>
    </row>
    <row r="1813" spans="1:16">
      <c r="A1813" t="s">
        <v>11817</v>
      </c>
      <c r="B1813" t="s">
        <v>11862</v>
      </c>
      <c r="C1813" t="s">
        <v>11907</v>
      </c>
      <c r="D1813" s="17" t="s">
        <v>21</v>
      </c>
      <c r="E1813" t="s">
        <v>11621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11622</v>
      </c>
      <c r="K1813" s="3">
        <v>560</v>
      </c>
      <c r="L1813" t="s">
        <v>11470</v>
      </c>
      <c r="M1813" t="s">
        <v>11516</v>
      </c>
      <c r="N1813" t="s">
        <v>11575</v>
      </c>
      <c r="O1813" t="s">
        <v>26</v>
      </c>
      <c r="P1813" t="s">
        <v>11984</v>
      </c>
    </row>
    <row r="1814" spans="1:16">
      <c r="A1814" t="s">
        <v>11804</v>
      </c>
      <c r="B1814" t="s">
        <v>11849</v>
      </c>
      <c r="C1814" t="s">
        <v>11894</v>
      </c>
      <c r="D1814" s="17" t="s">
        <v>21</v>
      </c>
      <c r="E1814" t="s">
        <v>11621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11622</v>
      </c>
      <c r="K1814" s="3">
        <v>620</v>
      </c>
      <c r="L1814" t="s">
        <v>11435</v>
      </c>
      <c r="M1814" t="s">
        <v>11516</v>
      </c>
      <c r="N1814" t="s">
        <v>11540</v>
      </c>
      <c r="O1814" t="s">
        <v>26</v>
      </c>
      <c r="P1814" t="s">
        <v>11949</v>
      </c>
    </row>
    <row r="1815" spans="1:16">
      <c r="A1815" t="s">
        <v>11826</v>
      </c>
      <c r="B1815" t="s">
        <v>11871</v>
      </c>
      <c r="C1815" t="s">
        <v>11916</v>
      </c>
      <c r="D1815" s="17" t="s">
        <v>21</v>
      </c>
      <c r="E1815" t="s">
        <v>11621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11622</v>
      </c>
      <c r="K1815" s="3">
        <v>680</v>
      </c>
      <c r="L1815" t="s">
        <v>11495</v>
      </c>
      <c r="M1815" t="s">
        <v>11516</v>
      </c>
      <c r="N1815" t="s">
        <v>11600</v>
      </c>
      <c r="O1815" t="s">
        <v>26</v>
      </c>
      <c r="P1815" t="s">
        <v>12009</v>
      </c>
    </row>
    <row r="1816" spans="1:16">
      <c r="A1816" t="s">
        <v>11820</v>
      </c>
      <c r="B1816" t="s">
        <v>11865</v>
      </c>
      <c r="C1816" t="s">
        <v>11910</v>
      </c>
      <c r="D1816" s="17" t="s">
        <v>21</v>
      </c>
      <c r="E1816" t="s">
        <v>11621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11622</v>
      </c>
      <c r="K1816" s="3">
        <v>750</v>
      </c>
      <c r="L1816" t="s">
        <v>11485</v>
      </c>
      <c r="M1816" t="s">
        <v>11516</v>
      </c>
      <c r="N1816" t="s">
        <v>11590</v>
      </c>
      <c r="O1816" t="s">
        <v>26</v>
      </c>
      <c r="P1816" t="s">
        <v>11999</v>
      </c>
    </row>
    <row r="1817" spans="1:16">
      <c r="A1817" t="s">
        <v>11825</v>
      </c>
      <c r="B1817" t="s">
        <v>11870</v>
      </c>
      <c r="C1817" t="s">
        <v>11915</v>
      </c>
      <c r="D1817" s="17" t="s">
        <v>21</v>
      </c>
      <c r="E1817" t="s">
        <v>11621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11622</v>
      </c>
      <c r="K1817" s="3">
        <v>820</v>
      </c>
      <c r="L1817" t="s">
        <v>11492</v>
      </c>
      <c r="M1817" t="s">
        <v>11516</v>
      </c>
      <c r="N1817" t="s">
        <v>11597</v>
      </c>
      <c r="O1817" t="s">
        <v>26</v>
      </c>
      <c r="P1817" t="s">
        <v>12006</v>
      </c>
    </row>
    <row r="1818" spans="1:16">
      <c r="A1818" t="s">
        <v>11819</v>
      </c>
      <c r="B1818" t="s">
        <v>11864</v>
      </c>
      <c r="C1818" t="s">
        <v>11909</v>
      </c>
      <c r="D1818" s="17" t="s">
        <v>21</v>
      </c>
      <c r="E1818" t="s">
        <v>11621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11622</v>
      </c>
      <c r="K1818" s="3">
        <v>910</v>
      </c>
      <c r="L1818" t="s">
        <v>11476</v>
      </c>
      <c r="M1818" t="s">
        <v>11516</v>
      </c>
      <c r="N1818" t="s">
        <v>11581</v>
      </c>
      <c r="O1818" t="s">
        <v>26</v>
      </c>
      <c r="P1818" t="s">
        <v>11990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11621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11622</v>
      </c>
      <c r="K1819" s="3">
        <v>1000</v>
      </c>
      <c r="L1819" t="s">
        <v>11438</v>
      </c>
      <c r="M1819" t="s">
        <v>11516</v>
      </c>
      <c r="N1819" t="s">
        <v>11543</v>
      </c>
      <c r="O1819" t="s">
        <v>26</v>
      </c>
      <c r="P1819" t="s">
        <v>11952</v>
      </c>
    </row>
    <row r="1820" spans="1:16">
      <c r="A1820" t="s">
        <v>11687</v>
      </c>
      <c r="B1820" t="s">
        <v>11631</v>
      </c>
      <c r="C1820" t="s">
        <v>11743</v>
      </c>
      <c r="D1820" s="17" t="s">
        <v>21</v>
      </c>
      <c r="E1820" t="s">
        <v>11621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11622</v>
      </c>
      <c r="K1820" s="3">
        <v>1100</v>
      </c>
      <c r="L1820" t="s">
        <v>11431</v>
      </c>
      <c r="M1820" t="s">
        <v>11516</v>
      </c>
      <c r="N1820" t="s">
        <v>11536</v>
      </c>
      <c r="O1820" t="s">
        <v>26</v>
      </c>
      <c r="P1820" t="s">
        <v>11945</v>
      </c>
    </row>
    <row r="1821" spans="1:16">
      <c r="A1821" t="s">
        <v>11721</v>
      </c>
      <c r="B1821" t="s">
        <v>11665</v>
      </c>
      <c r="C1821" t="s">
        <v>11777</v>
      </c>
      <c r="D1821" s="17" t="s">
        <v>21</v>
      </c>
      <c r="E1821" t="s">
        <v>11621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11622</v>
      </c>
      <c r="K1821" s="3">
        <v>1200</v>
      </c>
      <c r="L1821" t="s">
        <v>11490</v>
      </c>
      <c r="M1821" t="s">
        <v>11516</v>
      </c>
      <c r="N1821" t="s">
        <v>11595</v>
      </c>
      <c r="O1821" t="s">
        <v>26</v>
      </c>
      <c r="P1821" t="s">
        <v>12004</v>
      </c>
    </row>
    <row r="1822" spans="1:16">
      <c r="A1822" t="s">
        <v>11711</v>
      </c>
      <c r="B1822" t="s">
        <v>11655</v>
      </c>
      <c r="C1822" t="s">
        <v>11767</v>
      </c>
      <c r="D1822" s="17" t="s">
        <v>21</v>
      </c>
      <c r="E1822" t="s">
        <v>11621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11622</v>
      </c>
      <c r="K1822" s="3">
        <v>1300</v>
      </c>
      <c r="L1822" t="s">
        <v>11475</v>
      </c>
      <c r="M1822" t="s">
        <v>11516</v>
      </c>
      <c r="N1822" t="s">
        <v>11580</v>
      </c>
      <c r="O1822" t="s">
        <v>26</v>
      </c>
      <c r="P1822" t="s">
        <v>11989</v>
      </c>
    </row>
    <row r="1823" spans="1:16">
      <c r="A1823" t="s">
        <v>11719</v>
      </c>
      <c r="B1823" t="s">
        <v>11663</v>
      </c>
      <c r="C1823" t="s">
        <v>11775</v>
      </c>
      <c r="D1823" s="17" t="s">
        <v>21</v>
      </c>
      <c r="E1823" t="s">
        <v>11621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11622</v>
      </c>
      <c r="K1823" s="3">
        <v>1500</v>
      </c>
      <c r="L1823" t="s">
        <v>11484</v>
      </c>
      <c r="M1823" t="s">
        <v>11516</v>
      </c>
      <c r="N1823" t="s">
        <v>11589</v>
      </c>
      <c r="O1823" t="s">
        <v>26</v>
      </c>
      <c r="P1823" t="s">
        <v>11998</v>
      </c>
    </row>
    <row r="1824" spans="1:16">
      <c r="A1824" t="s">
        <v>11733</v>
      </c>
      <c r="B1824" t="s">
        <v>11677</v>
      </c>
      <c r="C1824" t="s">
        <v>11789</v>
      </c>
      <c r="D1824" s="17" t="s">
        <v>21</v>
      </c>
      <c r="E1824" t="s">
        <v>11621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11622</v>
      </c>
      <c r="K1824" s="3">
        <v>1600</v>
      </c>
      <c r="L1824" t="s">
        <v>11513</v>
      </c>
      <c r="M1824" t="s">
        <v>11516</v>
      </c>
      <c r="N1824" t="s">
        <v>11618</v>
      </c>
      <c r="O1824" t="s">
        <v>26</v>
      </c>
      <c r="P1824" t="s">
        <v>12027</v>
      </c>
    </row>
    <row r="1825" spans="1:16">
      <c r="A1825" t="s">
        <v>11727</v>
      </c>
      <c r="B1825" t="s">
        <v>11671</v>
      </c>
      <c r="C1825" t="s">
        <v>11783</v>
      </c>
      <c r="D1825" s="17" t="s">
        <v>21</v>
      </c>
      <c r="E1825" t="s">
        <v>11621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11622</v>
      </c>
      <c r="K1825" s="3">
        <v>1800</v>
      </c>
      <c r="L1825" t="s">
        <v>11504</v>
      </c>
      <c r="M1825" t="s">
        <v>11516</v>
      </c>
      <c r="N1825" t="s">
        <v>11609</v>
      </c>
      <c r="O1825" t="s">
        <v>26</v>
      </c>
      <c r="P1825" t="s">
        <v>12018</v>
      </c>
    </row>
    <row r="1826" spans="1:16">
      <c r="A1826" t="s">
        <v>11689</v>
      </c>
      <c r="B1826" t="s">
        <v>11633</v>
      </c>
      <c r="C1826" t="s">
        <v>11745</v>
      </c>
      <c r="D1826" s="17" t="s">
        <v>21</v>
      </c>
      <c r="E1826" t="s">
        <v>11621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11622</v>
      </c>
      <c r="K1826" s="3">
        <v>2000</v>
      </c>
      <c r="L1826" t="s">
        <v>11439</v>
      </c>
      <c r="M1826" t="s">
        <v>11516</v>
      </c>
      <c r="N1826" t="s">
        <v>11544</v>
      </c>
      <c r="O1826" t="s">
        <v>26</v>
      </c>
      <c r="P1826" t="s">
        <v>11953</v>
      </c>
    </row>
    <row r="1827" spans="1:16">
      <c r="A1827" t="s">
        <v>11695</v>
      </c>
      <c r="B1827" t="s">
        <v>11639</v>
      </c>
      <c r="C1827" t="s">
        <v>11751</v>
      </c>
      <c r="D1827" s="17" t="s">
        <v>21</v>
      </c>
      <c r="E1827" t="s">
        <v>11621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11622</v>
      </c>
      <c r="K1827" s="3">
        <v>2200</v>
      </c>
      <c r="L1827" t="s">
        <v>11451</v>
      </c>
      <c r="M1827" t="s">
        <v>11516</v>
      </c>
      <c r="N1827" t="s">
        <v>11556</v>
      </c>
      <c r="O1827" t="s">
        <v>26</v>
      </c>
      <c r="P1827" t="s">
        <v>11965</v>
      </c>
    </row>
    <row r="1828" spans="1:16">
      <c r="A1828" t="s">
        <v>11713</v>
      </c>
      <c r="B1828" t="s">
        <v>11657</v>
      </c>
      <c r="C1828" t="s">
        <v>11769</v>
      </c>
      <c r="D1828" s="17" t="s">
        <v>21</v>
      </c>
      <c r="E1828" t="s">
        <v>11621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11622</v>
      </c>
      <c r="K1828" s="3">
        <v>2400</v>
      </c>
      <c r="L1828" t="s">
        <v>11478</v>
      </c>
      <c r="M1828" t="s">
        <v>11516</v>
      </c>
      <c r="N1828" t="s">
        <v>11583</v>
      </c>
      <c r="O1828" t="s">
        <v>26</v>
      </c>
      <c r="P1828" t="s">
        <v>11992</v>
      </c>
    </row>
    <row r="1829" spans="1:16">
      <c r="A1829" t="s">
        <v>11725</v>
      </c>
      <c r="B1829" t="s">
        <v>11669</v>
      </c>
      <c r="C1829" t="s">
        <v>11781</v>
      </c>
      <c r="D1829" s="17" t="s">
        <v>21</v>
      </c>
      <c r="E1829" t="s">
        <v>11621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11622</v>
      </c>
      <c r="K1829" s="3">
        <v>2700</v>
      </c>
      <c r="L1829" t="s">
        <v>11497</v>
      </c>
      <c r="M1829" t="s">
        <v>11516</v>
      </c>
      <c r="N1829" t="s">
        <v>11602</v>
      </c>
      <c r="O1829" t="s">
        <v>26</v>
      </c>
      <c r="P1829" t="s">
        <v>12011</v>
      </c>
    </row>
    <row r="1830" spans="1:16">
      <c r="A1830" t="s">
        <v>11734</v>
      </c>
      <c r="B1830" t="s">
        <v>11678</v>
      </c>
      <c r="C1830" t="s">
        <v>11790</v>
      </c>
      <c r="D1830" s="17" t="s">
        <v>21</v>
      </c>
      <c r="E1830" t="s">
        <v>11621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11622</v>
      </c>
      <c r="K1830" s="3">
        <v>3000</v>
      </c>
      <c r="L1830" t="s">
        <v>11514</v>
      </c>
      <c r="M1830" t="s">
        <v>11516</v>
      </c>
      <c r="N1830" t="s">
        <v>11619</v>
      </c>
      <c r="O1830" t="s">
        <v>26</v>
      </c>
      <c r="P1830" t="s">
        <v>12028</v>
      </c>
    </row>
    <row r="1831" spans="1:16">
      <c r="A1831" t="s">
        <v>11730</v>
      </c>
      <c r="B1831" t="s">
        <v>11674</v>
      </c>
      <c r="C1831" t="s">
        <v>11786</v>
      </c>
      <c r="D1831" s="17" t="s">
        <v>21</v>
      </c>
      <c r="E1831" t="s">
        <v>11621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11622</v>
      </c>
      <c r="K1831" s="3">
        <v>3300</v>
      </c>
      <c r="L1831" t="s">
        <v>11508</v>
      </c>
      <c r="M1831" t="s">
        <v>11516</v>
      </c>
      <c r="N1831" t="s">
        <v>11613</v>
      </c>
      <c r="O1831" t="s">
        <v>26</v>
      </c>
      <c r="P1831" t="s">
        <v>12022</v>
      </c>
    </row>
    <row r="1832" spans="1:16">
      <c r="A1832" t="s">
        <v>11709</v>
      </c>
      <c r="B1832" t="s">
        <v>11653</v>
      </c>
      <c r="C1832" t="s">
        <v>11765</v>
      </c>
      <c r="D1832" s="17" t="s">
        <v>21</v>
      </c>
      <c r="E1832" t="s">
        <v>11621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11622</v>
      </c>
      <c r="K1832" s="3">
        <v>3600</v>
      </c>
      <c r="L1832" t="s">
        <v>11473</v>
      </c>
      <c r="M1832" t="s">
        <v>11516</v>
      </c>
      <c r="N1832" t="s">
        <v>11578</v>
      </c>
      <c r="O1832" t="s">
        <v>26</v>
      </c>
      <c r="P1832" t="s">
        <v>11987</v>
      </c>
    </row>
    <row r="1833" spans="1:16">
      <c r="A1833" t="s">
        <v>11683</v>
      </c>
      <c r="B1833" t="s">
        <v>11627</v>
      </c>
      <c r="C1833" t="s">
        <v>11739</v>
      </c>
      <c r="D1833" s="17" t="s">
        <v>21</v>
      </c>
      <c r="E1833" t="s">
        <v>11621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11622</v>
      </c>
      <c r="K1833" s="3">
        <v>3900</v>
      </c>
      <c r="L1833" t="s">
        <v>11426</v>
      </c>
      <c r="M1833" t="s">
        <v>11516</v>
      </c>
      <c r="N1833" t="s">
        <v>11531</v>
      </c>
      <c r="O1833" t="s">
        <v>26</v>
      </c>
      <c r="P1833" t="s">
        <v>11940</v>
      </c>
    </row>
    <row r="1834" spans="1:16">
      <c r="A1834" t="s">
        <v>11716</v>
      </c>
      <c r="B1834" t="s">
        <v>11660</v>
      </c>
      <c r="C1834" t="s">
        <v>11772</v>
      </c>
      <c r="D1834" s="17" t="s">
        <v>21</v>
      </c>
      <c r="E1834" t="s">
        <v>11621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11622</v>
      </c>
      <c r="K1834" s="3">
        <v>4300</v>
      </c>
      <c r="L1834" t="s">
        <v>11481</v>
      </c>
      <c r="M1834" t="s">
        <v>11516</v>
      </c>
      <c r="N1834" t="s">
        <v>11586</v>
      </c>
      <c r="O1834" t="s">
        <v>26</v>
      </c>
      <c r="P1834" t="s">
        <v>11995</v>
      </c>
    </row>
    <row r="1835" spans="1:16">
      <c r="A1835" t="s">
        <v>11691</v>
      </c>
      <c r="B1835" t="s">
        <v>11635</v>
      </c>
      <c r="C1835" t="s">
        <v>11747</v>
      </c>
      <c r="D1835" s="17" t="s">
        <v>21</v>
      </c>
      <c r="E1835" t="s">
        <v>11621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11622</v>
      </c>
      <c r="K1835" s="3">
        <v>4700</v>
      </c>
      <c r="L1835" t="s">
        <v>11443</v>
      </c>
      <c r="M1835" t="s">
        <v>11516</v>
      </c>
      <c r="N1835" t="s">
        <v>11548</v>
      </c>
      <c r="O1835" t="s">
        <v>26</v>
      </c>
      <c r="P1835" t="s">
        <v>11957</v>
      </c>
    </row>
    <row r="1836" spans="1:16">
      <c r="A1836" t="s">
        <v>11697</v>
      </c>
      <c r="B1836" t="s">
        <v>11641</v>
      </c>
      <c r="C1836" t="s">
        <v>11753</v>
      </c>
      <c r="D1836" s="17" t="s">
        <v>21</v>
      </c>
      <c r="E1836" t="s">
        <v>11621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11622</v>
      </c>
      <c r="K1836" s="3">
        <v>5100</v>
      </c>
      <c r="L1836" t="s">
        <v>11455</v>
      </c>
      <c r="M1836" t="s">
        <v>11516</v>
      </c>
      <c r="N1836" t="s">
        <v>11560</v>
      </c>
      <c r="O1836" t="s">
        <v>26</v>
      </c>
      <c r="P1836" t="s">
        <v>11969</v>
      </c>
    </row>
    <row r="1837" spans="1:16">
      <c r="A1837" t="s">
        <v>11684</v>
      </c>
      <c r="B1837" t="s">
        <v>11628</v>
      </c>
      <c r="C1837" t="s">
        <v>11740</v>
      </c>
      <c r="D1837" s="17" t="s">
        <v>21</v>
      </c>
      <c r="E1837" t="s">
        <v>11621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11622</v>
      </c>
      <c r="K1837" s="3">
        <v>5600</v>
      </c>
      <c r="L1837" t="s">
        <v>11427</v>
      </c>
      <c r="M1837" t="s">
        <v>11516</v>
      </c>
      <c r="N1837" t="s">
        <v>11532</v>
      </c>
      <c r="O1837" t="s">
        <v>26</v>
      </c>
      <c r="P1837" t="s">
        <v>11941</v>
      </c>
    </row>
    <row r="1838" spans="1:16">
      <c r="A1838" t="s">
        <v>11710</v>
      </c>
      <c r="B1838" t="s">
        <v>11654</v>
      </c>
      <c r="C1838" t="s">
        <v>11766</v>
      </c>
      <c r="D1838" s="17" t="s">
        <v>21</v>
      </c>
      <c r="E1838" t="s">
        <v>11621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11622</v>
      </c>
      <c r="K1838" s="3">
        <v>6200</v>
      </c>
      <c r="L1838" t="s">
        <v>11474</v>
      </c>
      <c r="M1838" t="s">
        <v>11516</v>
      </c>
      <c r="N1838" t="s">
        <v>11579</v>
      </c>
      <c r="O1838" t="s">
        <v>26</v>
      </c>
      <c r="P1838" t="s">
        <v>11988</v>
      </c>
    </row>
    <row r="1839" spans="1:16">
      <c r="A1839" t="s">
        <v>11690</v>
      </c>
      <c r="B1839" t="s">
        <v>11634</v>
      </c>
      <c r="C1839" t="s">
        <v>11746</v>
      </c>
      <c r="D1839" s="17" t="s">
        <v>21</v>
      </c>
      <c r="E1839" t="s">
        <v>11621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11622</v>
      </c>
      <c r="K1839" s="3">
        <v>6800</v>
      </c>
      <c r="L1839" t="s">
        <v>11440</v>
      </c>
      <c r="M1839" t="s">
        <v>11516</v>
      </c>
      <c r="N1839" t="s">
        <v>11545</v>
      </c>
      <c r="O1839" t="s">
        <v>26</v>
      </c>
      <c r="P1839" t="s">
        <v>11954</v>
      </c>
    </row>
    <row r="1840" spans="1:16">
      <c r="A1840" t="s">
        <v>11720</v>
      </c>
      <c r="B1840" t="s">
        <v>11664</v>
      </c>
      <c r="C1840" t="s">
        <v>11776</v>
      </c>
      <c r="D1840" s="17" t="s">
        <v>21</v>
      </c>
      <c r="E1840" t="s">
        <v>11621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11622</v>
      </c>
      <c r="K1840" s="3">
        <v>7500</v>
      </c>
      <c r="L1840" t="s">
        <v>11486</v>
      </c>
      <c r="M1840" t="s">
        <v>11516</v>
      </c>
      <c r="N1840" t="s">
        <v>11591</v>
      </c>
      <c r="O1840" t="s">
        <v>26</v>
      </c>
      <c r="P1840" t="s">
        <v>12000</v>
      </c>
    </row>
    <row r="1841" spans="1:16">
      <c r="A1841" t="s">
        <v>11682</v>
      </c>
      <c r="B1841" t="s">
        <v>11626</v>
      </c>
      <c r="C1841" t="s">
        <v>11738</v>
      </c>
      <c r="D1841" s="17" t="s">
        <v>21</v>
      </c>
      <c r="E1841" t="s">
        <v>11621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11622</v>
      </c>
      <c r="K1841" s="3">
        <v>8200</v>
      </c>
      <c r="L1841" t="s">
        <v>11425</v>
      </c>
      <c r="M1841" t="s">
        <v>11516</v>
      </c>
      <c r="N1841" t="s">
        <v>11530</v>
      </c>
      <c r="O1841" t="s">
        <v>26</v>
      </c>
      <c r="P1841" t="s">
        <v>11939</v>
      </c>
    </row>
    <row r="1842" spans="1:16">
      <c r="A1842" t="s">
        <v>11717</v>
      </c>
      <c r="B1842" t="s">
        <v>11661</v>
      </c>
      <c r="C1842" t="s">
        <v>11773</v>
      </c>
      <c r="D1842" s="17" t="s">
        <v>21</v>
      </c>
      <c r="E1842" t="s">
        <v>11621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11622</v>
      </c>
      <c r="K1842" s="3">
        <v>9100</v>
      </c>
      <c r="L1842" t="s">
        <v>11482</v>
      </c>
      <c r="M1842" t="s">
        <v>11516</v>
      </c>
      <c r="N1842" t="s">
        <v>11587</v>
      </c>
      <c r="O1842" t="s">
        <v>26</v>
      </c>
      <c r="P1842" t="s">
        <v>11996</v>
      </c>
    </row>
    <row r="1843" spans="1:16">
      <c r="A1843" t="s">
        <v>11700</v>
      </c>
      <c r="B1843" t="s">
        <v>11644</v>
      </c>
      <c r="C1843" t="s">
        <v>11756</v>
      </c>
      <c r="D1843" s="17" t="s">
        <v>21</v>
      </c>
      <c r="E1843" t="s">
        <v>11621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11622</v>
      </c>
      <c r="K1843" s="3">
        <v>10000</v>
      </c>
      <c r="L1843" t="s">
        <v>11460</v>
      </c>
      <c r="M1843" t="s">
        <v>11516</v>
      </c>
      <c r="N1843" t="s">
        <v>11565</v>
      </c>
      <c r="O1843" t="s">
        <v>26</v>
      </c>
      <c r="P1843" t="s">
        <v>11974</v>
      </c>
    </row>
    <row r="1844" spans="1:16">
      <c r="A1844" t="s">
        <v>11715</v>
      </c>
      <c r="B1844" t="s">
        <v>11659</v>
      </c>
      <c r="C1844" t="s">
        <v>11771</v>
      </c>
      <c r="D1844" s="17" t="s">
        <v>21</v>
      </c>
      <c r="E1844" t="s">
        <v>11621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11622</v>
      </c>
      <c r="K1844" s="3">
        <v>11000</v>
      </c>
      <c r="L1844" t="s">
        <v>11480</v>
      </c>
      <c r="M1844" t="s">
        <v>11516</v>
      </c>
      <c r="N1844" t="s">
        <v>11585</v>
      </c>
      <c r="O1844" t="s">
        <v>26</v>
      </c>
      <c r="P1844" t="s">
        <v>11994</v>
      </c>
    </row>
    <row r="1845" spans="1:16">
      <c r="A1845" t="s">
        <v>11692</v>
      </c>
      <c r="B1845" t="s">
        <v>11636</v>
      </c>
      <c r="C1845" t="s">
        <v>11748</v>
      </c>
      <c r="D1845" s="17" t="s">
        <v>21</v>
      </c>
      <c r="E1845" t="s">
        <v>11621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11622</v>
      </c>
      <c r="K1845" s="3">
        <v>12000</v>
      </c>
      <c r="L1845" t="s">
        <v>11444</v>
      </c>
      <c r="M1845" t="s">
        <v>11516</v>
      </c>
      <c r="N1845" t="s">
        <v>11549</v>
      </c>
      <c r="O1845" t="s">
        <v>26</v>
      </c>
      <c r="P1845" t="s">
        <v>11958</v>
      </c>
    </row>
    <row r="1846" spans="1:16">
      <c r="A1846" t="s">
        <v>11714</v>
      </c>
      <c r="B1846" t="s">
        <v>11658</v>
      </c>
      <c r="C1846" t="s">
        <v>11770</v>
      </c>
      <c r="D1846" s="17" t="s">
        <v>21</v>
      </c>
      <c r="E1846" t="s">
        <v>11621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11622</v>
      </c>
      <c r="K1846" s="3">
        <v>13000</v>
      </c>
      <c r="L1846" t="s">
        <v>11479</v>
      </c>
      <c r="M1846" t="s">
        <v>11516</v>
      </c>
      <c r="N1846" t="s">
        <v>11584</v>
      </c>
      <c r="O1846" t="s">
        <v>26</v>
      </c>
      <c r="P1846" t="s">
        <v>11993</v>
      </c>
    </row>
    <row r="1847" spans="1:16">
      <c r="A1847" t="s">
        <v>11694</v>
      </c>
      <c r="B1847" t="s">
        <v>11638</v>
      </c>
      <c r="C1847" t="s">
        <v>11750</v>
      </c>
      <c r="D1847" s="17" t="s">
        <v>21</v>
      </c>
      <c r="E1847" t="s">
        <v>11621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11622</v>
      </c>
      <c r="K1847" s="3">
        <v>15000</v>
      </c>
      <c r="L1847" t="s">
        <v>11449</v>
      </c>
      <c r="M1847" t="s">
        <v>11516</v>
      </c>
      <c r="N1847" t="s">
        <v>11554</v>
      </c>
      <c r="O1847" t="s">
        <v>26</v>
      </c>
      <c r="P1847" t="s">
        <v>11963</v>
      </c>
    </row>
    <row r="1848" spans="1:16">
      <c r="A1848" t="s">
        <v>11726</v>
      </c>
      <c r="B1848" t="s">
        <v>11670</v>
      </c>
      <c r="C1848" t="s">
        <v>11782</v>
      </c>
      <c r="D1848" s="17" t="s">
        <v>21</v>
      </c>
      <c r="E1848" t="s">
        <v>11621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11622</v>
      </c>
      <c r="K1848" s="3">
        <v>16000</v>
      </c>
      <c r="L1848" t="s">
        <v>11503</v>
      </c>
      <c r="M1848" t="s">
        <v>11516</v>
      </c>
      <c r="N1848" t="s">
        <v>11608</v>
      </c>
      <c r="O1848" t="s">
        <v>26</v>
      </c>
      <c r="P1848" t="s">
        <v>12017</v>
      </c>
    </row>
    <row r="1849" spans="1:16">
      <c r="A1849" t="s">
        <v>11679</v>
      </c>
      <c r="B1849" t="s">
        <v>11623</v>
      </c>
      <c r="C1849" t="s">
        <v>11735</v>
      </c>
      <c r="D1849" s="17" t="s">
        <v>21</v>
      </c>
      <c r="E1849" t="s">
        <v>11621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11622</v>
      </c>
      <c r="K1849" s="3">
        <v>18000</v>
      </c>
      <c r="L1849" t="s">
        <v>11413</v>
      </c>
      <c r="M1849" t="s">
        <v>11516</v>
      </c>
      <c r="N1849" t="s">
        <v>11518</v>
      </c>
      <c r="O1849" t="s">
        <v>26</v>
      </c>
      <c r="P1849" t="s">
        <v>11927</v>
      </c>
    </row>
    <row r="1850" spans="1:16">
      <c r="A1850" t="s">
        <v>11696</v>
      </c>
      <c r="B1850" t="s">
        <v>11640</v>
      </c>
      <c r="C1850" t="s">
        <v>11752</v>
      </c>
      <c r="D1850" s="17" t="s">
        <v>21</v>
      </c>
      <c r="E1850" t="s">
        <v>11621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11622</v>
      </c>
      <c r="K1850" s="3">
        <v>20000</v>
      </c>
      <c r="L1850" t="s">
        <v>11452</v>
      </c>
      <c r="M1850" t="s">
        <v>11516</v>
      </c>
      <c r="N1850" t="s">
        <v>11557</v>
      </c>
      <c r="O1850" t="s">
        <v>26</v>
      </c>
      <c r="P1850" t="s">
        <v>11966</v>
      </c>
    </row>
    <row r="1851" spans="1:16">
      <c r="A1851" t="s">
        <v>11718</v>
      </c>
      <c r="B1851" t="s">
        <v>11662</v>
      </c>
      <c r="C1851" t="s">
        <v>11774</v>
      </c>
      <c r="D1851" s="17" t="s">
        <v>21</v>
      </c>
      <c r="E1851" t="s">
        <v>11621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11622</v>
      </c>
      <c r="K1851" s="3">
        <v>22000</v>
      </c>
      <c r="L1851" t="s">
        <v>11483</v>
      </c>
      <c r="M1851" t="s">
        <v>11516</v>
      </c>
      <c r="N1851" t="s">
        <v>11588</v>
      </c>
      <c r="O1851" t="s">
        <v>26</v>
      </c>
      <c r="P1851" t="s">
        <v>11997</v>
      </c>
    </row>
    <row r="1852" spans="1:16">
      <c r="A1852" t="s">
        <v>11708</v>
      </c>
      <c r="B1852" t="s">
        <v>11652</v>
      </c>
      <c r="C1852" t="s">
        <v>11764</v>
      </c>
      <c r="D1852" s="17" t="s">
        <v>21</v>
      </c>
      <c r="E1852" t="s">
        <v>11621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11622</v>
      </c>
      <c r="K1852" s="3">
        <v>24000</v>
      </c>
      <c r="L1852" t="s">
        <v>11471</v>
      </c>
      <c r="M1852" t="s">
        <v>11516</v>
      </c>
      <c r="N1852" t="s">
        <v>11576</v>
      </c>
      <c r="O1852" t="s">
        <v>26</v>
      </c>
      <c r="P1852" t="s">
        <v>11985</v>
      </c>
    </row>
    <row r="1853" spans="1:16">
      <c r="A1853" t="s">
        <v>11704</v>
      </c>
      <c r="B1853" t="s">
        <v>11648</v>
      </c>
      <c r="C1853" t="s">
        <v>11760</v>
      </c>
      <c r="D1853" s="17" t="s">
        <v>21</v>
      </c>
      <c r="E1853" t="s">
        <v>11621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11622</v>
      </c>
      <c r="K1853" s="3">
        <v>27000</v>
      </c>
      <c r="L1853" t="s">
        <v>11464</v>
      </c>
      <c r="M1853" t="s">
        <v>11516</v>
      </c>
      <c r="N1853" t="s">
        <v>11569</v>
      </c>
      <c r="O1853" t="s">
        <v>26</v>
      </c>
      <c r="P1853" t="s">
        <v>11978</v>
      </c>
    </row>
    <row r="1854" spans="1:16">
      <c r="A1854" t="s">
        <v>11698</v>
      </c>
      <c r="B1854" t="s">
        <v>11642</v>
      </c>
      <c r="C1854" t="s">
        <v>11754</v>
      </c>
      <c r="D1854" s="17" t="s">
        <v>21</v>
      </c>
      <c r="E1854" t="s">
        <v>11621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11622</v>
      </c>
      <c r="K1854" s="3">
        <v>30000</v>
      </c>
      <c r="L1854" t="s">
        <v>11458</v>
      </c>
      <c r="M1854" t="s">
        <v>11516</v>
      </c>
      <c r="N1854" t="s">
        <v>11563</v>
      </c>
      <c r="O1854" t="s">
        <v>26</v>
      </c>
      <c r="P1854" t="s">
        <v>11972</v>
      </c>
    </row>
    <row r="1855" spans="1:16">
      <c r="A1855" t="s">
        <v>11686</v>
      </c>
      <c r="B1855" t="s">
        <v>11630</v>
      </c>
      <c r="C1855" t="s">
        <v>11742</v>
      </c>
      <c r="D1855" s="17" t="s">
        <v>21</v>
      </c>
      <c r="E1855" t="s">
        <v>11621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11622</v>
      </c>
      <c r="K1855" s="3">
        <v>33000</v>
      </c>
      <c r="L1855" t="s">
        <v>11430</v>
      </c>
      <c r="M1855" t="s">
        <v>11516</v>
      </c>
      <c r="N1855" t="s">
        <v>11535</v>
      </c>
      <c r="O1855" t="s">
        <v>26</v>
      </c>
      <c r="P1855" t="s">
        <v>11944</v>
      </c>
    </row>
    <row r="1856" spans="1:16">
      <c r="A1856" t="s">
        <v>11732</v>
      </c>
      <c r="B1856" t="s">
        <v>11676</v>
      </c>
      <c r="C1856" t="s">
        <v>11788</v>
      </c>
      <c r="D1856" s="17" t="s">
        <v>21</v>
      </c>
      <c r="E1856" t="s">
        <v>11621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11622</v>
      </c>
      <c r="K1856" s="3">
        <v>36000</v>
      </c>
      <c r="L1856" t="s">
        <v>11512</v>
      </c>
      <c r="M1856" t="s">
        <v>11516</v>
      </c>
      <c r="N1856" t="s">
        <v>11617</v>
      </c>
      <c r="O1856" t="s">
        <v>26</v>
      </c>
      <c r="P1856" t="s">
        <v>12026</v>
      </c>
    </row>
    <row r="1857" spans="1:16">
      <c r="A1857" t="s">
        <v>11681</v>
      </c>
      <c r="B1857" t="s">
        <v>11625</v>
      </c>
      <c r="C1857" t="s">
        <v>11737</v>
      </c>
      <c r="D1857" s="17" t="s">
        <v>21</v>
      </c>
      <c r="E1857" t="s">
        <v>11621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11622</v>
      </c>
      <c r="K1857" s="3">
        <v>39000</v>
      </c>
      <c r="L1857" t="s">
        <v>11422</v>
      </c>
      <c r="M1857" t="s">
        <v>11516</v>
      </c>
      <c r="N1857" t="s">
        <v>11527</v>
      </c>
      <c r="O1857" t="s">
        <v>26</v>
      </c>
      <c r="P1857" t="s">
        <v>11936</v>
      </c>
    </row>
    <row r="1858" spans="1:16">
      <c r="A1858" t="s">
        <v>11724</v>
      </c>
      <c r="B1858" t="s">
        <v>11668</v>
      </c>
      <c r="C1858" t="s">
        <v>11780</v>
      </c>
      <c r="D1858" s="17" t="s">
        <v>21</v>
      </c>
      <c r="E1858" t="s">
        <v>11621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11622</v>
      </c>
      <c r="K1858" s="3">
        <v>43000</v>
      </c>
      <c r="L1858" t="s">
        <v>11496</v>
      </c>
      <c r="M1858" t="s">
        <v>11516</v>
      </c>
      <c r="N1858" t="s">
        <v>11601</v>
      </c>
      <c r="O1858" t="s">
        <v>26</v>
      </c>
      <c r="P1858" t="s">
        <v>12010</v>
      </c>
    </row>
    <row r="1859" spans="1:16">
      <c r="A1859" t="s">
        <v>11680</v>
      </c>
      <c r="B1859" t="s">
        <v>11624</v>
      </c>
      <c r="C1859" t="s">
        <v>11736</v>
      </c>
      <c r="D1859" s="17" t="s">
        <v>21</v>
      </c>
      <c r="E1859" t="s">
        <v>11621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11622</v>
      </c>
      <c r="K1859" s="3">
        <v>47000</v>
      </c>
      <c r="L1859" t="s">
        <v>11416</v>
      </c>
      <c r="M1859" t="s">
        <v>11516</v>
      </c>
      <c r="N1859" t="s">
        <v>11521</v>
      </c>
      <c r="O1859" t="s">
        <v>26</v>
      </c>
      <c r="P1859" t="s">
        <v>11930</v>
      </c>
    </row>
    <row r="1860" spans="1:16">
      <c r="A1860" t="s">
        <v>11707</v>
      </c>
      <c r="B1860" t="s">
        <v>11651</v>
      </c>
      <c r="C1860" t="s">
        <v>11763</v>
      </c>
      <c r="D1860" s="17" t="s">
        <v>21</v>
      </c>
      <c r="E1860" t="s">
        <v>11621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11622</v>
      </c>
      <c r="K1860" s="3">
        <v>51000</v>
      </c>
      <c r="L1860" t="s">
        <v>11469</v>
      </c>
      <c r="M1860" t="s">
        <v>11516</v>
      </c>
      <c r="N1860" t="s">
        <v>11574</v>
      </c>
      <c r="O1860" t="s">
        <v>26</v>
      </c>
      <c r="P1860" t="s">
        <v>11983</v>
      </c>
    </row>
    <row r="1861" spans="1:16">
      <c r="A1861" t="s">
        <v>11699</v>
      </c>
      <c r="B1861" t="s">
        <v>11643</v>
      </c>
      <c r="C1861" t="s">
        <v>11755</v>
      </c>
      <c r="D1861" s="17" t="s">
        <v>21</v>
      </c>
      <c r="E1861" t="s">
        <v>11621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11622</v>
      </c>
      <c r="K1861" s="3">
        <v>56000</v>
      </c>
      <c r="L1861" t="s">
        <v>11459</v>
      </c>
      <c r="M1861" t="s">
        <v>11516</v>
      </c>
      <c r="N1861" t="s">
        <v>11564</v>
      </c>
      <c r="O1861" t="s">
        <v>26</v>
      </c>
      <c r="P1861" t="s">
        <v>11973</v>
      </c>
    </row>
    <row r="1862" spans="1:16">
      <c r="A1862" t="s">
        <v>11712</v>
      </c>
      <c r="B1862" t="s">
        <v>11656</v>
      </c>
      <c r="C1862" t="s">
        <v>11768</v>
      </c>
      <c r="D1862" s="17" t="s">
        <v>21</v>
      </c>
      <c r="E1862" t="s">
        <v>11621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11622</v>
      </c>
      <c r="K1862" s="3">
        <v>62000</v>
      </c>
      <c r="L1862" t="s">
        <v>11477</v>
      </c>
      <c r="M1862" t="s">
        <v>11516</v>
      </c>
      <c r="N1862" t="s">
        <v>11582</v>
      </c>
      <c r="O1862" t="s">
        <v>26</v>
      </c>
      <c r="P1862" t="s">
        <v>11991</v>
      </c>
    </row>
    <row r="1863" spans="1:16">
      <c r="A1863" t="s">
        <v>11693</v>
      </c>
      <c r="B1863" t="s">
        <v>11637</v>
      </c>
      <c r="C1863" t="s">
        <v>11749</v>
      </c>
      <c r="D1863" s="17" t="s">
        <v>21</v>
      </c>
      <c r="E1863" t="s">
        <v>11621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11622</v>
      </c>
      <c r="K1863" s="3">
        <v>68000</v>
      </c>
      <c r="L1863" t="s">
        <v>11447</v>
      </c>
      <c r="M1863" t="s">
        <v>11516</v>
      </c>
      <c r="N1863" t="s">
        <v>11552</v>
      </c>
      <c r="O1863" t="s">
        <v>26</v>
      </c>
      <c r="P1863" t="s">
        <v>11961</v>
      </c>
    </row>
    <row r="1864" spans="1:16">
      <c r="A1864" t="s">
        <v>11722</v>
      </c>
      <c r="B1864" t="s">
        <v>11666</v>
      </c>
      <c r="C1864" t="s">
        <v>11778</v>
      </c>
      <c r="D1864" s="17" t="s">
        <v>21</v>
      </c>
      <c r="E1864" t="s">
        <v>11621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11622</v>
      </c>
      <c r="K1864" s="3">
        <v>75000</v>
      </c>
      <c r="L1864" t="s">
        <v>11493</v>
      </c>
      <c r="M1864" t="s">
        <v>11516</v>
      </c>
      <c r="N1864" t="s">
        <v>11598</v>
      </c>
      <c r="O1864" t="s">
        <v>26</v>
      </c>
      <c r="P1864" t="s">
        <v>12007</v>
      </c>
    </row>
    <row r="1865" spans="1:16">
      <c r="A1865" t="s">
        <v>11731</v>
      </c>
      <c r="B1865" t="s">
        <v>11675</v>
      </c>
      <c r="C1865" t="s">
        <v>11787</v>
      </c>
      <c r="D1865" s="17" t="s">
        <v>21</v>
      </c>
      <c r="E1865" t="s">
        <v>11621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11622</v>
      </c>
      <c r="K1865" s="3">
        <v>82000</v>
      </c>
      <c r="L1865" t="s">
        <v>11509</v>
      </c>
      <c r="M1865" t="s">
        <v>11516</v>
      </c>
      <c r="N1865" t="s">
        <v>11614</v>
      </c>
      <c r="O1865" t="s">
        <v>26</v>
      </c>
      <c r="P1865" t="s">
        <v>12023</v>
      </c>
    </row>
    <row r="1866" spans="1:16">
      <c r="A1866" t="s">
        <v>11728</v>
      </c>
      <c r="B1866" t="s">
        <v>11672</v>
      </c>
      <c r="C1866" t="s">
        <v>11784</v>
      </c>
      <c r="D1866" s="17" t="s">
        <v>21</v>
      </c>
      <c r="E1866" t="s">
        <v>11621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11622</v>
      </c>
      <c r="K1866" s="3">
        <v>91000</v>
      </c>
      <c r="L1866" t="s">
        <v>11505</v>
      </c>
      <c r="M1866" t="s">
        <v>11516</v>
      </c>
      <c r="N1866" t="s">
        <v>11610</v>
      </c>
      <c r="O1866" t="s">
        <v>26</v>
      </c>
      <c r="P1866" t="s">
        <v>12019</v>
      </c>
    </row>
    <row r="1867" spans="1:16">
      <c r="A1867" t="s">
        <v>11685</v>
      </c>
      <c r="B1867" t="s">
        <v>11629</v>
      </c>
      <c r="C1867" t="s">
        <v>11741</v>
      </c>
      <c r="D1867" s="17" t="s">
        <v>21</v>
      </c>
      <c r="E1867" t="s">
        <v>11621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11622</v>
      </c>
      <c r="K1867" s="3">
        <v>100000</v>
      </c>
      <c r="L1867" t="s">
        <v>11428</v>
      </c>
      <c r="M1867" t="s">
        <v>11516</v>
      </c>
      <c r="N1867" t="s">
        <v>11533</v>
      </c>
      <c r="O1867" t="s">
        <v>26</v>
      </c>
      <c r="P1867" t="s">
        <v>11942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10613</v>
      </c>
      <c r="B2" t="s">
        <v>10613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10602</v>
      </c>
      <c r="B3" t="s">
        <v>10602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10603</v>
      </c>
      <c r="B4" t="s">
        <v>10603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10604</v>
      </c>
      <c r="B5" t="s">
        <v>10604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10605</v>
      </c>
      <c r="B6" t="s">
        <v>10605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10606</v>
      </c>
      <c r="B7" t="s">
        <v>10606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10607</v>
      </c>
      <c r="B8" t="s">
        <v>10607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10608</v>
      </c>
      <c r="B9" t="s">
        <v>10608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10609</v>
      </c>
      <c r="B10" t="s">
        <v>10609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13658</v>
      </c>
      <c r="W10" t="s">
        <v>4561</v>
      </c>
      <c r="X10" s="9" t="s">
        <v>13657</v>
      </c>
      <c r="Z10" t="s">
        <v>6501</v>
      </c>
    </row>
    <row r="11" spans="1:26">
      <c r="A11" t="s">
        <v>10610</v>
      </c>
      <c r="B11" t="s">
        <v>10610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10611</v>
      </c>
      <c r="B12" t="s">
        <v>10611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10612</v>
      </c>
      <c r="B13" t="s">
        <v>10612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13542</v>
      </c>
      <c r="W14" t="s">
        <v>4561</v>
      </c>
      <c r="X14" s="8" t="s">
        <v>13541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13540</v>
      </c>
      <c r="W22" t="s">
        <v>4561</v>
      </c>
      <c r="X22" s="8" t="s">
        <v>13539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13673</v>
      </c>
      <c r="W26" t="s">
        <v>4561</v>
      </c>
      <c r="X26" t="s">
        <v>13674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10623</v>
      </c>
      <c r="B38" t="s">
        <v>10623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13646</v>
      </c>
      <c r="W38" t="s">
        <v>4561</v>
      </c>
      <c r="X38" t="s">
        <v>13647</v>
      </c>
      <c r="Y38" t="s">
        <v>4729</v>
      </c>
      <c r="Z38" t="s">
        <v>6529</v>
      </c>
    </row>
    <row r="39" spans="1:26">
      <c r="A39" t="s">
        <v>10614</v>
      </c>
      <c r="B39" t="s">
        <v>10614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10615</v>
      </c>
      <c r="B40" t="s">
        <v>10615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10616</v>
      </c>
      <c r="B41" t="s">
        <v>10616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10617</v>
      </c>
      <c r="B42" t="s">
        <v>10617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10618</v>
      </c>
      <c r="B43" t="s">
        <v>10618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10619</v>
      </c>
      <c r="B44" t="s">
        <v>10619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10620</v>
      </c>
      <c r="B45" t="s">
        <v>10620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10621</v>
      </c>
      <c r="B46" t="s">
        <v>10621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10622</v>
      </c>
      <c r="B47" t="s">
        <v>10622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10635</v>
      </c>
      <c r="B61" t="s">
        <v>10635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13648</v>
      </c>
      <c r="W61" t="s">
        <v>4561</v>
      </c>
      <c r="X61" t="s">
        <v>13649</v>
      </c>
      <c r="Y61" t="s">
        <v>4730</v>
      </c>
      <c r="Z61" t="str">
        <f t="shared" si="0"/>
        <v>GPC0603102</v>
      </c>
    </row>
    <row r="62" spans="1:26">
      <c r="A62" t="s">
        <v>10624</v>
      </c>
      <c r="B62" t="s">
        <v>10624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10625</v>
      </c>
      <c r="B63" t="s">
        <v>10625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10626</v>
      </c>
      <c r="B64" t="s">
        <v>10626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10627</v>
      </c>
      <c r="B65" t="s">
        <v>10627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13538</v>
      </c>
      <c r="W65" t="s">
        <v>4561</v>
      </c>
      <c r="X65" s="8" t="s">
        <v>13537</v>
      </c>
      <c r="Y65" t="s">
        <v>4730</v>
      </c>
      <c r="Z65" t="str">
        <f t="shared" si="0"/>
        <v>GPC0603222</v>
      </c>
    </row>
    <row r="66" spans="1:26">
      <c r="A66" t="s">
        <v>10628</v>
      </c>
      <c r="B66" t="s">
        <v>10628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10629</v>
      </c>
      <c r="B67" t="s">
        <v>10629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10630</v>
      </c>
      <c r="B68" t="s">
        <v>10630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10631</v>
      </c>
      <c r="B69" t="s">
        <v>10631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10632</v>
      </c>
      <c r="B70" t="s">
        <v>10632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10633</v>
      </c>
      <c r="B71" t="s">
        <v>10633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10634</v>
      </c>
      <c r="B72" t="s">
        <v>10634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13532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13661</v>
      </c>
      <c r="B88" t="s">
        <v>13661</v>
      </c>
      <c r="C88" t="s">
        <v>13662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13664</v>
      </c>
      <c r="W88" t="s">
        <v>4561</v>
      </c>
      <c r="X88" s="44" t="s">
        <v>13663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13602</v>
      </c>
      <c r="W89" t="s">
        <v>4561</v>
      </c>
      <c r="X89" s="8" t="s">
        <v>13601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14081</v>
      </c>
      <c r="B90" t="s">
        <v>14081</v>
      </c>
      <c r="C90" t="s">
        <v>14082</v>
      </c>
      <c r="D90" t="s">
        <v>21</v>
      </c>
      <c r="E90" s="14" t="s">
        <v>22</v>
      </c>
      <c r="F90" t="s">
        <v>14083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14084</v>
      </c>
      <c r="M90" t="s">
        <v>478</v>
      </c>
      <c r="N90" t="s">
        <v>14085</v>
      </c>
      <c r="O90" t="s">
        <v>26</v>
      </c>
      <c r="P90" t="s">
        <v>14086</v>
      </c>
      <c r="Q90" t="s">
        <v>478</v>
      </c>
      <c r="R90" t="s">
        <v>14087</v>
      </c>
      <c r="S90" t="s">
        <v>26</v>
      </c>
      <c r="T90" t="s">
        <v>14088</v>
      </c>
      <c r="U90" s="8" t="s">
        <v>478</v>
      </c>
      <c r="V90" s="8" t="s">
        <v>14085</v>
      </c>
      <c r="W90" t="s">
        <v>4561</v>
      </c>
      <c r="X90" s="8" t="s">
        <v>14089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10680</v>
      </c>
      <c r="B92" t="s">
        <v>10680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10681</v>
      </c>
      <c r="B93" t="s">
        <v>10681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10682</v>
      </c>
      <c r="B94" t="s">
        <v>10682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13531</v>
      </c>
      <c r="W96" t="s">
        <v>4561</v>
      </c>
      <c r="X96" s="8" t="s">
        <v>13530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13358</v>
      </c>
      <c r="B98" t="s">
        <v>13358</v>
      </c>
      <c r="C98" t="s">
        <v>13359</v>
      </c>
      <c r="D98" t="s">
        <v>21</v>
      </c>
      <c r="E98" s="14" t="s">
        <v>22</v>
      </c>
      <c r="F98" t="s">
        <v>13360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13361</v>
      </c>
      <c r="M98" t="s">
        <v>1033</v>
      </c>
      <c r="N98" t="s">
        <v>13362</v>
      </c>
      <c r="O98" t="s">
        <v>26</v>
      </c>
      <c r="P98" t="s">
        <v>13363</v>
      </c>
      <c r="U98" t="s">
        <v>6200</v>
      </c>
      <c r="V98" t="s">
        <v>13364</v>
      </c>
      <c r="W98" t="s">
        <v>4561</v>
      </c>
      <c r="X98" t="s">
        <v>13365</v>
      </c>
    </row>
    <row r="99" spans="1:26">
      <c r="K99" s="3"/>
    </row>
    <row r="100" spans="1:26">
      <c r="A100" t="s">
        <v>10647</v>
      </c>
      <c r="B100" t="s">
        <v>10647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10636</v>
      </c>
      <c r="B101" t="s">
        <v>10636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10637</v>
      </c>
      <c r="B102" t="s">
        <v>10637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10638</v>
      </c>
      <c r="B103" t="s">
        <v>10638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10639</v>
      </c>
      <c r="B104" t="s">
        <v>10639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10640</v>
      </c>
      <c r="B105" t="s">
        <v>10640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10641</v>
      </c>
      <c r="B106" t="s">
        <v>10641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10642</v>
      </c>
      <c r="B107" t="s">
        <v>10642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10643</v>
      </c>
      <c r="B108" t="s">
        <v>10643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10644</v>
      </c>
      <c r="B109" t="s">
        <v>10644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10645</v>
      </c>
      <c r="B110" t="s">
        <v>10645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10646</v>
      </c>
      <c r="B111" t="s">
        <v>10646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10648</v>
      </c>
      <c r="B136" t="s">
        <v>10648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10660</v>
      </c>
      <c r="B149" t="s">
        <v>10660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10649</v>
      </c>
      <c r="B150" t="s">
        <v>10649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10650</v>
      </c>
      <c r="B151" t="s">
        <v>10650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10651</v>
      </c>
      <c r="B152" t="s">
        <v>10651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10652</v>
      </c>
      <c r="B153" t="s">
        <v>10652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10653</v>
      </c>
      <c r="B154" t="s">
        <v>10653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10654</v>
      </c>
      <c r="B155" t="s">
        <v>10654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10655</v>
      </c>
      <c r="B156" t="s">
        <v>10655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10656</v>
      </c>
      <c r="B157" t="s">
        <v>10656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10657</v>
      </c>
      <c r="B158" t="s">
        <v>10657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10658</v>
      </c>
      <c r="B159" t="s">
        <v>10658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10659</v>
      </c>
      <c r="B160" t="s">
        <v>10659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10661</v>
      </c>
      <c r="B176" t="s">
        <v>10661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10662</v>
      </c>
      <c r="B178" t="s">
        <v>10662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10842</v>
      </c>
      <c r="B188" t="s">
        <v>10842</v>
      </c>
      <c r="C188" t="s">
        <v>10843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10846</v>
      </c>
      <c r="M188" t="s">
        <v>6166</v>
      </c>
      <c r="N188" t="s">
        <v>10847</v>
      </c>
      <c r="O188" t="s">
        <v>26</v>
      </c>
      <c r="P188" t="s">
        <v>10848</v>
      </c>
    </row>
    <row r="189" spans="1:26">
      <c r="A189" t="s">
        <v>10844</v>
      </c>
      <c r="B189" t="s">
        <v>10844</v>
      </c>
      <c r="C189" t="s">
        <v>10845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10849</v>
      </c>
      <c r="M189" t="s">
        <v>1030</v>
      </c>
      <c r="N189" t="s">
        <v>10850</v>
      </c>
      <c r="O189" t="s">
        <v>26</v>
      </c>
      <c r="P189" t="s">
        <v>10851</v>
      </c>
    </row>
    <row r="190" spans="1:26">
      <c r="A190" t="s">
        <v>10876</v>
      </c>
      <c r="B190" t="s">
        <v>10876</v>
      </c>
      <c r="C190" t="s">
        <v>10852</v>
      </c>
      <c r="D190" t="s">
        <v>21</v>
      </c>
      <c r="E190" s="14" t="s">
        <v>6288</v>
      </c>
      <c r="F190" t="s">
        <v>10853</v>
      </c>
      <c r="G190" t="str">
        <f>Config!$B$4</f>
        <v>SCH/C_IEC.SchLib</v>
      </c>
      <c r="H190" t="s">
        <v>6290</v>
      </c>
      <c r="I190" t="s">
        <v>6291</v>
      </c>
      <c r="J190" t="s">
        <v>12544</v>
      </c>
      <c r="K190" s="3">
        <v>1.5E-5</v>
      </c>
      <c r="L190" t="s">
        <v>10854</v>
      </c>
      <c r="M190" t="s">
        <v>10855</v>
      </c>
      <c r="N190" t="s">
        <v>10856</v>
      </c>
      <c r="O190" t="s">
        <v>26</v>
      </c>
      <c r="P190" t="s">
        <v>10857</v>
      </c>
    </row>
    <row r="191" spans="1:26" ht="16.5">
      <c r="A191" t="s">
        <v>13654</v>
      </c>
      <c r="B191" t="s">
        <v>13654</v>
      </c>
      <c r="C191" t="s">
        <v>13655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12543</v>
      </c>
      <c r="K191" s="3">
        <v>9.9999999999999995E-7</v>
      </c>
      <c r="L191" t="s">
        <v>10866</v>
      </c>
      <c r="M191" t="s">
        <v>1033</v>
      </c>
      <c r="N191" t="s">
        <v>10867</v>
      </c>
      <c r="O191" t="s">
        <v>26</v>
      </c>
      <c r="P191" t="s">
        <v>10868</v>
      </c>
      <c r="U191" s="9" t="s">
        <v>6190</v>
      </c>
      <c r="V191" s="9" t="s">
        <v>13653</v>
      </c>
      <c r="W191" t="s">
        <v>4561</v>
      </c>
      <c r="X191" s="9" t="s">
        <v>13652</v>
      </c>
    </row>
    <row r="192" spans="1:26">
      <c r="A192" t="s">
        <v>10875</v>
      </c>
      <c r="B192" t="s">
        <v>10875</v>
      </c>
      <c r="C192" t="s">
        <v>10869</v>
      </c>
      <c r="D192" t="s">
        <v>21</v>
      </c>
      <c r="E192" s="14" t="s">
        <v>6288</v>
      </c>
      <c r="F192" t="s">
        <v>10870</v>
      </c>
      <c r="G192" t="str">
        <f>Config!$B$4</f>
        <v>SCH/C_IEC.SchLib</v>
      </c>
      <c r="H192" t="s">
        <v>6290</v>
      </c>
      <c r="I192" t="s">
        <v>6291</v>
      </c>
      <c r="J192" t="s">
        <v>12545</v>
      </c>
      <c r="K192" s="3">
        <v>6.8000000000000005E-4</v>
      </c>
      <c r="L192" t="s">
        <v>10871</v>
      </c>
      <c r="M192" t="s">
        <v>6166</v>
      </c>
      <c r="N192" t="s">
        <v>10872</v>
      </c>
      <c r="O192" t="s">
        <v>26</v>
      </c>
      <c r="P192" t="s">
        <v>10873</v>
      </c>
    </row>
    <row r="193" spans="1:24" ht="16.5">
      <c r="A193" t="s">
        <v>10874</v>
      </c>
      <c r="B193" t="s">
        <v>10874</v>
      </c>
      <c r="C193" t="s">
        <v>10877</v>
      </c>
      <c r="D193" t="s">
        <v>21</v>
      </c>
      <c r="E193" s="14" t="s">
        <v>6453</v>
      </c>
      <c r="F193" t="s">
        <v>10878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10879</v>
      </c>
      <c r="M193" t="s">
        <v>1033</v>
      </c>
      <c r="N193" t="s">
        <v>10880</v>
      </c>
      <c r="O193" t="s">
        <v>26</v>
      </c>
      <c r="P193" t="s">
        <v>10881</v>
      </c>
      <c r="U193" s="43" t="s">
        <v>1033</v>
      </c>
      <c r="V193" s="9" t="s">
        <v>10880</v>
      </c>
      <c r="W193" t="s">
        <v>4561</v>
      </c>
      <c r="X193" s="9" t="s">
        <v>13656</v>
      </c>
    </row>
    <row r="194" spans="1:24" ht="15.75">
      <c r="A194" t="s">
        <v>13617</v>
      </c>
      <c r="B194" t="s">
        <v>13617</v>
      </c>
      <c r="C194" t="s">
        <v>13620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13623</v>
      </c>
      <c r="M194" t="s">
        <v>6819</v>
      </c>
      <c r="N194" t="s">
        <v>13622</v>
      </c>
      <c r="O194" t="s">
        <v>26</v>
      </c>
      <c r="P194" t="s">
        <v>13621</v>
      </c>
      <c r="U194" s="42" t="s">
        <v>4594</v>
      </c>
      <c r="V194" s="8" t="s">
        <v>13619</v>
      </c>
      <c r="W194" t="s">
        <v>4561</v>
      </c>
      <c r="X194" s="8" t="s">
        <v>13618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10663</v>
      </c>
      <c r="B5" t="s">
        <v>10663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10664</v>
      </c>
      <c r="B6" t="s">
        <v>10664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10665</v>
      </c>
      <c r="B7" t="s">
        <v>10665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10666</v>
      </c>
      <c r="B13" t="s">
        <v>10666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10667</v>
      </c>
      <c r="B14" t="s">
        <v>10667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10668</v>
      </c>
      <c r="B18" t="s">
        <v>10668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10669</v>
      </c>
      <c r="B29" t="s">
        <v>10669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10670</v>
      </c>
      <c r="B30" t="s">
        <v>10670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10671</v>
      </c>
      <c r="B31" t="s">
        <v>10671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10672</v>
      </c>
      <c r="B32" t="s">
        <v>10672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10673</v>
      </c>
      <c r="B42" t="s">
        <v>10673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10674</v>
      </c>
      <c r="B43" t="s">
        <v>10674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10675</v>
      </c>
      <c r="B44" t="s">
        <v>10675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10676</v>
      </c>
      <c r="B45" t="s">
        <v>10676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10677</v>
      </c>
      <c r="B46" t="s">
        <v>10677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10678</v>
      </c>
      <c r="B47" t="s">
        <v>10678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10902</v>
      </c>
      <c r="B55" t="s">
        <v>10902</v>
      </c>
      <c r="C55" t="s">
        <v>10913</v>
      </c>
      <c r="D55" t="s">
        <v>4481</v>
      </c>
      <c r="E55" t="s">
        <v>10893</v>
      </c>
      <c r="F55" t="s">
        <v>10924</v>
      </c>
      <c r="G55" t="str">
        <f>Config!$B$5</f>
        <v>SCH/L_ANSI.SchLib</v>
      </c>
      <c r="H55" t="s">
        <v>10946</v>
      </c>
      <c r="I55" t="s">
        <v>12577</v>
      </c>
      <c r="J55" t="s">
        <v>10893</v>
      </c>
      <c r="K55" s="3">
        <v>2.0999999999999998E-6</v>
      </c>
      <c r="L55" t="s">
        <v>10956</v>
      </c>
      <c r="N55" t="s">
        <v>10935</v>
      </c>
    </row>
    <row r="56" spans="1:16">
      <c r="A56" t="s">
        <v>12802</v>
      </c>
      <c r="B56" t="s">
        <v>10902</v>
      </c>
      <c r="C56" t="s">
        <v>10913</v>
      </c>
      <c r="D56" t="s">
        <v>4481</v>
      </c>
      <c r="E56" t="s">
        <v>10893</v>
      </c>
      <c r="F56" t="s">
        <v>10924</v>
      </c>
      <c r="G56" t="str">
        <f>Config!$B$5</f>
        <v>SCH/L_ANSI.SchLib</v>
      </c>
      <c r="H56" t="s">
        <v>10946</v>
      </c>
      <c r="I56" t="s">
        <v>12577</v>
      </c>
      <c r="J56" t="s">
        <v>12799</v>
      </c>
      <c r="K56" s="3">
        <v>2.0999999999999998E-6</v>
      </c>
      <c r="L56" t="s">
        <v>10956</v>
      </c>
      <c r="N56" t="s">
        <v>10935</v>
      </c>
    </row>
    <row r="57" spans="1:16">
      <c r="A57" t="s">
        <v>12803</v>
      </c>
      <c r="B57" t="s">
        <v>10902</v>
      </c>
      <c r="C57" t="s">
        <v>10913</v>
      </c>
      <c r="D57" t="s">
        <v>4481</v>
      </c>
      <c r="E57" t="s">
        <v>10893</v>
      </c>
      <c r="F57" t="s">
        <v>10924</v>
      </c>
      <c r="G57" t="str">
        <f>Config!$B$5</f>
        <v>SCH/L_ANSI.SchLib</v>
      </c>
      <c r="H57" t="s">
        <v>10946</v>
      </c>
      <c r="I57" t="s">
        <v>12577</v>
      </c>
      <c r="J57" t="s">
        <v>12800</v>
      </c>
      <c r="K57" s="3">
        <v>2.0999999999999998E-6</v>
      </c>
      <c r="L57" t="s">
        <v>10956</v>
      </c>
      <c r="N57" t="s">
        <v>10935</v>
      </c>
    </row>
    <row r="58" spans="1:16">
      <c r="A58" t="s">
        <v>10904</v>
      </c>
      <c r="B58" t="s">
        <v>10904</v>
      </c>
      <c r="C58" t="s">
        <v>10914</v>
      </c>
      <c r="D58" t="s">
        <v>4481</v>
      </c>
      <c r="E58" t="s">
        <v>10893</v>
      </c>
      <c r="F58" t="s">
        <v>10925</v>
      </c>
      <c r="G58" t="str">
        <f>Config!$B$5</f>
        <v>SCH/L_ANSI.SchLib</v>
      </c>
      <c r="H58" t="s">
        <v>10946</v>
      </c>
      <c r="I58" t="s">
        <v>12577</v>
      </c>
      <c r="J58" t="s">
        <v>10893</v>
      </c>
      <c r="K58" s="3">
        <v>3.1E-6</v>
      </c>
      <c r="L58" t="s">
        <v>10956</v>
      </c>
      <c r="M58" t="s">
        <v>7511</v>
      </c>
      <c r="N58" t="s">
        <v>10936</v>
      </c>
      <c r="O58" t="s">
        <v>26</v>
      </c>
      <c r="P58" t="s">
        <v>12580</v>
      </c>
    </row>
    <row r="59" spans="1:16">
      <c r="A59" t="s">
        <v>12804</v>
      </c>
      <c r="B59" t="s">
        <v>10904</v>
      </c>
      <c r="C59" t="s">
        <v>10914</v>
      </c>
      <c r="D59" t="s">
        <v>4481</v>
      </c>
      <c r="E59" t="s">
        <v>10893</v>
      </c>
      <c r="F59" t="s">
        <v>10925</v>
      </c>
      <c r="G59" t="str">
        <f>Config!$B$5</f>
        <v>SCH/L_ANSI.SchLib</v>
      </c>
      <c r="H59" t="s">
        <v>10946</v>
      </c>
      <c r="I59" t="s">
        <v>12577</v>
      </c>
      <c r="J59" t="s">
        <v>12799</v>
      </c>
      <c r="K59" s="3">
        <v>3.1E-6</v>
      </c>
      <c r="L59" t="s">
        <v>10956</v>
      </c>
      <c r="M59" t="s">
        <v>7511</v>
      </c>
      <c r="N59" t="s">
        <v>10936</v>
      </c>
      <c r="O59" t="s">
        <v>26</v>
      </c>
      <c r="P59" t="s">
        <v>12580</v>
      </c>
    </row>
    <row r="60" spans="1:16">
      <c r="A60" t="s">
        <v>12813</v>
      </c>
      <c r="B60" t="s">
        <v>10904</v>
      </c>
      <c r="C60" t="s">
        <v>10914</v>
      </c>
      <c r="D60" t="s">
        <v>4481</v>
      </c>
      <c r="E60" t="s">
        <v>10893</v>
      </c>
      <c r="F60" t="s">
        <v>10925</v>
      </c>
      <c r="G60" t="str">
        <f>Config!$B$5</f>
        <v>SCH/L_ANSI.SchLib</v>
      </c>
      <c r="H60" t="s">
        <v>10946</v>
      </c>
      <c r="I60" t="s">
        <v>12577</v>
      </c>
      <c r="J60" t="s">
        <v>12800</v>
      </c>
      <c r="K60" s="3">
        <v>3.1E-6</v>
      </c>
      <c r="L60" t="s">
        <v>10956</v>
      </c>
      <c r="M60" t="s">
        <v>7511</v>
      </c>
      <c r="N60" t="s">
        <v>10936</v>
      </c>
      <c r="O60" t="s">
        <v>26</v>
      </c>
      <c r="P60" t="s">
        <v>12580</v>
      </c>
    </row>
    <row r="61" spans="1:16">
      <c r="A61" t="s">
        <v>10905</v>
      </c>
      <c r="B61" t="s">
        <v>10905</v>
      </c>
      <c r="C61" t="s">
        <v>10915</v>
      </c>
      <c r="D61" t="s">
        <v>4481</v>
      </c>
      <c r="E61" t="s">
        <v>10893</v>
      </c>
      <c r="F61" t="s">
        <v>10926</v>
      </c>
      <c r="G61" t="str">
        <f>Config!$B$5</f>
        <v>SCH/L_ANSI.SchLib</v>
      </c>
      <c r="H61" t="s">
        <v>10946</v>
      </c>
      <c r="I61" t="s">
        <v>12577</v>
      </c>
      <c r="J61" t="s">
        <v>10893</v>
      </c>
      <c r="K61" s="3">
        <v>3.4000000000000001E-6</v>
      </c>
      <c r="L61" t="s">
        <v>10956</v>
      </c>
      <c r="M61" t="s">
        <v>7511</v>
      </c>
      <c r="N61" t="s">
        <v>10937</v>
      </c>
      <c r="O61" t="s">
        <v>26</v>
      </c>
      <c r="P61" t="s">
        <v>12581</v>
      </c>
    </row>
    <row r="62" spans="1:16">
      <c r="A62" t="s">
        <v>12805</v>
      </c>
      <c r="B62" t="s">
        <v>10905</v>
      </c>
      <c r="C62" t="s">
        <v>10915</v>
      </c>
      <c r="D62" t="s">
        <v>4481</v>
      </c>
      <c r="E62" t="s">
        <v>10893</v>
      </c>
      <c r="F62" t="s">
        <v>10926</v>
      </c>
      <c r="G62" t="str">
        <f>Config!$B$5</f>
        <v>SCH/L_ANSI.SchLib</v>
      </c>
      <c r="H62" t="s">
        <v>10946</v>
      </c>
      <c r="I62" t="s">
        <v>12577</v>
      </c>
      <c r="J62" t="s">
        <v>12799</v>
      </c>
      <c r="K62" s="3">
        <v>3.4000000000000001E-6</v>
      </c>
      <c r="L62" t="s">
        <v>10956</v>
      </c>
      <c r="M62" t="s">
        <v>7511</v>
      </c>
      <c r="N62" t="s">
        <v>10937</v>
      </c>
      <c r="O62" t="s">
        <v>26</v>
      </c>
      <c r="P62" t="s">
        <v>12581</v>
      </c>
    </row>
    <row r="63" spans="1:16">
      <c r="A63" t="s">
        <v>12814</v>
      </c>
      <c r="B63" t="s">
        <v>10905</v>
      </c>
      <c r="C63" t="s">
        <v>10915</v>
      </c>
      <c r="D63" t="s">
        <v>4481</v>
      </c>
      <c r="E63" t="s">
        <v>10893</v>
      </c>
      <c r="F63" t="s">
        <v>10926</v>
      </c>
      <c r="G63" t="str">
        <f>Config!$B$5</f>
        <v>SCH/L_ANSI.SchLib</v>
      </c>
      <c r="H63" t="s">
        <v>10946</v>
      </c>
      <c r="I63" t="s">
        <v>12577</v>
      </c>
      <c r="J63" t="s">
        <v>12800</v>
      </c>
      <c r="K63" s="3">
        <v>3.4000000000000001E-6</v>
      </c>
      <c r="L63" t="s">
        <v>10956</v>
      </c>
      <c r="M63" t="s">
        <v>7511</v>
      </c>
      <c r="N63" t="s">
        <v>10937</v>
      </c>
      <c r="O63" t="s">
        <v>26</v>
      </c>
      <c r="P63" t="s">
        <v>12581</v>
      </c>
    </row>
    <row r="64" spans="1:16">
      <c r="A64" t="s">
        <v>10901</v>
      </c>
      <c r="B64" t="s">
        <v>10901</v>
      </c>
      <c r="C64" t="s">
        <v>10916</v>
      </c>
      <c r="D64" t="s">
        <v>4481</v>
      </c>
      <c r="E64" t="s">
        <v>10893</v>
      </c>
      <c r="F64" t="s">
        <v>10927</v>
      </c>
      <c r="G64" t="str">
        <f>Config!$B$5</f>
        <v>SCH/L_ANSI.SchLib</v>
      </c>
      <c r="H64" t="s">
        <v>10946</v>
      </c>
      <c r="I64" t="s">
        <v>12577</v>
      </c>
      <c r="J64" t="s">
        <v>10893</v>
      </c>
      <c r="K64" s="3">
        <v>4.5000000000000001E-6</v>
      </c>
      <c r="L64" t="s">
        <v>10956</v>
      </c>
      <c r="M64" t="s">
        <v>7511</v>
      </c>
      <c r="N64" t="s">
        <v>10938</v>
      </c>
      <c r="O64" t="s">
        <v>26</v>
      </c>
      <c r="P64" t="s">
        <v>12582</v>
      </c>
    </row>
    <row r="65" spans="1:16">
      <c r="A65" t="s">
        <v>12798</v>
      </c>
      <c r="B65" t="s">
        <v>10901</v>
      </c>
      <c r="C65" t="s">
        <v>10916</v>
      </c>
      <c r="D65" t="s">
        <v>4481</v>
      </c>
      <c r="E65" t="s">
        <v>10893</v>
      </c>
      <c r="F65" t="s">
        <v>10927</v>
      </c>
      <c r="G65" t="str">
        <f>Config!$B$5</f>
        <v>SCH/L_ANSI.SchLib</v>
      </c>
      <c r="H65" t="s">
        <v>10946</v>
      </c>
      <c r="I65" t="s">
        <v>12577</v>
      </c>
      <c r="J65" t="s">
        <v>12799</v>
      </c>
      <c r="K65" s="3">
        <v>4.5000000000000001E-6</v>
      </c>
      <c r="L65" t="s">
        <v>10956</v>
      </c>
      <c r="M65" t="s">
        <v>7511</v>
      </c>
      <c r="N65" t="s">
        <v>10938</v>
      </c>
      <c r="O65" t="s">
        <v>26</v>
      </c>
      <c r="P65" t="s">
        <v>12582</v>
      </c>
    </row>
    <row r="66" spans="1:16">
      <c r="A66" t="s">
        <v>12801</v>
      </c>
      <c r="B66" t="s">
        <v>10901</v>
      </c>
      <c r="C66" t="s">
        <v>10916</v>
      </c>
      <c r="D66" t="s">
        <v>4481</v>
      </c>
      <c r="E66" t="s">
        <v>10893</v>
      </c>
      <c r="F66" t="s">
        <v>10927</v>
      </c>
      <c r="G66" t="str">
        <f>Config!$B$5</f>
        <v>SCH/L_ANSI.SchLib</v>
      </c>
      <c r="H66" t="s">
        <v>10946</v>
      </c>
      <c r="I66" t="s">
        <v>12577</v>
      </c>
      <c r="J66" t="s">
        <v>12800</v>
      </c>
      <c r="K66" s="3">
        <v>4.5000000000000001E-6</v>
      </c>
      <c r="L66" t="s">
        <v>10956</v>
      </c>
      <c r="M66" t="s">
        <v>7511</v>
      </c>
      <c r="N66" t="s">
        <v>10938</v>
      </c>
      <c r="O66" t="s">
        <v>26</v>
      </c>
      <c r="P66" t="s">
        <v>12582</v>
      </c>
    </row>
    <row r="67" spans="1:16">
      <c r="A67" t="s">
        <v>10906</v>
      </c>
      <c r="B67" t="s">
        <v>10906</v>
      </c>
      <c r="C67" t="s">
        <v>10917</v>
      </c>
      <c r="D67" t="s">
        <v>4481</v>
      </c>
      <c r="E67" t="s">
        <v>10893</v>
      </c>
      <c r="F67" t="s">
        <v>10928</v>
      </c>
      <c r="G67" t="str">
        <f>Config!$B$5</f>
        <v>SCH/L_ANSI.SchLib</v>
      </c>
      <c r="H67" t="s">
        <v>10946</v>
      </c>
      <c r="I67" t="s">
        <v>12577</v>
      </c>
      <c r="J67" t="s">
        <v>10893</v>
      </c>
      <c r="K67" s="3">
        <v>4.6E-6</v>
      </c>
      <c r="L67" t="s">
        <v>10956</v>
      </c>
      <c r="M67" t="s">
        <v>7511</v>
      </c>
      <c r="N67" t="s">
        <v>10939</v>
      </c>
      <c r="O67" t="s">
        <v>26</v>
      </c>
      <c r="P67" t="s">
        <v>12583</v>
      </c>
    </row>
    <row r="68" spans="1:16">
      <c r="A68" t="s">
        <v>12806</v>
      </c>
      <c r="B68" t="s">
        <v>10906</v>
      </c>
      <c r="C68" t="s">
        <v>10917</v>
      </c>
      <c r="D68" t="s">
        <v>4481</v>
      </c>
      <c r="E68" t="s">
        <v>10893</v>
      </c>
      <c r="F68" t="s">
        <v>10928</v>
      </c>
      <c r="G68" t="str">
        <f>Config!$B$5</f>
        <v>SCH/L_ANSI.SchLib</v>
      </c>
      <c r="H68" t="s">
        <v>10946</v>
      </c>
      <c r="I68" t="s">
        <v>12577</v>
      </c>
      <c r="J68" t="s">
        <v>12799</v>
      </c>
      <c r="K68" s="3">
        <v>4.6E-6</v>
      </c>
      <c r="L68" t="s">
        <v>10956</v>
      </c>
      <c r="M68" t="s">
        <v>7511</v>
      </c>
      <c r="N68" t="s">
        <v>10939</v>
      </c>
      <c r="O68" t="s">
        <v>26</v>
      </c>
      <c r="P68" t="s">
        <v>12583</v>
      </c>
    </row>
    <row r="69" spans="1:16">
      <c r="A69" t="s">
        <v>12815</v>
      </c>
      <c r="B69" t="s">
        <v>10906</v>
      </c>
      <c r="C69" t="s">
        <v>10917</v>
      </c>
      <c r="D69" t="s">
        <v>4481</v>
      </c>
      <c r="E69" t="s">
        <v>10893</v>
      </c>
      <c r="F69" t="s">
        <v>10928</v>
      </c>
      <c r="G69" t="str">
        <f>Config!$B$5</f>
        <v>SCH/L_ANSI.SchLib</v>
      </c>
      <c r="H69" t="s">
        <v>10946</v>
      </c>
      <c r="I69" t="s">
        <v>12577</v>
      </c>
      <c r="J69" t="s">
        <v>12800</v>
      </c>
      <c r="K69" s="3">
        <v>4.6E-6</v>
      </c>
      <c r="L69" t="s">
        <v>10956</v>
      </c>
      <c r="M69" t="s">
        <v>7511</v>
      </c>
      <c r="N69" t="s">
        <v>10939</v>
      </c>
      <c r="O69" t="s">
        <v>26</v>
      </c>
      <c r="P69" t="s">
        <v>12583</v>
      </c>
    </row>
    <row r="70" spans="1:16">
      <c r="A70" t="s">
        <v>10907</v>
      </c>
      <c r="B70" t="s">
        <v>10907</v>
      </c>
      <c r="C70" t="s">
        <v>10918</v>
      </c>
      <c r="D70" t="s">
        <v>4481</v>
      </c>
      <c r="E70" t="s">
        <v>10893</v>
      </c>
      <c r="F70" t="s">
        <v>10929</v>
      </c>
      <c r="G70" t="str">
        <f>Config!$B$5</f>
        <v>SCH/L_ANSI.SchLib</v>
      </c>
      <c r="H70" t="s">
        <v>10946</v>
      </c>
      <c r="I70" t="s">
        <v>12577</v>
      </c>
      <c r="J70" t="s">
        <v>10893</v>
      </c>
      <c r="K70" s="3">
        <v>5.4999999999999999E-6</v>
      </c>
      <c r="L70" t="s">
        <v>10956</v>
      </c>
      <c r="N70" t="s">
        <v>10940</v>
      </c>
    </row>
    <row r="71" spans="1:16">
      <c r="A71" t="s">
        <v>12807</v>
      </c>
      <c r="B71" t="s">
        <v>10907</v>
      </c>
      <c r="C71" t="s">
        <v>10918</v>
      </c>
      <c r="D71" t="s">
        <v>4481</v>
      </c>
      <c r="E71" t="s">
        <v>10893</v>
      </c>
      <c r="F71" t="s">
        <v>10929</v>
      </c>
      <c r="G71" t="str">
        <f>Config!$B$5</f>
        <v>SCH/L_ANSI.SchLib</v>
      </c>
      <c r="H71" t="s">
        <v>10946</v>
      </c>
      <c r="I71" t="s">
        <v>12577</v>
      </c>
      <c r="J71" t="s">
        <v>12799</v>
      </c>
      <c r="K71" s="3">
        <v>5.4999999999999999E-6</v>
      </c>
      <c r="L71" t="s">
        <v>10956</v>
      </c>
      <c r="N71" t="s">
        <v>10940</v>
      </c>
    </row>
    <row r="72" spans="1:16">
      <c r="A72" t="s">
        <v>12816</v>
      </c>
      <c r="B72" t="s">
        <v>10907</v>
      </c>
      <c r="C72" t="s">
        <v>10918</v>
      </c>
      <c r="D72" t="s">
        <v>4481</v>
      </c>
      <c r="E72" t="s">
        <v>10893</v>
      </c>
      <c r="F72" t="s">
        <v>10929</v>
      </c>
      <c r="G72" t="str">
        <f>Config!$B$5</f>
        <v>SCH/L_ANSI.SchLib</v>
      </c>
      <c r="H72" t="s">
        <v>10946</v>
      </c>
      <c r="I72" t="s">
        <v>12577</v>
      </c>
      <c r="J72" t="s">
        <v>12800</v>
      </c>
      <c r="K72" s="3">
        <v>5.4999999999999999E-6</v>
      </c>
      <c r="L72" t="s">
        <v>10956</v>
      </c>
      <c r="N72" t="s">
        <v>10940</v>
      </c>
    </row>
    <row r="73" spans="1:16">
      <c r="A73" t="s">
        <v>10909</v>
      </c>
      <c r="B73" t="s">
        <v>10909</v>
      </c>
      <c r="C73" t="s">
        <v>10919</v>
      </c>
      <c r="D73" t="s">
        <v>4481</v>
      </c>
      <c r="E73" t="s">
        <v>10893</v>
      </c>
      <c r="F73" t="s">
        <v>10930</v>
      </c>
      <c r="G73" t="str">
        <f>Config!$B$5</f>
        <v>SCH/L_ANSI.SchLib</v>
      </c>
      <c r="H73" t="s">
        <v>10946</v>
      </c>
      <c r="I73" t="s">
        <v>12577</v>
      </c>
      <c r="J73" t="s">
        <v>10893</v>
      </c>
      <c r="K73" s="3">
        <v>1.5200000000000001E-6</v>
      </c>
      <c r="L73" t="s">
        <v>10956</v>
      </c>
      <c r="M73" t="s">
        <v>7511</v>
      </c>
      <c r="N73" t="s">
        <v>10941</v>
      </c>
      <c r="O73" t="s">
        <v>26</v>
      </c>
      <c r="P73" t="s">
        <v>12584</v>
      </c>
    </row>
    <row r="74" spans="1:16">
      <c r="A74" t="s">
        <v>12808</v>
      </c>
      <c r="B74" t="s">
        <v>10909</v>
      </c>
      <c r="C74" t="s">
        <v>10919</v>
      </c>
      <c r="D74" t="s">
        <v>4481</v>
      </c>
      <c r="E74" t="s">
        <v>10893</v>
      </c>
      <c r="F74" t="s">
        <v>10930</v>
      </c>
      <c r="G74" t="str">
        <f>Config!$B$5</f>
        <v>SCH/L_ANSI.SchLib</v>
      </c>
      <c r="H74" t="s">
        <v>10946</v>
      </c>
      <c r="I74" t="s">
        <v>12577</v>
      </c>
      <c r="J74" t="s">
        <v>12799</v>
      </c>
      <c r="K74" s="3">
        <v>1.5200000000000001E-6</v>
      </c>
      <c r="L74" t="s">
        <v>10956</v>
      </c>
      <c r="M74" t="s">
        <v>7511</v>
      </c>
      <c r="N74" t="s">
        <v>10941</v>
      </c>
      <c r="O74" t="s">
        <v>26</v>
      </c>
      <c r="P74" t="s">
        <v>12584</v>
      </c>
    </row>
    <row r="75" spans="1:16">
      <c r="A75" t="s">
        <v>12817</v>
      </c>
      <c r="B75" t="s">
        <v>10909</v>
      </c>
      <c r="C75" t="s">
        <v>10919</v>
      </c>
      <c r="D75" t="s">
        <v>4481</v>
      </c>
      <c r="E75" t="s">
        <v>10893</v>
      </c>
      <c r="F75" t="s">
        <v>10930</v>
      </c>
      <c r="G75" t="str">
        <f>Config!$B$5</f>
        <v>SCH/L_ANSI.SchLib</v>
      </c>
      <c r="H75" t="s">
        <v>10946</v>
      </c>
      <c r="I75" t="s">
        <v>12577</v>
      </c>
      <c r="J75" t="s">
        <v>12800</v>
      </c>
      <c r="K75" s="3">
        <v>1.5200000000000001E-6</v>
      </c>
      <c r="L75" t="s">
        <v>10956</v>
      </c>
      <c r="M75" t="s">
        <v>7511</v>
      </c>
      <c r="N75" t="s">
        <v>10941</v>
      </c>
      <c r="O75" t="s">
        <v>26</v>
      </c>
      <c r="P75" t="s">
        <v>12584</v>
      </c>
    </row>
    <row r="76" spans="1:16">
      <c r="A76" t="s">
        <v>10908</v>
      </c>
      <c r="B76" t="s">
        <v>10908</v>
      </c>
      <c r="C76" t="s">
        <v>10920</v>
      </c>
      <c r="D76" t="s">
        <v>4481</v>
      </c>
      <c r="E76" t="s">
        <v>10893</v>
      </c>
      <c r="F76" t="s">
        <v>10931</v>
      </c>
      <c r="G76" t="str">
        <f>Config!$B$5</f>
        <v>SCH/L_ANSI.SchLib</v>
      </c>
      <c r="H76" t="s">
        <v>10946</v>
      </c>
      <c r="I76" t="s">
        <v>12577</v>
      </c>
      <c r="J76" t="s">
        <v>10893</v>
      </c>
      <c r="K76" s="3">
        <v>8.1999999999999998E-7</v>
      </c>
      <c r="L76" t="s">
        <v>10956</v>
      </c>
      <c r="N76" t="s">
        <v>10942</v>
      </c>
    </row>
    <row r="77" spans="1:16">
      <c r="A77" t="s">
        <v>12809</v>
      </c>
      <c r="B77" t="s">
        <v>10908</v>
      </c>
      <c r="C77" t="s">
        <v>10920</v>
      </c>
      <c r="D77" t="s">
        <v>4481</v>
      </c>
      <c r="E77" t="s">
        <v>10893</v>
      </c>
      <c r="F77" t="s">
        <v>10931</v>
      </c>
      <c r="G77" t="str">
        <f>Config!$B$5</f>
        <v>SCH/L_ANSI.SchLib</v>
      </c>
      <c r="H77" t="s">
        <v>10946</v>
      </c>
      <c r="I77" t="s">
        <v>12577</v>
      </c>
      <c r="J77" t="s">
        <v>12799</v>
      </c>
      <c r="K77" s="3">
        <v>8.1999999999999998E-7</v>
      </c>
      <c r="L77" t="s">
        <v>10956</v>
      </c>
      <c r="N77" t="s">
        <v>10942</v>
      </c>
    </row>
    <row r="78" spans="1:16">
      <c r="A78" t="s">
        <v>12818</v>
      </c>
      <c r="B78" t="s">
        <v>10908</v>
      </c>
      <c r="C78" t="s">
        <v>10920</v>
      </c>
      <c r="D78" t="s">
        <v>4481</v>
      </c>
      <c r="E78" t="s">
        <v>10893</v>
      </c>
      <c r="F78" t="s">
        <v>10931</v>
      </c>
      <c r="G78" t="str">
        <f>Config!$B$5</f>
        <v>SCH/L_ANSI.SchLib</v>
      </c>
      <c r="H78" t="s">
        <v>10946</v>
      </c>
      <c r="I78" t="s">
        <v>12577</v>
      </c>
      <c r="J78" t="s">
        <v>12800</v>
      </c>
      <c r="K78" s="3">
        <v>8.1999999999999998E-7</v>
      </c>
      <c r="L78" t="s">
        <v>10956</v>
      </c>
      <c r="N78" t="s">
        <v>10942</v>
      </c>
    </row>
    <row r="79" spans="1:16">
      <c r="A79" t="s">
        <v>10910</v>
      </c>
      <c r="B79" t="s">
        <v>10910</v>
      </c>
      <c r="C79" t="s">
        <v>10921</v>
      </c>
      <c r="D79" t="s">
        <v>4481</v>
      </c>
      <c r="E79" t="s">
        <v>10893</v>
      </c>
      <c r="F79" t="s">
        <v>10932</v>
      </c>
      <c r="G79" t="str">
        <f>Config!$B$5</f>
        <v>SCH/L_ANSI.SchLib</v>
      </c>
      <c r="H79" t="s">
        <v>10946</v>
      </c>
      <c r="I79" t="s">
        <v>12577</v>
      </c>
      <c r="J79" t="s">
        <v>10893</v>
      </c>
      <c r="K79" s="3">
        <v>3.3000000000000002E-7</v>
      </c>
      <c r="L79" t="s">
        <v>10956</v>
      </c>
      <c r="N79" t="s">
        <v>10943</v>
      </c>
    </row>
    <row r="80" spans="1:16">
      <c r="A80" t="s">
        <v>12810</v>
      </c>
      <c r="B80" t="s">
        <v>10910</v>
      </c>
      <c r="C80" t="s">
        <v>10921</v>
      </c>
      <c r="D80" t="s">
        <v>4481</v>
      </c>
      <c r="E80" t="s">
        <v>10893</v>
      </c>
      <c r="F80" t="s">
        <v>10932</v>
      </c>
      <c r="G80" t="str">
        <f>Config!$B$5</f>
        <v>SCH/L_ANSI.SchLib</v>
      </c>
      <c r="H80" t="s">
        <v>10946</v>
      </c>
      <c r="I80" t="s">
        <v>12577</v>
      </c>
      <c r="J80" t="s">
        <v>12799</v>
      </c>
      <c r="K80" s="3">
        <v>3.3000000000000002E-7</v>
      </c>
      <c r="L80" t="s">
        <v>10956</v>
      </c>
      <c r="N80" t="s">
        <v>10943</v>
      </c>
    </row>
    <row r="81" spans="1:16">
      <c r="A81" t="s">
        <v>12819</v>
      </c>
      <c r="B81" t="s">
        <v>10910</v>
      </c>
      <c r="C81" t="s">
        <v>10921</v>
      </c>
      <c r="D81" t="s">
        <v>4481</v>
      </c>
      <c r="E81" t="s">
        <v>10893</v>
      </c>
      <c r="F81" t="s">
        <v>10932</v>
      </c>
      <c r="G81" t="str">
        <f>Config!$B$5</f>
        <v>SCH/L_ANSI.SchLib</v>
      </c>
      <c r="H81" t="s">
        <v>10946</v>
      </c>
      <c r="I81" t="s">
        <v>12577</v>
      </c>
      <c r="J81" t="s">
        <v>12800</v>
      </c>
      <c r="K81" s="3">
        <v>3.3000000000000002E-7</v>
      </c>
      <c r="L81" t="s">
        <v>10956</v>
      </c>
      <c r="N81" t="s">
        <v>10943</v>
      </c>
    </row>
    <row r="82" spans="1:16">
      <c r="A82" t="s">
        <v>10911</v>
      </c>
      <c r="B82" t="s">
        <v>10911</v>
      </c>
      <c r="C82" t="s">
        <v>10922</v>
      </c>
      <c r="D82" t="s">
        <v>4481</v>
      </c>
      <c r="E82" t="s">
        <v>10893</v>
      </c>
      <c r="F82" t="s">
        <v>10933</v>
      </c>
      <c r="G82" t="str">
        <f>Config!$B$5</f>
        <v>SCH/L_ANSI.SchLib</v>
      </c>
      <c r="H82" t="s">
        <v>10946</v>
      </c>
      <c r="I82" t="s">
        <v>12577</v>
      </c>
      <c r="J82" t="s">
        <v>10893</v>
      </c>
      <c r="K82" s="3">
        <v>2.2000000000000001E-7</v>
      </c>
      <c r="L82" t="s">
        <v>10956</v>
      </c>
      <c r="N82" t="s">
        <v>10944</v>
      </c>
    </row>
    <row r="83" spans="1:16">
      <c r="A83" t="s">
        <v>12811</v>
      </c>
      <c r="B83" t="s">
        <v>10911</v>
      </c>
      <c r="C83" t="s">
        <v>10922</v>
      </c>
      <c r="D83" t="s">
        <v>4481</v>
      </c>
      <c r="E83" t="s">
        <v>10893</v>
      </c>
      <c r="F83" t="s">
        <v>10933</v>
      </c>
      <c r="G83" t="str">
        <f>Config!$B$5</f>
        <v>SCH/L_ANSI.SchLib</v>
      </c>
      <c r="H83" t="s">
        <v>10946</v>
      </c>
      <c r="I83" t="s">
        <v>12577</v>
      </c>
      <c r="J83" t="s">
        <v>12799</v>
      </c>
      <c r="K83" s="3">
        <v>2.2000000000000001E-7</v>
      </c>
      <c r="L83" t="s">
        <v>10956</v>
      </c>
      <c r="N83" t="s">
        <v>10944</v>
      </c>
    </row>
    <row r="84" spans="1:16">
      <c r="A84" t="s">
        <v>12820</v>
      </c>
      <c r="B84" t="s">
        <v>10911</v>
      </c>
      <c r="C84" t="s">
        <v>10922</v>
      </c>
      <c r="D84" t="s">
        <v>4481</v>
      </c>
      <c r="E84" t="s">
        <v>10893</v>
      </c>
      <c r="F84" t="s">
        <v>10933</v>
      </c>
      <c r="G84" t="str">
        <f>Config!$B$5</f>
        <v>SCH/L_ANSI.SchLib</v>
      </c>
      <c r="H84" t="s">
        <v>10946</v>
      </c>
      <c r="I84" t="s">
        <v>12577</v>
      </c>
      <c r="J84" t="s">
        <v>12800</v>
      </c>
      <c r="K84" s="3">
        <v>2.2000000000000001E-7</v>
      </c>
      <c r="L84" t="s">
        <v>10956</v>
      </c>
      <c r="N84" t="s">
        <v>10944</v>
      </c>
    </row>
    <row r="85" spans="1:16">
      <c r="A85" t="s">
        <v>10912</v>
      </c>
      <c r="B85" t="s">
        <v>10912</v>
      </c>
      <c r="C85" t="s">
        <v>10923</v>
      </c>
      <c r="D85" t="s">
        <v>4481</v>
      </c>
      <c r="E85" t="s">
        <v>10893</v>
      </c>
      <c r="F85" t="s">
        <v>10934</v>
      </c>
      <c r="G85" t="str">
        <f>Config!$B$5</f>
        <v>SCH/L_ANSI.SchLib</v>
      </c>
      <c r="H85" t="s">
        <v>10946</v>
      </c>
      <c r="I85" t="s">
        <v>12577</v>
      </c>
      <c r="J85" t="s">
        <v>10893</v>
      </c>
      <c r="K85" s="3">
        <v>1.2499999999999999E-7</v>
      </c>
      <c r="L85" t="s">
        <v>10956</v>
      </c>
      <c r="N85" t="s">
        <v>10945</v>
      </c>
    </row>
    <row r="86" spans="1:16">
      <c r="A86" t="s">
        <v>12812</v>
      </c>
      <c r="B86" t="s">
        <v>10912</v>
      </c>
      <c r="C86" t="s">
        <v>10923</v>
      </c>
      <c r="D86" t="s">
        <v>4481</v>
      </c>
      <c r="E86" t="s">
        <v>10893</v>
      </c>
      <c r="F86" t="s">
        <v>10934</v>
      </c>
      <c r="G86" t="str">
        <f>Config!$B$5</f>
        <v>SCH/L_ANSI.SchLib</v>
      </c>
      <c r="H86" t="s">
        <v>10946</v>
      </c>
      <c r="I86" t="s">
        <v>12577</v>
      </c>
      <c r="J86" t="s">
        <v>12799</v>
      </c>
      <c r="K86" s="3">
        <v>1.2499999999999999E-7</v>
      </c>
      <c r="L86" t="s">
        <v>10956</v>
      </c>
      <c r="N86" t="s">
        <v>10945</v>
      </c>
    </row>
    <row r="87" spans="1:16">
      <c r="A87" t="s">
        <v>12821</v>
      </c>
      <c r="B87" t="s">
        <v>10912</v>
      </c>
      <c r="C87" t="s">
        <v>10923</v>
      </c>
      <c r="D87" t="s">
        <v>4481</v>
      </c>
      <c r="E87" t="s">
        <v>10893</v>
      </c>
      <c r="F87" t="s">
        <v>10934</v>
      </c>
      <c r="G87" t="str">
        <f>Config!$B$5</f>
        <v>SCH/L_ANSI.SchLib</v>
      </c>
      <c r="H87" t="s">
        <v>10946</v>
      </c>
      <c r="I87" t="s">
        <v>12577</v>
      </c>
      <c r="J87" t="s">
        <v>12800</v>
      </c>
      <c r="K87" s="3">
        <v>1.2499999999999999E-7</v>
      </c>
      <c r="L87" t="s">
        <v>10956</v>
      </c>
      <c r="N87" t="s">
        <v>10945</v>
      </c>
    </row>
    <row r="88" spans="1:16">
      <c r="A88" t="s">
        <v>12822</v>
      </c>
      <c r="B88" t="s">
        <v>12822</v>
      </c>
      <c r="C88" t="s">
        <v>10961</v>
      </c>
      <c r="D88" t="s">
        <v>4481</v>
      </c>
      <c r="E88" t="s">
        <v>10959</v>
      </c>
      <c r="G88" t="str">
        <f>Config!$B$5</f>
        <v>SCH/L_ANSI.SchLib</v>
      </c>
      <c r="H88" t="s">
        <v>10965</v>
      </c>
      <c r="I88" t="s">
        <v>12577</v>
      </c>
      <c r="J88" t="s">
        <v>12824</v>
      </c>
      <c r="K88" s="3"/>
      <c r="L88" t="s">
        <v>10956</v>
      </c>
      <c r="M88" t="s">
        <v>10960</v>
      </c>
      <c r="N88" t="s">
        <v>10960</v>
      </c>
      <c r="O88" t="s">
        <v>26</v>
      </c>
      <c r="P88" t="s">
        <v>12578</v>
      </c>
    </row>
    <row r="89" spans="1:16">
      <c r="A89" t="s">
        <v>12826</v>
      </c>
      <c r="B89" t="s">
        <v>12822</v>
      </c>
      <c r="C89" t="s">
        <v>10961</v>
      </c>
      <c r="D89" t="s">
        <v>4481</v>
      </c>
      <c r="E89" t="s">
        <v>10959</v>
      </c>
      <c r="G89" t="str">
        <f>Config!$B$5</f>
        <v>SCH/L_ANSI.SchLib</v>
      </c>
      <c r="H89" t="s">
        <v>10965</v>
      </c>
      <c r="I89" t="s">
        <v>12577</v>
      </c>
      <c r="J89" t="s">
        <v>12827</v>
      </c>
      <c r="K89" s="3"/>
      <c r="L89" t="s">
        <v>10956</v>
      </c>
      <c r="M89" t="s">
        <v>10960</v>
      </c>
      <c r="N89" t="s">
        <v>10960</v>
      </c>
      <c r="O89" t="s">
        <v>26</v>
      </c>
      <c r="P89" t="s">
        <v>12578</v>
      </c>
    </row>
    <row r="90" spans="1:16">
      <c r="A90" t="s">
        <v>12823</v>
      </c>
      <c r="B90" t="s">
        <v>12823</v>
      </c>
      <c r="C90" t="s">
        <v>10963</v>
      </c>
      <c r="D90" t="s">
        <v>4481</v>
      </c>
      <c r="E90" t="s">
        <v>10962</v>
      </c>
      <c r="G90" t="str">
        <f>Config!$B$5</f>
        <v>SCH/L_ANSI.SchLib</v>
      </c>
      <c r="H90" t="s">
        <v>10965</v>
      </c>
      <c r="I90" t="s">
        <v>12577</v>
      </c>
      <c r="J90" t="s">
        <v>12825</v>
      </c>
      <c r="K90" s="3"/>
      <c r="L90" t="s">
        <v>10956</v>
      </c>
      <c r="M90" t="s">
        <v>7511</v>
      </c>
      <c r="N90" t="s">
        <v>10964</v>
      </c>
      <c r="O90" t="s">
        <v>26</v>
      </c>
      <c r="P90" t="s">
        <v>12579</v>
      </c>
    </row>
    <row r="91" spans="1:16">
      <c r="A91" t="s">
        <v>10900</v>
      </c>
      <c r="B91" t="s">
        <v>10896</v>
      </c>
      <c r="C91" t="s">
        <v>10947</v>
      </c>
      <c r="E91" t="s">
        <v>10893</v>
      </c>
      <c r="F91" t="s">
        <v>10952</v>
      </c>
      <c r="G91" t="str">
        <f>Config!$B$5</f>
        <v>SCH/L_ANSI.SchLib</v>
      </c>
      <c r="H91" t="s">
        <v>10894</v>
      </c>
      <c r="I91" t="s">
        <v>12577</v>
      </c>
      <c r="J91" t="s">
        <v>10966</v>
      </c>
      <c r="K91" s="3">
        <v>1</v>
      </c>
      <c r="L91" t="s">
        <v>10956</v>
      </c>
    </row>
    <row r="92" spans="1:16">
      <c r="A92" t="s">
        <v>10899</v>
      </c>
      <c r="B92" t="s">
        <v>10895</v>
      </c>
      <c r="C92" t="s">
        <v>10948</v>
      </c>
      <c r="E92" t="s">
        <v>10893</v>
      </c>
      <c r="F92" t="s">
        <v>10953</v>
      </c>
      <c r="G92" t="str">
        <f>Config!$B$5</f>
        <v>SCH/L_ANSI.SchLib</v>
      </c>
      <c r="H92" t="s">
        <v>10894</v>
      </c>
      <c r="I92" t="s">
        <v>12577</v>
      </c>
      <c r="J92" t="s">
        <v>10967</v>
      </c>
      <c r="K92" s="3">
        <v>2</v>
      </c>
      <c r="L92" t="s">
        <v>10956</v>
      </c>
    </row>
    <row r="93" spans="1:16">
      <c r="A93" t="s">
        <v>10897</v>
      </c>
      <c r="B93" t="s">
        <v>10957</v>
      </c>
      <c r="C93" t="s">
        <v>10950</v>
      </c>
      <c r="E93" t="s">
        <v>10893</v>
      </c>
      <c r="F93" t="s">
        <v>10954</v>
      </c>
      <c r="G93" t="str">
        <f>Config!$B$5</f>
        <v>SCH/L_ANSI.SchLib</v>
      </c>
      <c r="H93" t="s">
        <v>10894</v>
      </c>
      <c r="I93" t="s">
        <v>12577</v>
      </c>
      <c r="J93" t="s">
        <v>10968</v>
      </c>
      <c r="K93" s="3">
        <v>8</v>
      </c>
      <c r="L93" t="s">
        <v>10956</v>
      </c>
    </row>
    <row r="94" spans="1:16">
      <c r="A94" t="s">
        <v>10898</v>
      </c>
      <c r="B94" t="s">
        <v>10958</v>
      </c>
      <c r="C94" t="s">
        <v>10949</v>
      </c>
      <c r="E94" t="s">
        <v>10893</v>
      </c>
      <c r="F94" t="s">
        <v>10955</v>
      </c>
      <c r="G94" t="str">
        <f>Config!$B$5</f>
        <v>SCH/L_ANSI.SchLib</v>
      </c>
      <c r="H94" t="s">
        <v>10894</v>
      </c>
      <c r="I94" t="s">
        <v>12577</v>
      </c>
      <c r="J94" t="s">
        <v>10969</v>
      </c>
      <c r="K94" s="3">
        <v>24</v>
      </c>
      <c r="L94" t="s">
        <v>10956</v>
      </c>
    </row>
    <row r="95" spans="1:16">
      <c r="A95" t="s">
        <v>12773</v>
      </c>
      <c r="B95" t="s">
        <v>10896</v>
      </c>
      <c r="C95" t="s">
        <v>12776</v>
      </c>
      <c r="E95" t="s">
        <v>10893</v>
      </c>
      <c r="F95" t="s">
        <v>10952</v>
      </c>
      <c r="G95" t="str">
        <f>Config!$B$5</f>
        <v>SCH/L_ANSI.SchLib</v>
      </c>
      <c r="H95" t="s">
        <v>10894</v>
      </c>
      <c r="I95" t="s">
        <v>12577</v>
      </c>
      <c r="J95" s="39"/>
      <c r="K95" s="3">
        <v>1</v>
      </c>
      <c r="L95" t="s">
        <v>10956</v>
      </c>
    </row>
    <row r="96" spans="1:16">
      <c r="A96" t="s">
        <v>12774</v>
      </c>
      <c r="B96" t="s">
        <v>10895</v>
      </c>
      <c r="C96" t="s">
        <v>12777</v>
      </c>
      <c r="E96" t="s">
        <v>10893</v>
      </c>
      <c r="F96" t="s">
        <v>10953</v>
      </c>
      <c r="G96" t="str">
        <f>Config!$B$5</f>
        <v>SCH/L_ANSI.SchLib</v>
      </c>
      <c r="H96" t="s">
        <v>10894</v>
      </c>
      <c r="I96" t="s">
        <v>12577</v>
      </c>
      <c r="J96" s="39"/>
      <c r="K96" s="3">
        <v>2</v>
      </c>
      <c r="L96" t="s">
        <v>10956</v>
      </c>
    </row>
    <row r="97" spans="1:12">
      <c r="A97" t="s">
        <v>10903</v>
      </c>
      <c r="B97" t="s">
        <v>10957</v>
      </c>
      <c r="C97" t="s">
        <v>10951</v>
      </c>
      <c r="E97" t="s">
        <v>10893</v>
      </c>
      <c r="F97" t="s">
        <v>10954</v>
      </c>
      <c r="G97" t="str">
        <f>Config!$B$5</f>
        <v>SCH/L_ANSI.SchLib</v>
      </c>
      <c r="H97" t="s">
        <v>10894</v>
      </c>
      <c r="I97" t="s">
        <v>12577</v>
      </c>
      <c r="J97" s="39"/>
      <c r="K97" s="3">
        <v>8</v>
      </c>
      <c r="L97" t="s">
        <v>10956</v>
      </c>
    </row>
    <row r="98" spans="1:12">
      <c r="A98" t="s">
        <v>12775</v>
      </c>
      <c r="B98" t="s">
        <v>10958</v>
      </c>
      <c r="C98" t="s">
        <v>12778</v>
      </c>
      <c r="E98" t="s">
        <v>10893</v>
      </c>
      <c r="F98" t="s">
        <v>10955</v>
      </c>
      <c r="G98" t="str">
        <f>Config!$B$5</f>
        <v>SCH/L_ANSI.SchLib</v>
      </c>
      <c r="H98" t="s">
        <v>10894</v>
      </c>
      <c r="I98" t="s">
        <v>12577</v>
      </c>
      <c r="J98" s="39"/>
      <c r="K98" s="3">
        <v>24</v>
      </c>
      <c r="L98" t="s">
        <v>10956</v>
      </c>
    </row>
    <row r="99" spans="1:12">
      <c r="A99" t="s">
        <v>12738</v>
      </c>
      <c r="B99" t="s">
        <v>10896</v>
      </c>
      <c r="C99" t="s">
        <v>12743</v>
      </c>
      <c r="E99" t="s">
        <v>10893</v>
      </c>
      <c r="F99" t="s">
        <v>10952</v>
      </c>
      <c r="G99" t="str">
        <f>Config!$B$5</f>
        <v>SCH/L_ANSI.SchLib</v>
      </c>
      <c r="H99" t="s">
        <v>10894</v>
      </c>
      <c r="I99" t="s">
        <v>12577</v>
      </c>
      <c r="J99" t="s">
        <v>12748</v>
      </c>
      <c r="K99" s="3">
        <v>1</v>
      </c>
      <c r="L99" t="s">
        <v>10956</v>
      </c>
    </row>
    <row r="100" spans="1:12">
      <c r="A100" t="s">
        <v>12739</v>
      </c>
      <c r="B100" t="s">
        <v>10896</v>
      </c>
      <c r="C100" t="s">
        <v>12744</v>
      </c>
      <c r="E100" t="s">
        <v>10893</v>
      </c>
      <c r="F100" t="s">
        <v>10952</v>
      </c>
      <c r="G100" t="str">
        <f>Config!$B$5</f>
        <v>SCH/L_ANSI.SchLib</v>
      </c>
      <c r="H100" t="s">
        <v>10894</v>
      </c>
      <c r="I100" t="s">
        <v>12577</v>
      </c>
      <c r="J100" t="s">
        <v>12749</v>
      </c>
      <c r="K100" s="3">
        <v>1</v>
      </c>
      <c r="L100" t="s">
        <v>10956</v>
      </c>
    </row>
    <row r="101" spans="1:12">
      <c r="A101" t="s">
        <v>12740</v>
      </c>
      <c r="B101" t="s">
        <v>10896</v>
      </c>
      <c r="C101" t="s">
        <v>12745</v>
      </c>
      <c r="E101" t="s">
        <v>10893</v>
      </c>
      <c r="F101" t="s">
        <v>10952</v>
      </c>
      <c r="G101" t="str">
        <f>Config!$B$5</f>
        <v>SCH/L_ANSI.SchLib</v>
      </c>
      <c r="H101" t="s">
        <v>10894</v>
      </c>
      <c r="I101" t="s">
        <v>12577</v>
      </c>
      <c r="J101" t="s">
        <v>12750</v>
      </c>
      <c r="K101" s="3">
        <v>1</v>
      </c>
      <c r="L101" t="s">
        <v>10956</v>
      </c>
    </row>
    <row r="102" spans="1:12">
      <c r="A102" t="s">
        <v>12741</v>
      </c>
      <c r="B102" t="s">
        <v>10896</v>
      </c>
      <c r="C102" t="s">
        <v>12746</v>
      </c>
      <c r="E102" t="s">
        <v>10893</v>
      </c>
      <c r="F102" t="s">
        <v>10952</v>
      </c>
      <c r="G102" t="str">
        <f>Config!$B$5</f>
        <v>SCH/L_ANSI.SchLib</v>
      </c>
      <c r="H102" t="s">
        <v>10894</v>
      </c>
      <c r="I102" t="s">
        <v>12577</v>
      </c>
      <c r="J102" t="s">
        <v>12751</v>
      </c>
      <c r="K102" s="3">
        <v>1</v>
      </c>
      <c r="L102" t="s">
        <v>10956</v>
      </c>
    </row>
    <row r="103" spans="1:12">
      <c r="A103" t="s">
        <v>12742</v>
      </c>
      <c r="B103" t="s">
        <v>10896</v>
      </c>
      <c r="C103" t="s">
        <v>12747</v>
      </c>
      <c r="E103" t="s">
        <v>10893</v>
      </c>
      <c r="F103" t="s">
        <v>10952</v>
      </c>
      <c r="G103" t="str">
        <f>Config!$B$5</f>
        <v>SCH/L_ANSI.SchLib</v>
      </c>
      <c r="H103" t="s">
        <v>10894</v>
      </c>
      <c r="I103" t="s">
        <v>12577</v>
      </c>
      <c r="J103" t="s">
        <v>12752</v>
      </c>
      <c r="K103" s="3">
        <v>1</v>
      </c>
      <c r="L103" t="s">
        <v>10956</v>
      </c>
    </row>
    <row r="104" spans="1:12">
      <c r="A104" t="s">
        <v>12789</v>
      </c>
      <c r="B104" t="s">
        <v>10896</v>
      </c>
      <c r="C104" t="s">
        <v>12790</v>
      </c>
      <c r="E104" t="s">
        <v>10893</v>
      </c>
      <c r="F104" t="s">
        <v>10952</v>
      </c>
      <c r="G104" t="str">
        <f>Config!$B$5</f>
        <v>SCH/L_ANSI.SchLib</v>
      </c>
      <c r="H104" t="s">
        <v>10894</v>
      </c>
      <c r="I104" t="s">
        <v>12577</v>
      </c>
      <c r="J104" t="s">
        <v>12791</v>
      </c>
      <c r="K104" s="3">
        <v>1</v>
      </c>
      <c r="L104" t="s">
        <v>10956</v>
      </c>
    </row>
    <row r="105" spans="1:12">
      <c r="A105" t="s">
        <v>12753</v>
      </c>
      <c r="B105" t="s">
        <v>10895</v>
      </c>
      <c r="C105" t="s">
        <v>12779</v>
      </c>
      <c r="E105" t="s">
        <v>10893</v>
      </c>
      <c r="F105" t="s">
        <v>10953</v>
      </c>
      <c r="G105" t="str">
        <f>Config!$B$5</f>
        <v>SCH/L_ANSI.SchLib</v>
      </c>
      <c r="H105" t="s">
        <v>10894</v>
      </c>
      <c r="I105" t="s">
        <v>12577</v>
      </c>
      <c r="J105" t="s">
        <v>12758</v>
      </c>
      <c r="K105" s="3">
        <v>2</v>
      </c>
      <c r="L105" t="s">
        <v>10956</v>
      </c>
    </row>
    <row r="106" spans="1:12">
      <c r="A106" t="s">
        <v>12754</v>
      </c>
      <c r="B106" t="s">
        <v>10895</v>
      </c>
      <c r="C106" t="s">
        <v>12780</v>
      </c>
      <c r="E106" t="s">
        <v>10893</v>
      </c>
      <c r="F106" t="s">
        <v>10953</v>
      </c>
      <c r="G106" t="str">
        <f>Config!$B$5</f>
        <v>SCH/L_ANSI.SchLib</v>
      </c>
      <c r="H106" t="s">
        <v>10894</v>
      </c>
      <c r="I106" t="s">
        <v>12577</v>
      </c>
      <c r="J106" t="s">
        <v>12759</v>
      </c>
      <c r="K106" s="3">
        <v>2</v>
      </c>
      <c r="L106" t="s">
        <v>10956</v>
      </c>
    </row>
    <row r="107" spans="1:12">
      <c r="A107" t="s">
        <v>12755</v>
      </c>
      <c r="B107" t="s">
        <v>10895</v>
      </c>
      <c r="C107" t="s">
        <v>12781</v>
      </c>
      <c r="E107" t="s">
        <v>10893</v>
      </c>
      <c r="F107" t="s">
        <v>10953</v>
      </c>
      <c r="G107" t="str">
        <f>Config!$B$5</f>
        <v>SCH/L_ANSI.SchLib</v>
      </c>
      <c r="H107" t="s">
        <v>10894</v>
      </c>
      <c r="I107" t="s">
        <v>12577</v>
      </c>
      <c r="J107" t="s">
        <v>12760</v>
      </c>
      <c r="K107" s="3">
        <v>2</v>
      </c>
      <c r="L107" t="s">
        <v>10956</v>
      </c>
    </row>
    <row r="108" spans="1:12">
      <c r="A108" t="s">
        <v>12756</v>
      </c>
      <c r="B108" t="s">
        <v>10895</v>
      </c>
      <c r="C108" t="s">
        <v>12782</v>
      </c>
      <c r="E108" t="s">
        <v>10893</v>
      </c>
      <c r="F108" t="s">
        <v>10953</v>
      </c>
      <c r="G108" t="str">
        <f>Config!$B$5</f>
        <v>SCH/L_ANSI.SchLib</v>
      </c>
      <c r="H108" t="s">
        <v>10894</v>
      </c>
      <c r="I108" t="s">
        <v>12577</v>
      </c>
      <c r="J108" t="s">
        <v>12761</v>
      </c>
      <c r="K108" s="3">
        <v>2</v>
      </c>
      <c r="L108" t="s">
        <v>10956</v>
      </c>
    </row>
    <row r="109" spans="1:12">
      <c r="A109" t="s">
        <v>12757</v>
      </c>
      <c r="B109" t="s">
        <v>10895</v>
      </c>
      <c r="C109" t="s">
        <v>12783</v>
      </c>
      <c r="E109" t="s">
        <v>10893</v>
      </c>
      <c r="F109" t="s">
        <v>10953</v>
      </c>
      <c r="G109" t="str">
        <f>Config!$B$5</f>
        <v>SCH/L_ANSI.SchLib</v>
      </c>
      <c r="H109" t="s">
        <v>10894</v>
      </c>
      <c r="I109" t="s">
        <v>12577</v>
      </c>
      <c r="J109" t="s">
        <v>12762</v>
      </c>
      <c r="K109" s="3">
        <v>2</v>
      </c>
      <c r="L109" t="s">
        <v>10956</v>
      </c>
    </row>
    <row r="110" spans="1:12">
      <c r="A110" t="s">
        <v>12792</v>
      </c>
      <c r="B110" t="s">
        <v>10895</v>
      </c>
      <c r="C110" t="s">
        <v>12793</v>
      </c>
      <c r="E110" t="s">
        <v>10893</v>
      </c>
      <c r="F110" t="s">
        <v>10953</v>
      </c>
      <c r="G110" t="str">
        <f>Config!$B$5</f>
        <v>SCH/L_ANSI.SchLib</v>
      </c>
      <c r="H110" t="s">
        <v>10894</v>
      </c>
      <c r="I110" t="s">
        <v>12577</v>
      </c>
      <c r="J110" t="s">
        <v>12794</v>
      </c>
      <c r="K110" s="3">
        <v>2</v>
      </c>
      <c r="L110" t="s">
        <v>10956</v>
      </c>
    </row>
    <row r="111" spans="1:12">
      <c r="A111" t="s">
        <v>12768</v>
      </c>
      <c r="B111" t="s">
        <v>10958</v>
      </c>
      <c r="C111" t="s">
        <v>12784</v>
      </c>
      <c r="E111" t="s">
        <v>10893</v>
      </c>
      <c r="F111" t="s">
        <v>10955</v>
      </c>
      <c r="G111" t="str">
        <f>Config!$B$5</f>
        <v>SCH/L_ANSI.SchLib</v>
      </c>
      <c r="H111" t="s">
        <v>10894</v>
      </c>
      <c r="I111" t="s">
        <v>12577</v>
      </c>
      <c r="J111" t="s">
        <v>12763</v>
      </c>
      <c r="K111" s="3">
        <v>24</v>
      </c>
      <c r="L111" t="s">
        <v>10956</v>
      </c>
    </row>
    <row r="112" spans="1:12">
      <c r="A112" t="s">
        <v>12769</v>
      </c>
      <c r="B112" t="s">
        <v>10958</v>
      </c>
      <c r="C112" t="s">
        <v>12785</v>
      </c>
      <c r="E112" t="s">
        <v>10893</v>
      </c>
      <c r="F112" t="s">
        <v>10955</v>
      </c>
      <c r="G112" t="str">
        <f>Config!$B$5</f>
        <v>SCH/L_ANSI.SchLib</v>
      </c>
      <c r="H112" t="s">
        <v>10894</v>
      </c>
      <c r="I112" t="s">
        <v>12577</v>
      </c>
      <c r="J112" t="s">
        <v>12764</v>
      </c>
      <c r="K112" s="3">
        <v>24</v>
      </c>
      <c r="L112" t="s">
        <v>10956</v>
      </c>
    </row>
    <row r="113" spans="1:16">
      <c r="A113" t="s">
        <v>12770</v>
      </c>
      <c r="B113" t="s">
        <v>10958</v>
      </c>
      <c r="C113" t="s">
        <v>12786</v>
      </c>
      <c r="E113" t="s">
        <v>10893</v>
      </c>
      <c r="F113" t="s">
        <v>10955</v>
      </c>
      <c r="G113" t="str">
        <f>Config!$B$5</f>
        <v>SCH/L_ANSI.SchLib</v>
      </c>
      <c r="H113" t="s">
        <v>10894</v>
      </c>
      <c r="I113" t="s">
        <v>12577</v>
      </c>
      <c r="J113" t="s">
        <v>12765</v>
      </c>
      <c r="K113" s="3">
        <v>24</v>
      </c>
      <c r="L113" t="s">
        <v>10956</v>
      </c>
    </row>
    <row r="114" spans="1:16">
      <c r="A114" t="s">
        <v>12771</v>
      </c>
      <c r="B114" t="s">
        <v>10958</v>
      </c>
      <c r="C114" t="s">
        <v>12787</v>
      </c>
      <c r="E114" t="s">
        <v>10893</v>
      </c>
      <c r="F114" t="s">
        <v>10955</v>
      </c>
      <c r="G114" t="str">
        <f>Config!$B$5</f>
        <v>SCH/L_ANSI.SchLib</v>
      </c>
      <c r="H114" t="s">
        <v>10894</v>
      </c>
      <c r="I114" t="s">
        <v>12577</v>
      </c>
      <c r="J114" t="s">
        <v>12766</v>
      </c>
      <c r="K114" s="3">
        <v>24</v>
      </c>
      <c r="L114" t="s">
        <v>10956</v>
      </c>
    </row>
    <row r="115" spans="1:16">
      <c r="A115" t="s">
        <v>12772</v>
      </c>
      <c r="B115" t="s">
        <v>10958</v>
      </c>
      <c r="C115" t="s">
        <v>12788</v>
      </c>
      <c r="E115" t="s">
        <v>10893</v>
      </c>
      <c r="F115" t="s">
        <v>10955</v>
      </c>
      <c r="G115" t="str">
        <f>Config!$B$5</f>
        <v>SCH/L_ANSI.SchLib</v>
      </c>
      <c r="H115" t="s">
        <v>10894</v>
      </c>
      <c r="I115" t="s">
        <v>12577</v>
      </c>
      <c r="J115" t="s">
        <v>12767</v>
      </c>
      <c r="K115" s="3">
        <v>24</v>
      </c>
      <c r="L115" t="s">
        <v>10956</v>
      </c>
    </row>
    <row r="116" spans="1:16">
      <c r="A116" t="s">
        <v>12795</v>
      </c>
      <c r="B116" t="s">
        <v>10958</v>
      </c>
      <c r="C116" t="s">
        <v>12796</v>
      </c>
      <c r="E116" t="s">
        <v>10893</v>
      </c>
      <c r="F116" t="s">
        <v>10955</v>
      </c>
      <c r="G116" t="str">
        <f>Config!$B$5</f>
        <v>SCH/L_ANSI.SchLib</v>
      </c>
      <c r="H116" t="s">
        <v>10894</v>
      </c>
      <c r="I116" t="s">
        <v>12577</v>
      </c>
      <c r="J116" t="s">
        <v>12797</v>
      </c>
      <c r="K116" s="3">
        <v>24</v>
      </c>
      <c r="L116" t="s">
        <v>10956</v>
      </c>
    </row>
    <row r="117" spans="1:16">
      <c r="A117" t="s">
        <v>11308</v>
      </c>
      <c r="B117" t="s">
        <v>11308</v>
      </c>
      <c r="C117" t="s">
        <v>11354</v>
      </c>
      <c r="D117" t="s">
        <v>11400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11410</v>
      </c>
      <c r="K117" s="3">
        <v>1.0000000000000001E-5</v>
      </c>
      <c r="L117" t="s">
        <v>11409</v>
      </c>
      <c r="M117" t="s">
        <v>11400</v>
      </c>
      <c r="N117" t="s">
        <v>11261</v>
      </c>
      <c r="O117" t="s">
        <v>26</v>
      </c>
      <c r="P117" t="s">
        <v>12194</v>
      </c>
    </row>
    <row r="118" spans="1:16">
      <c r="A118" t="s">
        <v>11309</v>
      </c>
      <c r="B118" t="s">
        <v>11309</v>
      </c>
      <c r="C118" t="s">
        <v>11355</v>
      </c>
      <c r="D118" t="s">
        <v>11400</v>
      </c>
      <c r="E118">
        <v>7635</v>
      </c>
      <c r="F118" t="s">
        <v>11401</v>
      </c>
      <c r="G118" t="str">
        <f>Config!$B$5</f>
        <v>SCH/L_ANSI.SchLib</v>
      </c>
      <c r="H118" t="s">
        <v>425</v>
      </c>
      <c r="I118" t="s">
        <v>6542</v>
      </c>
      <c r="J118" t="s">
        <v>11410</v>
      </c>
      <c r="K118" s="3">
        <v>1E-4</v>
      </c>
      <c r="L118" t="s">
        <v>11409</v>
      </c>
      <c r="M118" t="s">
        <v>11400</v>
      </c>
      <c r="N118" t="s">
        <v>11262</v>
      </c>
      <c r="O118" t="s">
        <v>26</v>
      </c>
      <c r="P118" t="s">
        <v>12195</v>
      </c>
    </row>
    <row r="119" spans="1:16">
      <c r="A119" t="s">
        <v>11310</v>
      </c>
      <c r="B119" t="s">
        <v>11310</v>
      </c>
      <c r="C119" t="s">
        <v>11356</v>
      </c>
      <c r="D119" t="s">
        <v>11400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11410</v>
      </c>
      <c r="K119" s="3">
        <v>1E-3</v>
      </c>
      <c r="L119" t="s">
        <v>11409</v>
      </c>
      <c r="M119" t="s">
        <v>11400</v>
      </c>
      <c r="N119" t="s">
        <v>11263</v>
      </c>
      <c r="O119" t="s">
        <v>26</v>
      </c>
      <c r="P119" t="s">
        <v>12196</v>
      </c>
    </row>
    <row r="120" spans="1:16">
      <c r="A120" t="s">
        <v>11311</v>
      </c>
      <c r="B120" t="s">
        <v>11311</v>
      </c>
      <c r="C120" t="s">
        <v>11357</v>
      </c>
      <c r="D120" t="s">
        <v>11400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11410</v>
      </c>
      <c r="K120" s="3">
        <v>1.5E-5</v>
      </c>
      <c r="L120" t="s">
        <v>11409</v>
      </c>
      <c r="M120" t="s">
        <v>11400</v>
      </c>
      <c r="N120" t="s">
        <v>11264</v>
      </c>
      <c r="O120" t="s">
        <v>26</v>
      </c>
      <c r="P120" t="s">
        <v>12197</v>
      </c>
    </row>
    <row r="121" spans="1:16">
      <c r="A121" t="s">
        <v>11312</v>
      </c>
      <c r="B121" t="s">
        <v>11312</v>
      </c>
      <c r="C121" t="s">
        <v>11358</v>
      </c>
      <c r="D121" t="s">
        <v>11400</v>
      </c>
      <c r="E121">
        <v>7635</v>
      </c>
      <c r="F121" t="s">
        <v>11402</v>
      </c>
      <c r="G121" t="str">
        <f>Config!$B$5</f>
        <v>SCH/L_ANSI.SchLib</v>
      </c>
      <c r="H121" t="s">
        <v>425</v>
      </c>
      <c r="I121" t="s">
        <v>6542</v>
      </c>
      <c r="J121" t="s">
        <v>11410</v>
      </c>
      <c r="K121" s="3">
        <v>1.4999999999999999E-4</v>
      </c>
      <c r="L121" t="s">
        <v>11409</v>
      </c>
      <c r="M121" t="s">
        <v>11400</v>
      </c>
      <c r="N121" t="s">
        <v>11265</v>
      </c>
      <c r="O121" t="s">
        <v>26</v>
      </c>
      <c r="P121" t="s">
        <v>12198</v>
      </c>
    </row>
    <row r="122" spans="1:16">
      <c r="A122" t="s">
        <v>11313</v>
      </c>
      <c r="B122" t="s">
        <v>11313</v>
      </c>
      <c r="C122" t="s">
        <v>11359</v>
      </c>
      <c r="D122" t="s">
        <v>11400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11410</v>
      </c>
      <c r="K122" s="3">
        <v>9.9999999999999995E-7</v>
      </c>
      <c r="L122" t="s">
        <v>11409</v>
      </c>
      <c r="M122" t="s">
        <v>11400</v>
      </c>
      <c r="N122" t="s">
        <v>11266</v>
      </c>
      <c r="O122" t="s">
        <v>26</v>
      </c>
      <c r="P122" t="s">
        <v>12232</v>
      </c>
    </row>
    <row r="123" spans="1:16">
      <c r="A123" t="s">
        <v>11314</v>
      </c>
      <c r="B123" t="s">
        <v>11314</v>
      </c>
      <c r="C123" t="s">
        <v>11360</v>
      </c>
      <c r="D123" t="s">
        <v>11400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11410</v>
      </c>
      <c r="K123" s="3">
        <v>1.5E-6</v>
      </c>
      <c r="L123" t="s">
        <v>11409</v>
      </c>
      <c r="M123" t="s">
        <v>11400</v>
      </c>
      <c r="N123" t="s">
        <v>11267</v>
      </c>
      <c r="O123" t="s">
        <v>26</v>
      </c>
      <c r="P123" t="s">
        <v>12233</v>
      </c>
    </row>
    <row r="124" spans="1:16">
      <c r="A124" t="s">
        <v>11315</v>
      </c>
      <c r="B124" t="s">
        <v>11315</v>
      </c>
      <c r="C124" t="s">
        <v>11361</v>
      </c>
      <c r="D124" t="s">
        <v>11400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11410</v>
      </c>
      <c r="K124" s="3">
        <v>2.1999999999999999E-5</v>
      </c>
      <c r="L124" t="s">
        <v>11409</v>
      </c>
      <c r="M124" t="s">
        <v>11400</v>
      </c>
      <c r="N124" t="s">
        <v>11268</v>
      </c>
      <c r="O124" t="s">
        <v>26</v>
      </c>
      <c r="P124" t="s">
        <v>12234</v>
      </c>
    </row>
    <row r="125" spans="1:16">
      <c r="A125" t="s">
        <v>11316</v>
      </c>
      <c r="B125" t="s">
        <v>11316</v>
      </c>
      <c r="C125" t="s">
        <v>11362</v>
      </c>
      <c r="D125" t="s">
        <v>11400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11410</v>
      </c>
      <c r="K125" s="3">
        <v>2.2000000000000001E-4</v>
      </c>
      <c r="L125" t="s">
        <v>11409</v>
      </c>
      <c r="M125" t="s">
        <v>11400</v>
      </c>
      <c r="N125" t="s">
        <v>11269</v>
      </c>
      <c r="O125" t="s">
        <v>26</v>
      </c>
      <c r="P125" t="s">
        <v>12199</v>
      </c>
    </row>
    <row r="126" spans="1:16">
      <c r="A126" t="s">
        <v>11317</v>
      </c>
      <c r="B126" t="s">
        <v>11317</v>
      </c>
      <c r="C126" t="s">
        <v>11363</v>
      </c>
      <c r="D126" t="s">
        <v>11400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11410</v>
      </c>
      <c r="K126" s="3">
        <v>2.2000000000000001E-6</v>
      </c>
      <c r="L126" t="s">
        <v>11409</v>
      </c>
      <c r="M126" t="s">
        <v>11400</v>
      </c>
      <c r="N126" t="s">
        <v>11270</v>
      </c>
      <c r="O126" t="s">
        <v>26</v>
      </c>
      <c r="P126" t="s">
        <v>12235</v>
      </c>
    </row>
    <row r="127" spans="1:16">
      <c r="A127" t="s">
        <v>11318</v>
      </c>
      <c r="B127" t="s">
        <v>11318</v>
      </c>
      <c r="C127" t="s">
        <v>11364</v>
      </c>
      <c r="D127" t="s">
        <v>11400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11410</v>
      </c>
      <c r="K127" s="3">
        <v>3.3000000000000003E-5</v>
      </c>
      <c r="L127" t="s">
        <v>11409</v>
      </c>
      <c r="M127" t="s">
        <v>11400</v>
      </c>
      <c r="N127" t="s">
        <v>11271</v>
      </c>
      <c r="O127" t="s">
        <v>26</v>
      </c>
      <c r="P127" t="s">
        <v>12200</v>
      </c>
    </row>
    <row r="128" spans="1:16">
      <c r="A128" t="s">
        <v>11319</v>
      </c>
      <c r="B128" t="s">
        <v>11319</v>
      </c>
      <c r="C128" t="s">
        <v>11365</v>
      </c>
      <c r="D128" t="s">
        <v>11400</v>
      </c>
      <c r="E128">
        <v>7635</v>
      </c>
      <c r="F128" t="s">
        <v>11403</v>
      </c>
      <c r="G128" t="str">
        <f>Config!$B$5</f>
        <v>SCH/L_ANSI.SchLib</v>
      </c>
      <c r="H128" t="s">
        <v>425</v>
      </c>
      <c r="I128" t="s">
        <v>6542</v>
      </c>
      <c r="J128" t="s">
        <v>11410</v>
      </c>
      <c r="K128" s="3">
        <v>3.3E-4</v>
      </c>
      <c r="L128" t="s">
        <v>11409</v>
      </c>
      <c r="M128" t="s">
        <v>11400</v>
      </c>
      <c r="N128" t="s">
        <v>11272</v>
      </c>
      <c r="O128" t="s">
        <v>26</v>
      </c>
      <c r="P128" t="s">
        <v>12201</v>
      </c>
    </row>
    <row r="129" spans="1:16">
      <c r="A129" t="s">
        <v>11320</v>
      </c>
      <c r="B129" t="s">
        <v>11320</v>
      </c>
      <c r="C129" t="s">
        <v>11366</v>
      </c>
      <c r="D129" t="s">
        <v>11400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11410</v>
      </c>
      <c r="K129" s="3">
        <v>3.3000000000000002E-6</v>
      </c>
      <c r="L129" t="s">
        <v>11409</v>
      </c>
      <c r="M129" t="s">
        <v>11400</v>
      </c>
      <c r="N129" t="s">
        <v>11273</v>
      </c>
      <c r="O129" t="s">
        <v>26</v>
      </c>
      <c r="P129" t="s">
        <v>12202</v>
      </c>
    </row>
    <row r="130" spans="1:16">
      <c r="A130" t="s">
        <v>11321</v>
      </c>
      <c r="B130" t="s">
        <v>11321</v>
      </c>
      <c r="C130" t="s">
        <v>11367</v>
      </c>
      <c r="D130" t="s">
        <v>11400</v>
      </c>
      <c r="E130">
        <v>7635</v>
      </c>
      <c r="F130" t="s">
        <v>11404</v>
      </c>
      <c r="G130" t="str">
        <f>Config!$B$5</f>
        <v>SCH/L_ANSI.SchLib</v>
      </c>
      <c r="H130" t="s">
        <v>425</v>
      </c>
      <c r="I130" t="s">
        <v>6542</v>
      </c>
      <c r="J130" t="s">
        <v>11410</v>
      </c>
      <c r="K130" s="3">
        <v>4.6999999999999997E-5</v>
      </c>
      <c r="L130" t="s">
        <v>11409</v>
      </c>
      <c r="M130" t="s">
        <v>11400</v>
      </c>
      <c r="N130" t="s">
        <v>11274</v>
      </c>
      <c r="O130" t="s">
        <v>26</v>
      </c>
      <c r="P130" t="s">
        <v>12203</v>
      </c>
    </row>
    <row r="131" spans="1:16">
      <c r="A131" t="s">
        <v>11322</v>
      </c>
      <c r="B131" t="s">
        <v>11322</v>
      </c>
      <c r="C131" t="s">
        <v>11368</v>
      </c>
      <c r="D131" t="s">
        <v>11400</v>
      </c>
      <c r="E131">
        <v>7635</v>
      </c>
      <c r="F131" t="s">
        <v>11405</v>
      </c>
      <c r="G131" t="str">
        <f>Config!$B$5</f>
        <v>SCH/L_ANSI.SchLib</v>
      </c>
      <c r="H131" t="s">
        <v>425</v>
      </c>
      <c r="I131" t="s">
        <v>6542</v>
      </c>
      <c r="J131" t="s">
        <v>11410</v>
      </c>
      <c r="K131" s="3">
        <v>4.6999999999999999E-4</v>
      </c>
      <c r="L131" t="s">
        <v>11409</v>
      </c>
      <c r="M131" t="s">
        <v>11400</v>
      </c>
      <c r="N131" t="s">
        <v>11275</v>
      </c>
      <c r="O131" t="s">
        <v>26</v>
      </c>
      <c r="P131" t="s">
        <v>12204</v>
      </c>
    </row>
    <row r="132" spans="1:16">
      <c r="A132" t="s">
        <v>11323</v>
      </c>
      <c r="B132" t="s">
        <v>11323</v>
      </c>
      <c r="C132" t="s">
        <v>11369</v>
      </c>
      <c r="D132" t="s">
        <v>11400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11410</v>
      </c>
      <c r="K132" s="3">
        <v>4.6999999999999999E-6</v>
      </c>
      <c r="L132" t="s">
        <v>11409</v>
      </c>
      <c r="M132" t="s">
        <v>11400</v>
      </c>
      <c r="N132" t="s">
        <v>11276</v>
      </c>
      <c r="O132" t="s">
        <v>26</v>
      </c>
      <c r="P132" t="s">
        <v>12236</v>
      </c>
    </row>
    <row r="133" spans="1:16">
      <c r="A133" t="s">
        <v>11324</v>
      </c>
      <c r="B133" t="s">
        <v>11324</v>
      </c>
      <c r="C133" t="s">
        <v>11370</v>
      </c>
      <c r="D133" t="s">
        <v>11400</v>
      </c>
      <c r="E133">
        <v>7635</v>
      </c>
      <c r="F133" t="s">
        <v>11406</v>
      </c>
      <c r="G133" t="str">
        <f>Config!$B$5</f>
        <v>SCH/L_ANSI.SchLib</v>
      </c>
      <c r="H133" t="s">
        <v>425</v>
      </c>
      <c r="I133" t="s">
        <v>6542</v>
      </c>
      <c r="J133" t="s">
        <v>11410</v>
      </c>
      <c r="K133" s="3">
        <v>6.7999999999999999E-5</v>
      </c>
      <c r="L133" t="s">
        <v>11409</v>
      </c>
      <c r="M133" t="s">
        <v>11400</v>
      </c>
      <c r="N133" t="s">
        <v>11277</v>
      </c>
      <c r="O133" t="s">
        <v>26</v>
      </c>
      <c r="P133" t="s">
        <v>12205</v>
      </c>
    </row>
    <row r="134" spans="1:16">
      <c r="A134" t="s">
        <v>11325</v>
      </c>
      <c r="B134" t="s">
        <v>11325</v>
      </c>
      <c r="C134" t="s">
        <v>11371</v>
      </c>
      <c r="D134" t="s">
        <v>11400</v>
      </c>
      <c r="E134">
        <v>7635</v>
      </c>
      <c r="F134" t="s">
        <v>11407</v>
      </c>
      <c r="G134" t="str">
        <f>Config!$B$5</f>
        <v>SCH/L_ANSI.SchLib</v>
      </c>
      <c r="H134" t="s">
        <v>425</v>
      </c>
      <c r="I134" t="s">
        <v>6542</v>
      </c>
      <c r="J134" t="s">
        <v>11410</v>
      </c>
      <c r="K134" s="3">
        <v>6.8000000000000005E-4</v>
      </c>
      <c r="L134" t="s">
        <v>11409</v>
      </c>
      <c r="M134" t="s">
        <v>11400</v>
      </c>
      <c r="N134" t="s">
        <v>11278</v>
      </c>
      <c r="O134" t="s">
        <v>26</v>
      </c>
      <c r="P134" t="s">
        <v>12206</v>
      </c>
    </row>
    <row r="135" spans="1:16">
      <c r="A135" t="s">
        <v>11326</v>
      </c>
      <c r="B135" t="s">
        <v>11326</v>
      </c>
      <c r="C135" t="s">
        <v>11372</v>
      </c>
      <c r="D135" t="s">
        <v>11400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11410</v>
      </c>
      <c r="K135" s="3">
        <v>6.8000000000000001E-6</v>
      </c>
      <c r="L135" t="s">
        <v>11409</v>
      </c>
      <c r="M135" t="s">
        <v>11400</v>
      </c>
      <c r="N135" t="s">
        <v>11279</v>
      </c>
      <c r="O135" t="s">
        <v>26</v>
      </c>
      <c r="P135" t="s">
        <v>12207</v>
      </c>
    </row>
    <row r="136" spans="1:16">
      <c r="A136" t="s">
        <v>11327</v>
      </c>
      <c r="B136" t="s">
        <v>11327</v>
      </c>
      <c r="C136" t="s">
        <v>11373</v>
      </c>
      <c r="D136" t="s">
        <v>11400</v>
      </c>
      <c r="E136">
        <v>7635</v>
      </c>
      <c r="F136" t="s">
        <v>11408</v>
      </c>
      <c r="G136" t="str">
        <f>Config!$B$5</f>
        <v>SCH/L_ANSI.SchLib</v>
      </c>
      <c r="H136" t="s">
        <v>425</v>
      </c>
      <c r="I136" t="s">
        <v>6542</v>
      </c>
      <c r="J136" t="s">
        <v>11410</v>
      </c>
      <c r="K136" s="3">
        <v>8.2000000000000001E-5</v>
      </c>
      <c r="L136" t="s">
        <v>11409</v>
      </c>
      <c r="M136" t="s">
        <v>11400</v>
      </c>
      <c r="N136" t="s">
        <v>11280</v>
      </c>
      <c r="O136" t="s">
        <v>26</v>
      </c>
      <c r="P136" t="s">
        <v>12208</v>
      </c>
    </row>
    <row r="137" spans="1:16">
      <c r="A137" t="s">
        <v>11328</v>
      </c>
      <c r="B137" t="s">
        <v>11328</v>
      </c>
      <c r="C137" t="s">
        <v>11374</v>
      </c>
      <c r="D137" t="s">
        <v>11400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11410</v>
      </c>
      <c r="K137" s="3">
        <v>8.1999999999999998E-4</v>
      </c>
      <c r="L137" t="s">
        <v>11409</v>
      </c>
      <c r="M137" t="s">
        <v>11400</v>
      </c>
      <c r="N137" t="s">
        <v>11281</v>
      </c>
      <c r="O137" t="s">
        <v>26</v>
      </c>
      <c r="P137" t="s">
        <v>12237</v>
      </c>
    </row>
    <row r="138" spans="1:16">
      <c r="A138" t="s">
        <v>11329</v>
      </c>
      <c r="B138" t="s">
        <v>11329</v>
      </c>
      <c r="C138" t="s">
        <v>11375</v>
      </c>
      <c r="D138" t="s">
        <v>11400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11410</v>
      </c>
      <c r="K138" s="3">
        <v>8.1999999999999994E-6</v>
      </c>
      <c r="L138" t="s">
        <v>11409</v>
      </c>
      <c r="M138" t="s">
        <v>11400</v>
      </c>
      <c r="N138" t="s">
        <v>11282</v>
      </c>
      <c r="O138" t="s">
        <v>26</v>
      </c>
      <c r="P138" t="s">
        <v>12209</v>
      </c>
    </row>
    <row r="139" spans="1:16">
      <c r="A139" t="s">
        <v>11330</v>
      </c>
      <c r="B139" t="s">
        <v>11330</v>
      </c>
      <c r="C139" t="s">
        <v>11376</v>
      </c>
      <c r="D139" t="s">
        <v>11400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11410</v>
      </c>
      <c r="K139" s="3">
        <v>3.3000000000000002E-7</v>
      </c>
      <c r="L139" t="s">
        <v>11409</v>
      </c>
      <c r="M139" t="s">
        <v>11400</v>
      </c>
      <c r="N139" t="s">
        <v>11283</v>
      </c>
      <c r="O139" t="s">
        <v>26</v>
      </c>
      <c r="P139" t="s">
        <v>12238</v>
      </c>
    </row>
    <row r="140" spans="1:16">
      <c r="A140" t="s">
        <v>11331</v>
      </c>
      <c r="B140" t="s">
        <v>11331</v>
      </c>
      <c r="C140" t="s">
        <v>11377</v>
      </c>
      <c r="D140" t="s">
        <v>11400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11411</v>
      </c>
      <c r="K140" s="3">
        <v>1.0000000000000001E-5</v>
      </c>
      <c r="L140" t="s">
        <v>11409</v>
      </c>
      <c r="M140" t="s">
        <v>11400</v>
      </c>
      <c r="N140" t="s">
        <v>11284</v>
      </c>
      <c r="O140" t="s">
        <v>26</v>
      </c>
      <c r="P140" t="s">
        <v>12210</v>
      </c>
    </row>
    <row r="141" spans="1:16">
      <c r="A141" t="s">
        <v>11332</v>
      </c>
      <c r="B141" t="s">
        <v>11332</v>
      </c>
      <c r="C141" t="s">
        <v>11378</v>
      </c>
      <c r="D141" t="s">
        <v>11400</v>
      </c>
      <c r="E141">
        <v>7643</v>
      </c>
      <c r="F141" t="s">
        <v>11401</v>
      </c>
      <c r="G141" t="str">
        <f>Config!$B$5</f>
        <v>SCH/L_ANSI.SchLib</v>
      </c>
      <c r="H141" t="s">
        <v>425</v>
      </c>
      <c r="I141" t="s">
        <v>6542</v>
      </c>
      <c r="J141" t="s">
        <v>11411</v>
      </c>
      <c r="K141" s="3">
        <v>1E-4</v>
      </c>
      <c r="L141" t="s">
        <v>11409</v>
      </c>
      <c r="M141" t="s">
        <v>11400</v>
      </c>
      <c r="N141" t="s">
        <v>11285</v>
      </c>
      <c r="O141" t="s">
        <v>26</v>
      </c>
      <c r="P141" t="s">
        <v>12211</v>
      </c>
    </row>
    <row r="142" spans="1:16">
      <c r="A142" t="s">
        <v>11332</v>
      </c>
      <c r="B142" t="s">
        <v>11332</v>
      </c>
      <c r="C142" t="s">
        <v>11378</v>
      </c>
      <c r="D142" t="s">
        <v>11400</v>
      </c>
      <c r="E142">
        <v>7643</v>
      </c>
      <c r="F142" t="s">
        <v>11401</v>
      </c>
      <c r="G142" t="str">
        <f>Config!$B$5</f>
        <v>SCH/L_ANSI.SchLib</v>
      </c>
      <c r="H142" t="s">
        <v>425</v>
      </c>
      <c r="I142" t="s">
        <v>6542</v>
      </c>
      <c r="J142" t="s">
        <v>11411</v>
      </c>
      <c r="K142" s="3">
        <v>1E-4</v>
      </c>
      <c r="L142" t="s">
        <v>11409</v>
      </c>
      <c r="M142" t="s">
        <v>11400</v>
      </c>
      <c r="N142" t="s">
        <v>11286</v>
      </c>
      <c r="O142" t="s">
        <v>26</v>
      </c>
      <c r="P142" t="s">
        <v>12239</v>
      </c>
    </row>
    <row r="143" spans="1:16">
      <c r="A143" t="s">
        <v>11333</v>
      </c>
      <c r="B143" t="s">
        <v>11333</v>
      </c>
      <c r="C143" t="s">
        <v>11379</v>
      </c>
      <c r="D143" t="s">
        <v>11400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11411</v>
      </c>
      <c r="K143" s="3">
        <v>1E-3</v>
      </c>
      <c r="L143" t="s">
        <v>11409</v>
      </c>
      <c r="M143" t="s">
        <v>11400</v>
      </c>
      <c r="N143" t="s">
        <v>11287</v>
      </c>
      <c r="O143" t="s">
        <v>26</v>
      </c>
      <c r="P143" t="s">
        <v>12212</v>
      </c>
    </row>
    <row r="144" spans="1:16">
      <c r="A144" t="s">
        <v>11334</v>
      </c>
      <c r="B144" t="s">
        <v>11334</v>
      </c>
      <c r="C144" t="s">
        <v>11380</v>
      </c>
      <c r="D144" t="s">
        <v>11400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11411</v>
      </c>
      <c r="K144" s="3">
        <v>1.5E-5</v>
      </c>
      <c r="L144" t="s">
        <v>11409</v>
      </c>
      <c r="M144" t="s">
        <v>11400</v>
      </c>
      <c r="N144" t="s">
        <v>11288</v>
      </c>
      <c r="O144" t="s">
        <v>26</v>
      </c>
      <c r="P144" t="s">
        <v>12213</v>
      </c>
    </row>
    <row r="145" spans="1:24">
      <c r="A145" t="s">
        <v>11335</v>
      </c>
      <c r="B145" t="s">
        <v>11335</v>
      </c>
      <c r="C145" t="s">
        <v>11381</v>
      </c>
      <c r="D145" t="s">
        <v>11400</v>
      </c>
      <c r="E145">
        <v>7643</v>
      </c>
      <c r="F145" t="s">
        <v>11402</v>
      </c>
      <c r="G145" t="str">
        <f>Config!$B$5</f>
        <v>SCH/L_ANSI.SchLib</v>
      </c>
      <c r="H145" t="s">
        <v>425</v>
      </c>
      <c r="I145" t="s">
        <v>6542</v>
      </c>
      <c r="J145" t="s">
        <v>11411</v>
      </c>
      <c r="K145" s="3">
        <v>1.4999999999999999E-4</v>
      </c>
      <c r="L145" t="s">
        <v>11409</v>
      </c>
      <c r="M145" t="s">
        <v>11400</v>
      </c>
      <c r="N145" t="s">
        <v>11289</v>
      </c>
      <c r="O145" t="s">
        <v>26</v>
      </c>
      <c r="P145" t="s">
        <v>12214</v>
      </c>
    </row>
    <row r="146" spans="1:24">
      <c r="A146" t="s">
        <v>11336</v>
      </c>
      <c r="B146" t="s">
        <v>11336</v>
      </c>
      <c r="C146" t="s">
        <v>11382</v>
      </c>
      <c r="D146" t="s">
        <v>11400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11411</v>
      </c>
      <c r="K146" s="3">
        <v>9.9999999999999995E-7</v>
      </c>
      <c r="L146" t="s">
        <v>11409</v>
      </c>
      <c r="M146" t="s">
        <v>11400</v>
      </c>
      <c r="N146" t="s">
        <v>11290</v>
      </c>
      <c r="O146" t="s">
        <v>26</v>
      </c>
      <c r="P146" t="s">
        <v>12215</v>
      </c>
    </row>
    <row r="147" spans="1:24">
      <c r="A147" t="s">
        <v>11337</v>
      </c>
      <c r="B147" t="s">
        <v>11337</v>
      </c>
      <c r="C147" t="s">
        <v>11383</v>
      </c>
      <c r="D147" t="s">
        <v>11400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11411</v>
      </c>
      <c r="K147" s="3">
        <v>1.5E-6</v>
      </c>
      <c r="L147" t="s">
        <v>11409</v>
      </c>
      <c r="M147" t="s">
        <v>11400</v>
      </c>
      <c r="N147" t="s">
        <v>11291</v>
      </c>
      <c r="O147" t="s">
        <v>26</v>
      </c>
      <c r="P147" t="s">
        <v>12216</v>
      </c>
    </row>
    <row r="148" spans="1:24">
      <c r="A148" t="s">
        <v>11338</v>
      </c>
      <c r="B148" t="s">
        <v>11338</v>
      </c>
      <c r="C148" t="s">
        <v>11384</v>
      </c>
      <c r="D148" t="s">
        <v>11400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11411</v>
      </c>
      <c r="K148" s="3">
        <v>2.1999999999999999E-5</v>
      </c>
      <c r="L148" t="s">
        <v>11409</v>
      </c>
      <c r="M148" t="s">
        <v>11400</v>
      </c>
      <c r="N148" t="s">
        <v>11292</v>
      </c>
      <c r="O148" t="s">
        <v>26</v>
      </c>
      <c r="P148" t="s">
        <v>12217</v>
      </c>
      <c r="U148" t="s">
        <v>13626</v>
      </c>
      <c r="V148" t="s">
        <v>13624</v>
      </c>
      <c r="W148" t="s">
        <v>4561</v>
      </c>
      <c r="X148" s="26" t="s">
        <v>13625</v>
      </c>
    </row>
    <row r="149" spans="1:24">
      <c r="A149" t="s">
        <v>11339</v>
      </c>
      <c r="B149" t="s">
        <v>11339</v>
      </c>
      <c r="C149" t="s">
        <v>11385</v>
      </c>
      <c r="D149" t="s">
        <v>11400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11411</v>
      </c>
      <c r="K149" s="3">
        <v>2.2000000000000001E-4</v>
      </c>
      <c r="L149" t="s">
        <v>11409</v>
      </c>
      <c r="M149" t="s">
        <v>11400</v>
      </c>
      <c r="N149" t="s">
        <v>11293</v>
      </c>
      <c r="O149" t="s">
        <v>26</v>
      </c>
      <c r="P149" t="s">
        <v>12218</v>
      </c>
    </row>
    <row r="150" spans="1:24">
      <c r="A150" t="s">
        <v>11340</v>
      </c>
      <c r="B150" t="s">
        <v>11340</v>
      </c>
      <c r="C150" t="s">
        <v>11386</v>
      </c>
      <c r="D150" t="s">
        <v>11400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11411</v>
      </c>
      <c r="K150" s="3">
        <v>2.2000000000000001E-6</v>
      </c>
      <c r="L150" t="s">
        <v>11409</v>
      </c>
      <c r="M150" t="s">
        <v>11400</v>
      </c>
      <c r="N150" t="s">
        <v>11294</v>
      </c>
      <c r="O150" t="s">
        <v>26</v>
      </c>
      <c r="P150" t="s">
        <v>12219</v>
      </c>
    </row>
    <row r="151" spans="1:24">
      <c r="A151" t="s">
        <v>11341</v>
      </c>
      <c r="B151" t="s">
        <v>11341</v>
      </c>
      <c r="C151" t="s">
        <v>11387</v>
      </c>
      <c r="D151" t="s">
        <v>11400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11411</v>
      </c>
      <c r="K151" s="3">
        <v>3.3000000000000003E-5</v>
      </c>
      <c r="L151" t="s">
        <v>11409</v>
      </c>
      <c r="M151" t="s">
        <v>11400</v>
      </c>
      <c r="N151" t="s">
        <v>11295</v>
      </c>
      <c r="O151" t="s">
        <v>26</v>
      </c>
      <c r="P151" t="s">
        <v>12220</v>
      </c>
    </row>
    <row r="152" spans="1:24">
      <c r="A152" t="s">
        <v>11342</v>
      </c>
      <c r="B152" t="s">
        <v>11342</v>
      </c>
      <c r="C152" t="s">
        <v>11388</v>
      </c>
      <c r="D152" t="s">
        <v>11400</v>
      </c>
      <c r="E152">
        <v>7643</v>
      </c>
      <c r="F152" t="s">
        <v>11403</v>
      </c>
      <c r="G152" t="str">
        <f>Config!$B$5</f>
        <v>SCH/L_ANSI.SchLib</v>
      </c>
      <c r="H152" t="s">
        <v>425</v>
      </c>
      <c r="I152" t="s">
        <v>6542</v>
      </c>
      <c r="J152" t="s">
        <v>11411</v>
      </c>
      <c r="K152" s="3">
        <v>3.3E-4</v>
      </c>
      <c r="L152" t="s">
        <v>11409</v>
      </c>
      <c r="M152" t="s">
        <v>11400</v>
      </c>
      <c r="N152" t="s">
        <v>11296</v>
      </c>
      <c r="O152" t="s">
        <v>26</v>
      </c>
      <c r="P152" t="s">
        <v>12221</v>
      </c>
      <c r="U152" s="45" t="s">
        <v>13626</v>
      </c>
      <c r="V152" s="45" t="s">
        <v>13666</v>
      </c>
      <c r="W152" t="s">
        <v>4561</v>
      </c>
      <c r="X152" s="44" t="s">
        <v>13665</v>
      </c>
    </row>
    <row r="153" spans="1:24">
      <c r="A153" t="s">
        <v>11343</v>
      </c>
      <c r="B153" t="s">
        <v>11343</v>
      </c>
      <c r="C153" t="s">
        <v>11389</v>
      </c>
      <c r="D153" t="s">
        <v>11400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11411</v>
      </c>
      <c r="K153" s="3">
        <v>3.3000000000000002E-6</v>
      </c>
      <c r="L153" t="s">
        <v>11409</v>
      </c>
      <c r="M153" t="s">
        <v>11400</v>
      </c>
      <c r="N153" t="s">
        <v>11297</v>
      </c>
      <c r="O153" t="s">
        <v>26</v>
      </c>
      <c r="P153" t="s">
        <v>12222</v>
      </c>
    </row>
    <row r="154" spans="1:24">
      <c r="A154" t="s">
        <v>11344</v>
      </c>
      <c r="B154" t="s">
        <v>11344</v>
      </c>
      <c r="C154" t="s">
        <v>11390</v>
      </c>
      <c r="D154" t="s">
        <v>11400</v>
      </c>
      <c r="E154">
        <v>7643</v>
      </c>
      <c r="F154" t="s">
        <v>11404</v>
      </c>
      <c r="G154" t="str">
        <f>Config!$B$5</f>
        <v>SCH/L_ANSI.SchLib</v>
      </c>
      <c r="H154" t="s">
        <v>425</v>
      </c>
      <c r="I154" t="s">
        <v>6542</v>
      </c>
      <c r="J154" t="s">
        <v>11411</v>
      </c>
      <c r="K154" s="3">
        <v>4.6999999999999997E-5</v>
      </c>
      <c r="L154" t="s">
        <v>11409</v>
      </c>
      <c r="M154" t="s">
        <v>11400</v>
      </c>
      <c r="N154" t="s">
        <v>11298</v>
      </c>
      <c r="O154" t="s">
        <v>26</v>
      </c>
      <c r="P154" t="s">
        <v>12223</v>
      </c>
    </row>
    <row r="155" spans="1:24">
      <c r="A155" t="s">
        <v>11345</v>
      </c>
      <c r="B155" t="s">
        <v>11345</v>
      </c>
      <c r="C155" t="s">
        <v>11391</v>
      </c>
      <c r="D155" t="s">
        <v>11400</v>
      </c>
      <c r="E155">
        <v>7643</v>
      </c>
      <c r="F155" t="s">
        <v>11405</v>
      </c>
      <c r="G155" t="str">
        <f>Config!$B$5</f>
        <v>SCH/L_ANSI.SchLib</v>
      </c>
      <c r="H155" t="s">
        <v>425</v>
      </c>
      <c r="I155" t="s">
        <v>6542</v>
      </c>
      <c r="J155" t="s">
        <v>11411</v>
      </c>
      <c r="K155" s="3">
        <v>4.6999999999999999E-4</v>
      </c>
      <c r="L155" t="s">
        <v>11409</v>
      </c>
      <c r="M155" t="s">
        <v>11400</v>
      </c>
      <c r="N155" t="s">
        <v>11299</v>
      </c>
      <c r="O155" t="s">
        <v>26</v>
      </c>
      <c r="P155" t="s">
        <v>12224</v>
      </c>
    </row>
    <row r="156" spans="1:24">
      <c r="A156" t="s">
        <v>11346</v>
      </c>
      <c r="B156" t="s">
        <v>11346</v>
      </c>
      <c r="C156" t="s">
        <v>11392</v>
      </c>
      <c r="D156" t="s">
        <v>11400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11411</v>
      </c>
      <c r="K156" s="3">
        <v>4.6999999999999999E-6</v>
      </c>
      <c r="L156" t="s">
        <v>11409</v>
      </c>
      <c r="M156" t="s">
        <v>11400</v>
      </c>
      <c r="N156" t="s">
        <v>11300</v>
      </c>
      <c r="O156" t="s">
        <v>26</v>
      </c>
      <c r="P156" t="s">
        <v>12225</v>
      </c>
    </row>
    <row r="157" spans="1:24">
      <c r="A157" t="s">
        <v>11347</v>
      </c>
      <c r="B157" t="s">
        <v>11347</v>
      </c>
      <c r="C157" t="s">
        <v>11393</v>
      </c>
      <c r="D157" t="s">
        <v>11400</v>
      </c>
      <c r="E157">
        <v>7643</v>
      </c>
      <c r="F157" t="s">
        <v>11406</v>
      </c>
      <c r="G157" t="str">
        <f>Config!$B$5</f>
        <v>SCH/L_ANSI.SchLib</v>
      </c>
      <c r="H157" t="s">
        <v>425</v>
      </c>
      <c r="I157" t="s">
        <v>6542</v>
      </c>
      <c r="J157" t="s">
        <v>11411</v>
      </c>
      <c r="K157" s="3">
        <v>6.7999999999999999E-5</v>
      </c>
      <c r="L157" t="s">
        <v>11409</v>
      </c>
      <c r="M157" t="s">
        <v>11400</v>
      </c>
      <c r="N157" t="s">
        <v>11301</v>
      </c>
      <c r="O157" t="s">
        <v>26</v>
      </c>
      <c r="P157" t="s">
        <v>12226</v>
      </c>
    </row>
    <row r="158" spans="1:24">
      <c r="A158" t="s">
        <v>11348</v>
      </c>
      <c r="B158" t="s">
        <v>11348</v>
      </c>
      <c r="C158" t="s">
        <v>11394</v>
      </c>
      <c r="D158" t="s">
        <v>11400</v>
      </c>
      <c r="E158">
        <v>7643</v>
      </c>
      <c r="F158" t="s">
        <v>11407</v>
      </c>
      <c r="G158" t="str">
        <f>Config!$B$5</f>
        <v>SCH/L_ANSI.SchLib</v>
      </c>
      <c r="H158" t="s">
        <v>425</v>
      </c>
      <c r="I158" t="s">
        <v>6542</v>
      </c>
      <c r="J158" t="s">
        <v>11411</v>
      </c>
      <c r="K158" s="3">
        <v>6.8000000000000005E-4</v>
      </c>
      <c r="L158" t="s">
        <v>11409</v>
      </c>
      <c r="M158" t="s">
        <v>11400</v>
      </c>
      <c r="N158" t="s">
        <v>11302</v>
      </c>
      <c r="O158" t="s">
        <v>26</v>
      </c>
      <c r="P158" t="s">
        <v>12227</v>
      </c>
    </row>
    <row r="159" spans="1:24">
      <c r="A159" t="s">
        <v>11349</v>
      </c>
      <c r="B159" t="s">
        <v>11349</v>
      </c>
      <c r="C159" t="s">
        <v>11395</v>
      </c>
      <c r="D159" t="s">
        <v>11400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11411</v>
      </c>
      <c r="K159" s="3">
        <v>6.8000000000000001E-6</v>
      </c>
      <c r="L159" t="s">
        <v>11409</v>
      </c>
      <c r="M159" t="s">
        <v>11400</v>
      </c>
      <c r="N159" t="s">
        <v>11303</v>
      </c>
      <c r="O159" t="s">
        <v>26</v>
      </c>
      <c r="P159" t="s">
        <v>12228</v>
      </c>
    </row>
    <row r="160" spans="1:24">
      <c r="A160" t="s">
        <v>11350</v>
      </c>
      <c r="B160" t="s">
        <v>11350</v>
      </c>
      <c r="C160" t="s">
        <v>11396</v>
      </c>
      <c r="D160" t="s">
        <v>11400</v>
      </c>
      <c r="E160">
        <v>7643</v>
      </c>
      <c r="F160" t="s">
        <v>11408</v>
      </c>
      <c r="G160" t="str">
        <f>Config!$B$5</f>
        <v>SCH/L_ANSI.SchLib</v>
      </c>
      <c r="H160" t="s">
        <v>425</v>
      </c>
      <c r="I160" t="s">
        <v>6542</v>
      </c>
      <c r="J160" t="s">
        <v>11411</v>
      </c>
      <c r="K160" s="3">
        <v>8.2000000000000001E-5</v>
      </c>
      <c r="L160" t="s">
        <v>11409</v>
      </c>
      <c r="M160" t="s">
        <v>11400</v>
      </c>
      <c r="N160" t="s">
        <v>11304</v>
      </c>
      <c r="O160" t="s">
        <v>26</v>
      </c>
      <c r="P160" t="s">
        <v>12229</v>
      </c>
    </row>
    <row r="161" spans="1:24">
      <c r="A161" t="s">
        <v>11351</v>
      </c>
      <c r="B161" t="s">
        <v>11351</v>
      </c>
      <c r="C161" t="s">
        <v>11397</v>
      </c>
      <c r="D161" t="s">
        <v>11400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11411</v>
      </c>
      <c r="K161" s="3">
        <v>8.1999999999999998E-4</v>
      </c>
      <c r="L161" t="s">
        <v>11409</v>
      </c>
      <c r="M161" t="s">
        <v>11400</v>
      </c>
      <c r="N161" t="s">
        <v>11305</v>
      </c>
      <c r="O161" t="s">
        <v>26</v>
      </c>
      <c r="P161" t="s">
        <v>12230</v>
      </c>
    </row>
    <row r="162" spans="1:24">
      <c r="A162" t="s">
        <v>11352</v>
      </c>
      <c r="B162" t="s">
        <v>11352</v>
      </c>
      <c r="C162" t="s">
        <v>11398</v>
      </c>
      <c r="D162" t="s">
        <v>11400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11411</v>
      </c>
      <c r="K162" s="3">
        <v>8.1999999999999994E-6</v>
      </c>
      <c r="L162" t="s">
        <v>11409</v>
      </c>
      <c r="M162" t="s">
        <v>11400</v>
      </c>
      <c r="N162" t="s">
        <v>11306</v>
      </c>
      <c r="O162" t="s">
        <v>26</v>
      </c>
      <c r="P162" t="s">
        <v>12240</v>
      </c>
    </row>
    <row r="163" spans="1:24">
      <c r="A163" t="s">
        <v>11353</v>
      </c>
      <c r="B163" t="s">
        <v>11353</v>
      </c>
      <c r="C163" t="s">
        <v>11399</v>
      </c>
      <c r="D163" t="s">
        <v>11400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11411</v>
      </c>
      <c r="K163" s="3">
        <v>3.3000000000000002E-7</v>
      </c>
      <c r="L163" s="26" t="s">
        <v>11409</v>
      </c>
      <c r="M163" t="s">
        <v>11400</v>
      </c>
      <c r="N163" t="s">
        <v>11307</v>
      </c>
      <c r="O163" t="s">
        <v>26</v>
      </c>
      <c r="P163" t="s">
        <v>12231</v>
      </c>
    </row>
    <row r="164" spans="1:24">
      <c r="A164" t="s">
        <v>13292</v>
      </c>
      <c r="B164" t="s">
        <v>13292</v>
      </c>
      <c r="C164" t="s">
        <v>13237</v>
      </c>
      <c r="D164" t="s">
        <v>4548</v>
      </c>
      <c r="E164">
        <v>603</v>
      </c>
      <c r="F164" t="s">
        <v>13279</v>
      </c>
      <c r="G164" t="str">
        <f>Config!$B$5</f>
        <v>SCH/L_ANSI.SchLib</v>
      </c>
      <c r="H164" t="s">
        <v>425</v>
      </c>
      <c r="I164" t="s">
        <v>462</v>
      </c>
      <c r="J164" t="s">
        <v>13214</v>
      </c>
      <c r="K164" s="3">
        <v>2.7000000000000001E-7</v>
      </c>
      <c r="L164" t="s">
        <v>13215</v>
      </c>
      <c r="M164" t="s">
        <v>4548</v>
      </c>
      <c r="N164" t="s">
        <v>13258</v>
      </c>
      <c r="O164" t="s">
        <v>26</v>
      </c>
      <c r="P164" t="s">
        <v>13216</v>
      </c>
    </row>
    <row r="165" spans="1:24">
      <c r="A165" t="s">
        <v>13293</v>
      </c>
      <c r="B165" t="s">
        <v>13293</v>
      </c>
      <c r="C165" t="s">
        <v>13238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13214</v>
      </c>
      <c r="K165" s="3">
        <v>9.9999999999999995E-7</v>
      </c>
      <c r="L165" t="s">
        <v>13215</v>
      </c>
      <c r="M165" t="s">
        <v>4548</v>
      </c>
      <c r="N165" t="s">
        <v>13259</v>
      </c>
      <c r="O165" t="s">
        <v>26</v>
      </c>
      <c r="P165" t="s">
        <v>13217</v>
      </c>
    </row>
    <row r="166" spans="1:24">
      <c r="A166" t="s">
        <v>13294</v>
      </c>
      <c r="B166" t="s">
        <v>13294</v>
      </c>
      <c r="C166" t="s">
        <v>13239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13214</v>
      </c>
      <c r="K166" s="3">
        <v>6.7999999999999995E-7</v>
      </c>
      <c r="L166" t="s">
        <v>13215</v>
      </c>
      <c r="M166" t="s">
        <v>4548</v>
      </c>
      <c r="N166" t="s">
        <v>13260</v>
      </c>
      <c r="O166" t="s">
        <v>26</v>
      </c>
      <c r="P166" t="s">
        <v>13218</v>
      </c>
    </row>
    <row r="167" spans="1:24">
      <c r="A167" t="s">
        <v>13295</v>
      </c>
      <c r="B167" t="s">
        <v>13295</v>
      </c>
      <c r="C167" t="s">
        <v>13240</v>
      </c>
      <c r="D167" t="s">
        <v>4548</v>
      </c>
      <c r="E167">
        <v>603</v>
      </c>
      <c r="F167" t="s">
        <v>13280</v>
      </c>
      <c r="G167" t="str">
        <f>Config!$B$5</f>
        <v>SCH/L_ANSI.SchLib</v>
      </c>
      <c r="H167" t="s">
        <v>425</v>
      </c>
      <c r="I167" t="s">
        <v>462</v>
      </c>
      <c r="J167" t="s">
        <v>13214</v>
      </c>
      <c r="K167" s="3">
        <v>1.1999999999999999E-6</v>
      </c>
      <c r="L167" t="s">
        <v>13215</v>
      </c>
      <c r="M167" t="s">
        <v>4548</v>
      </c>
      <c r="N167" t="s">
        <v>13261</v>
      </c>
      <c r="O167" t="s">
        <v>26</v>
      </c>
      <c r="P167" t="s">
        <v>13219</v>
      </c>
    </row>
    <row r="168" spans="1:24">
      <c r="A168" t="s">
        <v>13296</v>
      </c>
      <c r="B168" t="s">
        <v>13296</v>
      </c>
      <c r="C168" t="s">
        <v>13241</v>
      </c>
      <c r="D168" t="s">
        <v>4548</v>
      </c>
      <c r="E168">
        <v>603</v>
      </c>
      <c r="F168" t="s">
        <v>13281</v>
      </c>
      <c r="G168" t="str">
        <f>Config!$B$5</f>
        <v>SCH/L_ANSI.SchLib</v>
      </c>
      <c r="H168" t="s">
        <v>425</v>
      </c>
      <c r="I168" t="s">
        <v>462</v>
      </c>
      <c r="J168" t="s">
        <v>13214</v>
      </c>
      <c r="K168" s="3">
        <v>5.6000000000000004E-7</v>
      </c>
      <c r="L168" t="s">
        <v>13215</v>
      </c>
      <c r="M168" t="s">
        <v>4548</v>
      </c>
      <c r="N168" t="s">
        <v>13262</v>
      </c>
      <c r="O168" t="s">
        <v>26</v>
      </c>
      <c r="P168" t="s">
        <v>13220</v>
      </c>
      <c r="U168" t="s">
        <v>4594</v>
      </c>
      <c r="V168" t="s">
        <v>13313</v>
      </c>
      <c r="W168" t="s">
        <v>4561</v>
      </c>
      <c r="X168" t="s">
        <v>13314</v>
      </c>
    </row>
    <row r="169" spans="1:24">
      <c r="A169" t="s">
        <v>13297</v>
      </c>
      <c r="B169" t="s">
        <v>13297</v>
      </c>
      <c r="C169" t="s">
        <v>13242</v>
      </c>
      <c r="D169" t="s">
        <v>4548</v>
      </c>
      <c r="E169">
        <v>603</v>
      </c>
      <c r="F169" t="s">
        <v>13282</v>
      </c>
      <c r="G169" t="str">
        <f>Config!$B$5</f>
        <v>SCH/L_ANSI.SchLib</v>
      </c>
      <c r="H169" t="s">
        <v>425</v>
      </c>
      <c r="I169" t="s">
        <v>462</v>
      </c>
      <c r="J169" t="s">
        <v>13214</v>
      </c>
      <c r="K169" s="3">
        <v>8.1999999999999998E-7</v>
      </c>
      <c r="L169" t="s">
        <v>13215</v>
      </c>
      <c r="M169" t="s">
        <v>4548</v>
      </c>
      <c r="N169" t="s">
        <v>13263</v>
      </c>
      <c r="O169" t="s">
        <v>26</v>
      </c>
      <c r="P169" t="s">
        <v>13221</v>
      </c>
    </row>
    <row r="170" spans="1:24">
      <c r="A170" t="s">
        <v>13298</v>
      </c>
      <c r="B170" t="s">
        <v>13298</v>
      </c>
      <c r="C170" t="s">
        <v>13243</v>
      </c>
      <c r="D170" t="s">
        <v>4548</v>
      </c>
      <c r="E170">
        <v>603</v>
      </c>
      <c r="F170" t="s">
        <v>13283</v>
      </c>
      <c r="G170" t="str">
        <f>Config!$B$5</f>
        <v>SCH/L_ANSI.SchLib</v>
      </c>
      <c r="H170" t="s">
        <v>425</v>
      </c>
      <c r="I170" t="s">
        <v>462</v>
      </c>
      <c r="J170" t="s">
        <v>13214</v>
      </c>
      <c r="K170" s="3">
        <v>1.7999999999999999E-6</v>
      </c>
      <c r="L170" t="s">
        <v>13215</v>
      </c>
      <c r="M170" t="s">
        <v>4548</v>
      </c>
      <c r="N170" t="s">
        <v>13264</v>
      </c>
      <c r="O170" t="s">
        <v>26</v>
      </c>
      <c r="P170" t="s">
        <v>13222</v>
      </c>
    </row>
    <row r="171" spans="1:24">
      <c r="A171" t="s">
        <v>13299</v>
      </c>
      <c r="B171" t="s">
        <v>13299</v>
      </c>
      <c r="C171" t="s">
        <v>13244</v>
      </c>
      <c r="D171" t="s">
        <v>4548</v>
      </c>
      <c r="E171">
        <v>603</v>
      </c>
      <c r="F171" t="s">
        <v>13284</v>
      </c>
      <c r="G171" t="str">
        <f>Config!$B$5</f>
        <v>SCH/L_ANSI.SchLib</v>
      </c>
      <c r="H171" t="s">
        <v>425</v>
      </c>
      <c r="I171" t="s">
        <v>462</v>
      </c>
      <c r="J171" t="s">
        <v>13214</v>
      </c>
      <c r="K171" s="3">
        <v>9.9999999999999995E-8</v>
      </c>
      <c r="L171" t="s">
        <v>13215</v>
      </c>
      <c r="M171" t="s">
        <v>4548</v>
      </c>
      <c r="N171" t="s">
        <v>13265</v>
      </c>
      <c r="O171" t="s">
        <v>26</v>
      </c>
      <c r="P171" t="s">
        <v>13223</v>
      </c>
    </row>
    <row r="172" spans="1:24">
      <c r="A172" t="s">
        <v>13300</v>
      </c>
      <c r="B172" t="s">
        <v>13300</v>
      </c>
      <c r="C172" t="s">
        <v>13245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13214</v>
      </c>
      <c r="K172" s="3">
        <v>4.7E-7</v>
      </c>
      <c r="L172" t="s">
        <v>13215</v>
      </c>
      <c r="M172" t="s">
        <v>4548</v>
      </c>
      <c r="N172" t="s">
        <v>13266</v>
      </c>
      <c r="O172" t="s">
        <v>26</v>
      </c>
      <c r="P172" t="s">
        <v>13224</v>
      </c>
    </row>
    <row r="173" spans="1:24">
      <c r="A173" t="s">
        <v>13301</v>
      </c>
      <c r="B173" t="s">
        <v>13301</v>
      </c>
      <c r="C173" t="s">
        <v>13246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13214</v>
      </c>
      <c r="K173" s="3">
        <v>2.2000000000000001E-6</v>
      </c>
      <c r="L173" t="s">
        <v>13215</v>
      </c>
      <c r="M173" t="s">
        <v>4548</v>
      </c>
      <c r="N173" t="s">
        <v>13267</v>
      </c>
      <c r="O173" t="s">
        <v>26</v>
      </c>
      <c r="P173" t="s">
        <v>13225</v>
      </c>
    </row>
    <row r="174" spans="1:24">
      <c r="A174" t="s">
        <v>13302</v>
      </c>
      <c r="B174" t="s">
        <v>13302</v>
      </c>
      <c r="C174" t="s">
        <v>13247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13214</v>
      </c>
      <c r="K174" s="3">
        <v>2.2000000000000001E-7</v>
      </c>
      <c r="L174" t="s">
        <v>13215</v>
      </c>
      <c r="M174" t="s">
        <v>4548</v>
      </c>
      <c r="N174" t="s">
        <v>13268</v>
      </c>
      <c r="O174" t="s">
        <v>26</v>
      </c>
      <c r="P174" t="s">
        <v>13226</v>
      </c>
    </row>
    <row r="175" spans="1:24">
      <c r="A175" t="s">
        <v>13303</v>
      </c>
      <c r="B175" t="s">
        <v>13303</v>
      </c>
      <c r="C175" t="s">
        <v>13248</v>
      </c>
      <c r="D175" t="s">
        <v>4548</v>
      </c>
      <c r="E175">
        <v>603</v>
      </c>
      <c r="F175" t="s">
        <v>13285</v>
      </c>
      <c r="G175" t="str">
        <f>Config!$B$5</f>
        <v>SCH/L_ANSI.SchLib</v>
      </c>
      <c r="H175" t="s">
        <v>425</v>
      </c>
      <c r="I175" t="s">
        <v>462</v>
      </c>
      <c r="J175" t="s">
        <v>13214</v>
      </c>
      <c r="K175" s="3">
        <v>1.1999999999999999E-7</v>
      </c>
      <c r="L175" t="s">
        <v>13215</v>
      </c>
      <c r="M175" t="s">
        <v>4548</v>
      </c>
      <c r="N175" t="s">
        <v>13269</v>
      </c>
      <c r="O175" t="s">
        <v>26</v>
      </c>
      <c r="P175" t="s">
        <v>13227</v>
      </c>
    </row>
    <row r="176" spans="1:24">
      <c r="A176" t="s">
        <v>13304</v>
      </c>
      <c r="B176" t="s">
        <v>13304</v>
      </c>
      <c r="C176" t="s">
        <v>13249</v>
      </c>
      <c r="D176" t="s">
        <v>4548</v>
      </c>
      <c r="E176">
        <v>603</v>
      </c>
      <c r="F176" t="s">
        <v>13286</v>
      </c>
      <c r="G176" t="str">
        <f>Config!$B$5</f>
        <v>SCH/L_ANSI.SchLib</v>
      </c>
      <c r="H176" t="s">
        <v>425</v>
      </c>
      <c r="I176" t="s">
        <v>462</v>
      </c>
      <c r="J176" t="s">
        <v>13214</v>
      </c>
      <c r="K176" s="3">
        <v>6.8E-8</v>
      </c>
      <c r="L176" t="s">
        <v>13215</v>
      </c>
      <c r="M176" t="s">
        <v>4548</v>
      </c>
      <c r="N176" t="s">
        <v>13270</v>
      </c>
      <c r="O176" t="s">
        <v>26</v>
      </c>
      <c r="P176" t="s">
        <v>13228</v>
      </c>
    </row>
    <row r="177" spans="1:24">
      <c r="A177" t="s">
        <v>13305</v>
      </c>
      <c r="B177" t="s">
        <v>13305</v>
      </c>
      <c r="C177" t="s">
        <v>13250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13214</v>
      </c>
      <c r="K177" s="3">
        <v>1.5E-6</v>
      </c>
      <c r="L177" t="s">
        <v>13215</v>
      </c>
      <c r="M177" t="s">
        <v>4548</v>
      </c>
      <c r="N177" t="s">
        <v>13271</v>
      </c>
      <c r="O177" t="s">
        <v>26</v>
      </c>
      <c r="P177" t="s">
        <v>13229</v>
      </c>
    </row>
    <row r="178" spans="1:24">
      <c r="A178" t="s">
        <v>13306</v>
      </c>
      <c r="B178" t="s">
        <v>13306</v>
      </c>
      <c r="C178" t="s">
        <v>13251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13214</v>
      </c>
      <c r="K178" s="3">
        <v>3.3000000000000002E-7</v>
      </c>
      <c r="L178" t="s">
        <v>13215</v>
      </c>
      <c r="M178" t="s">
        <v>4548</v>
      </c>
      <c r="N178" t="s">
        <v>13272</v>
      </c>
      <c r="O178" t="s">
        <v>26</v>
      </c>
      <c r="P178" t="s">
        <v>13230</v>
      </c>
    </row>
    <row r="179" spans="1:24">
      <c r="A179" t="s">
        <v>13307</v>
      </c>
      <c r="B179" t="s">
        <v>13307</v>
      </c>
      <c r="C179" t="s">
        <v>13252</v>
      </c>
      <c r="D179" t="s">
        <v>4548</v>
      </c>
      <c r="E179">
        <v>603</v>
      </c>
      <c r="F179" t="s">
        <v>13287</v>
      </c>
      <c r="G179" t="str">
        <f>Config!$B$5</f>
        <v>SCH/L_ANSI.SchLib</v>
      </c>
      <c r="H179" t="s">
        <v>425</v>
      </c>
      <c r="I179" t="s">
        <v>462</v>
      </c>
      <c r="J179" t="s">
        <v>13214</v>
      </c>
      <c r="K179" s="3">
        <v>2.7E-6</v>
      </c>
      <c r="L179" t="s">
        <v>13215</v>
      </c>
      <c r="M179" t="s">
        <v>4548</v>
      </c>
      <c r="N179" t="s">
        <v>13273</v>
      </c>
      <c r="O179" t="s">
        <v>26</v>
      </c>
      <c r="P179" t="s">
        <v>13231</v>
      </c>
    </row>
    <row r="180" spans="1:24">
      <c r="A180" t="s">
        <v>13308</v>
      </c>
      <c r="B180" t="s">
        <v>13308</v>
      </c>
      <c r="C180" t="s">
        <v>13253</v>
      </c>
      <c r="D180" t="s">
        <v>4548</v>
      </c>
      <c r="E180">
        <v>603</v>
      </c>
      <c r="F180" t="s">
        <v>13288</v>
      </c>
      <c r="G180" t="str">
        <f>Config!$B$5</f>
        <v>SCH/L_ANSI.SchLib</v>
      </c>
      <c r="H180" t="s">
        <v>425</v>
      </c>
      <c r="I180" t="s">
        <v>462</v>
      </c>
      <c r="J180" t="s">
        <v>13214</v>
      </c>
      <c r="K180" s="3">
        <v>4.6999999999999997E-8</v>
      </c>
      <c r="L180" t="s">
        <v>13215</v>
      </c>
      <c r="M180" t="s">
        <v>4548</v>
      </c>
      <c r="N180" t="s">
        <v>13274</v>
      </c>
      <c r="O180" t="s">
        <v>26</v>
      </c>
      <c r="P180" t="s">
        <v>13232</v>
      </c>
    </row>
    <row r="181" spans="1:24">
      <c r="A181" t="s">
        <v>13309</v>
      </c>
      <c r="B181" t="s">
        <v>13309</v>
      </c>
      <c r="C181" t="s">
        <v>13254</v>
      </c>
      <c r="D181" t="s">
        <v>4548</v>
      </c>
      <c r="E181">
        <v>603</v>
      </c>
      <c r="F181" t="s">
        <v>13289</v>
      </c>
      <c r="G181" t="str">
        <f>Config!$B$5</f>
        <v>SCH/L_ANSI.SchLib</v>
      </c>
      <c r="H181" t="s">
        <v>425</v>
      </c>
      <c r="I181" t="s">
        <v>462</v>
      </c>
      <c r="J181" t="s">
        <v>13214</v>
      </c>
      <c r="K181" s="3">
        <v>8.2000000000000006E-8</v>
      </c>
      <c r="L181" t="s">
        <v>13215</v>
      </c>
      <c r="M181" t="s">
        <v>4548</v>
      </c>
      <c r="N181" t="s">
        <v>13275</v>
      </c>
      <c r="O181" t="s">
        <v>26</v>
      </c>
      <c r="P181" t="s">
        <v>13233</v>
      </c>
    </row>
    <row r="182" spans="1:24">
      <c r="A182" t="s">
        <v>13310</v>
      </c>
      <c r="B182" t="s">
        <v>13310</v>
      </c>
      <c r="C182" t="s">
        <v>13255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13214</v>
      </c>
      <c r="K182" s="3">
        <v>1.4999999999999999E-7</v>
      </c>
      <c r="L182" t="s">
        <v>13215</v>
      </c>
      <c r="M182" t="s">
        <v>4548</v>
      </c>
      <c r="N182" t="s">
        <v>13276</v>
      </c>
      <c r="O182" t="s">
        <v>26</v>
      </c>
      <c r="P182" t="s">
        <v>13234</v>
      </c>
    </row>
    <row r="183" spans="1:24">
      <c r="A183" t="s">
        <v>13311</v>
      </c>
      <c r="B183" t="s">
        <v>13311</v>
      </c>
      <c r="C183" t="s">
        <v>13256</v>
      </c>
      <c r="D183" t="s">
        <v>4548</v>
      </c>
      <c r="E183">
        <v>603</v>
      </c>
      <c r="F183" t="s">
        <v>13290</v>
      </c>
      <c r="G183" t="str">
        <f>Config!$B$5</f>
        <v>SCH/L_ANSI.SchLib</v>
      </c>
      <c r="H183" t="s">
        <v>425</v>
      </c>
      <c r="I183" t="s">
        <v>462</v>
      </c>
      <c r="J183" t="s">
        <v>13214</v>
      </c>
      <c r="K183" s="3">
        <v>1.8E-7</v>
      </c>
      <c r="L183" t="s">
        <v>13215</v>
      </c>
      <c r="M183" t="s">
        <v>4548</v>
      </c>
      <c r="N183" t="s">
        <v>13277</v>
      </c>
      <c r="O183" t="s">
        <v>26</v>
      </c>
      <c r="P183" t="s">
        <v>13235</v>
      </c>
    </row>
    <row r="184" spans="1:24">
      <c r="A184" t="s">
        <v>13312</v>
      </c>
      <c r="B184" t="s">
        <v>13312</v>
      </c>
      <c r="C184" t="s">
        <v>13257</v>
      </c>
      <c r="D184" t="s">
        <v>4548</v>
      </c>
      <c r="E184">
        <v>603</v>
      </c>
      <c r="F184" t="s">
        <v>13291</v>
      </c>
      <c r="G184" t="str">
        <f>Config!$B$5</f>
        <v>SCH/L_ANSI.SchLib</v>
      </c>
      <c r="H184" t="s">
        <v>425</v>
      </c>
      <c r="I184" t="s">
        <v>462</v>
      </c>
      <c r="J184" t="s">
        <v>13214</v>
      </c>
      <c r="K184" s="3">
        <v>3.9000000000000002E-7</v>
      </c>
      <c r="L184" t="s">
        <v>13215</v>
      </c>
      <c r="M184" t="s">
        <v>4548</v>
      </c>
      <c r="N184" t="s">
        <v>13278</v>
      </c>
      <c r="O184" t="s">
        <v>26</v>
      </c>
      <c r="P184" t="s">
        <v>13236</v>
      </c>
    </row>
    <row r="185" spans="1:24">
      <c r="A185" t="s">
        <v>13356</v>
      </c>
      <c r="B185" t="s">
        <v>13356</v>
      </c>
      <c r="C185" t="s">
        <v>13355</v>
      </c>
      <c r="D185" t="s">
        <v>13350</v>
      </c>
      <c r="E185">
        <v>4040</v>
      </c>
      <c r="F185" t="s">
        <v>11404</v>
      </c>
      <c r="G185" t="str">
        <f>Config!$B$5</f>
        <v>SCH/L_ANSI.SchLib</v>
      </c>
      <c r="H185" t="s">
        <v>425</v>
      </c>
      <c r="I185" t="s">
        <v>6542</v>
      </c>
      <c r="J185" t="s">
        <v>13351</v>
      </c>
      <c r="K185" s="3">
        <v>4.6999999999999997E-5</v>
      </c>
      <c r="L185" t="s">
        <v>13354</v>
      </c>
      <c r="M185" t="s">
        <v>13350</v>
      </c>
      <c r="N185" t="s">
        <v>13353</v>
      </c>
      <c r="O185" t="s">
        <v>26</v>
      </c>
      <c r="P185" t="s">
        <v>13352</v>
      </c>
      <c r="U185" t="s">
        <v>13350</v>
      </c>
      <c r="V185" t="s">
        <v>13353</v>
      </c>
      <c r="W185" t="s">
        <v>4561</v>
      </c>
      <c r="X185" t="s">
        <v>13357</v>
      </c>
    </row>
    <row r="186" spans="1:24">
      <c r="A186" t="s">
        <v>14137</v>
      </c>
      <c r="B186" t="s">
        <v>14137</v>
      </c>
      <c r="E186" t="s">
        <v>14133</v>
      </c>
      <c r="G186" t="str">
        <f>Config!$B$5</f>
        <v>SCH/L_ANSI.SchLib</v>
      </c>
      <c r="H186" t="s">
        <v>14134</v>
      </c>
      <c r="I186" t="s">
        <v>14135</v>
      </c>
      <c r="J186" t="s">
        <v>14136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7"/>
  <sheetViews>
    <sheetView workbookViewId="0">
      <pane xSplit="2" ySplit="1" topLeftCell="C581" activePane="bottomRight" state="frozen"/>
      <selection pane="topRight" activeCell="C1" sqref="C1"/>
      <selection pane="bottomLeft" activeCell="A2" sqref="A2"/>
      <selection pane="bottomRight" activeCell="A617" sqref="A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12712</v>
      </c>
      <c r="O504" t="s">
        <v>7650</v>
      </c>
      <c r="P504" t="s">
        <v>12713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13651</v>
      </c>
      <c r="V516" s="9" t="s">
        <v>7070</v>
      </c>
      <c r="W516" t="s">
        <v>4561</v>
      </c>
      <c r="X516" s="9" t="s">
        <v>13650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13603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13604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10780</v>
      </c>
      <c r="B611" t="s">
        <v>10780</v>
      </c>
      <c r="C611" t="s">
        <v>10781</v>
      </c>
      <c r="D611" t="s">
        <v>10685</v>
      </c>
      <c r="E611" t="s">
        <v>2970</v>
      </c>
      <c r="F611" t="s">
        <v>10780</v>
      </c>
      <c r="G611" t="s">
        <v>2673</v>
      </c>
      <c r="H611" t="s">
        <v>427</v>
      </c>
      <c r="I611" t="s">
        <v>4239</v>
      </c>
      <c r="J611" t="s">
        <v>2971</v>
      </c>
      <c r="K611" t="s">
        <v>10783</v>
      </c>
      <c r="L611" t="s">
        <v>10784</v>
      </c>
      <c r="M611" t="s">
        <v>7944</v>
      </c>
      <c r="N611" t="s">
        <v>10780</v>
      </c>
      <c r="O611" t="s">
        <v>7650</v>
      </c>
      <c r="P611" t="s">
        <v>10785</v>
      </c>
      <c r="U611" t="s">
        <v>7944</v>
      </c>
      <c r="V611" t="s">
        <v>10780</v>
      </c>
      <c r="W611" t="s">
        <v>4561</v>
      </c>
      <c r="X611" t="s">
        <v>10786</v>
      </c>
      <c r="Y611" t="s">
        <v>4729</v>
      </c>
    </row>
    <row r="612" spans="1:25">
      <c r="A612" t="s">
        <v>10782</v>
      </c>
      <c r="B612" t="s">
        <v>10782</v>
      </c>
      <c r="C612" t="s">
        <v>10781</v>
      </c>
      <c r="D612" t="s">
        <v>10685</v>
      </c>
      <c r="E612" t="s">
        <v>3260</v>
      </c>
      <c r="F612" t="s">
        <v>10782</v>
      </c>
      <c r="G612" t="s">
        <v>2673</v>
      </c>
      <c r="H612" t="s">
        <v>427</v>
      </c>
      <c r="I612" t="s">
        <v>4239</v>
      </c>
      <c r="J612" t="s">
        <v>3261</v>
      </c>
      <c r="K612" t="s">
        <v>10783</v>
      </c>
      <c r="L612" t="s">
        <v>10784</v>
      </c>
      <c r="M612" t="s">
        <v>7944</v>
      </c>
      <c r="N612" t="s">
        <v>10782</v>
      </c>
      <c r="O612" t="s">
        <v>7650</v>
      </c>
      <c r="P612" t="s">
        <v>10787</v>
      </c>
      <c r="U612" t="s">
        <v>7944</v>
      </c>
      <c r="V612" t="s">
        <v>10782</v>
      </c>
      <c r="W612" t="s">
        <v>4561</v>
      </c>
      <c r="X612" t="s">
        <v>10788</v>
      </c>
      <c r="Y612" t="s">
        <v>4729</v>
      </c>
    </row>
    <row r="613" spans="1:25">
      <c r="A613" t="s">
        <v>10797</v>
      </c>
      <c r="B613" t="s">
        <v>10797</v>
      </c>
      <c r="C613" t="s">
        <v>10798</v>
      </c>
      <c r="D613" t="s">
        <v>10799</v>
      </c>
      <c r="E613" t="s">
        <v>10800</v>
      </c>
      <c r="F613" t="s">
        <v>10801</v>
      </c>
      <c r="G613" t="s">
        <v>2673</v>
      </c>
      <c r="H613" t="s">
        <v>10802</v>
      </c>
      <c r="I613" t="s">
        <v>6708</v>
      </c>
      <c r="J613" t="s">
        <v>12562</v>
      </c>
      <c r="L613" t="s">
        <v>10803</v>
      </c>
      <c r="M613" t="s">
        <v>10799</v>
      </c>
      <c r="N613" t="s">
        <v>10801</v>
      </c>
      <c r="O613" t="s">
        <v>7650</v>
      </c>
      <c r="P613" t="s">
        <v>10804</v>
      </c>
    </row>
    <row r="614" spans="1:25">
      <c r="A614" t="s">
        <v>6283</v>
      </c>
      <c r="B614" t="s">
        <v>6283</v>
      </c>
      <c r="C614" t="s">
        <v>11167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11169</v>
      </c>
      <c r="M614" t="s">
        <v>6741</v>
      </c>
      <c r="N614" t="s">
        <v>11166</v>
      </c>
      <c r="O614" t="s">
        <v>7650</v>
      </c>
      <c r="P614" t="s">
        <v>11168</v>
      </c>
      <c r="U614" t="s">
        <v>11171</v>
      </c>
      <c r="V614" t="s">
        <v>11170</v>
      </c>
      <c r="W614" t="s">
        <v>4561</v>
      </c>
      <c r="X614" t="s">
        <v>11172</v>
      </c>
    </row>
    <row r="615" spans="1:25">
      <c r="A615" t="s">
        <v>14106</v>
      </c>
      <c r="B615" t="s">
        <v>14106</v>
      </c>
      <c r="C615" t="s">
        <v>14108</v>
      </c>
      <c r="D615" t="s">
        <v>6222</v>
      </c>
      <c r="E615" t="s">
        <v>4723</v>
      </c>
      <c r="F615" t="s">
        <v>14106</v>
      </c>
      <c r="G615" t="s">
        <v>2673</v>
      </c>
      <c r="H615" t="s">
        <v>427</v>
      </c>
      <c r="I615" t="s">
        <v>2674</v>
      </c>
      <c r="J615" t="s">
        <v>4725</v>
      </c>
      <c r="K615" t="s">
        <v>10783</v>
      </c>
      <c r="L615" t="s">
        <v>14112</v>
      </c>
      <c r="M615" t="s">
        <v>6222</v>
      </c>
      <c r="N615" t="s">
        <v>14106</v>
      </c>
      <c r="O615" t="s">
        <v>7650</v>
      </c>
      <c r="P615" t="s">
        <v>14114</v>
      </c>
      <c r="U615" t="s">
        <v>14116</v>
      </c>
      <c r="V615" t="s">
        <v>14106</v>
      </c>
      <c r="W615" t="s">
        <v>4561</v>
      </c>
      <c r="X615" t="s">
        <v>14117</v>
      </c>
      <c r="Y615" t="s">
        <v>4729</v>
      </c>
    </row>
    <row r="616" spans="1:25">
      <c r="A616" t="s">
        <v>14107</v>
      </c>
      <c r="B616" t="s">
        <v>14107</v>
      </c>
      <c r="C616" t="s">
        <v>14109</v>
      </c>
      <c r="D616" t="s">
        <v>14110</v>
      </c>
      <c r="E616" t="s">
        <v>4723</v>
      </c>
      <c r="F616" t="s">
        <v>14107</v>
      </c>
      <c r="G616" t="s">
        <v>2673</v>
      </c>
      <c r="H616" t="s">
        <v>427</v>
      </c>
      <c r="I616" t="s">
        <v>2674</v>
      </c>
      <c r="J616" t="s">
        <v>4725</v>
      </c>
      <c r="K616" t="s">
        <v>14111</v>
      </c>
      <c r="L616" t="s">
        <v>14113</v>
      </c>
      <c r="M616" t="s">
        <v>6711</v>
      </c>
      <c r="N616" t="s">
        <v>14107</v>
      </c>
      <c r="O616" t="s">
        <v>7650</v>
      </c>
      <c r="P616" t="s">
        <v>14115</v>
      </c>
      <c r="U616" t="s">
        <v>6711</v>
      </c>
      <c r="V616" t="s">
        <v>14107</v>
      </c>
      <c r="W616" t="s">
        <v>4561</v>
      </c>
      <c r="X616" t="s">
        <v>14118</v>
      </c>
      <c r="Y616" t="s">
        <v>4729</v>
      </c>
    </row>
    <row r="617" spans="1:25">
      <c r="A617" t="s">
        <v>14154</v>
      </c>
      <c r="B617" t="s">
        <v>14154</v>
      </c>
      <c r="C617" t="s">
        <v>14155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14156</v>
      </c>
      <c r="U617" t="s">
        <v>14157</v>
      </c>
      <c r="V617" t="s">
        <v>6208</v>
      </c>
      <c r="W617" t="s">
        <v>4561</v>
      </c>
      <c r="X617" t="s">
        <v>14158</v>
      </c>
      <c r="Y617" t="s">
        <v>4730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3" sqref="I13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12722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12722</v>
      </c>
      <c r="G3" t="s">
        <v>12574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12722</v>
      </c>
      <c r="G4" t="s">
        <v>12575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11171</v>
      </c>
      <c r="P4" s="8" t="s">
        <v>13543</v>
      </c>
      <c r="Q4" t="s">
        <v>4561</v>
      </c>
      <c r="R4" s="8" t="s">
        <v>13544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12722</v>
      </c>
      <c r="G5" t="s">
        <v>12574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12116</v>
      </c>
      <c r="B6" t="s">
        <v>12117</v>
      </c>
      <c r="C6" t="s">
        <v>12118</v>
      </c>
      <c r="D6" t="s">
        <v>21</v>
      </c>
      <c r="E6" t="s">
        <v>4374</v>
      </c>
      <c r="F6" t="s">
        <v>12722</v>
      </c>
      <c r="G6" t="s">
        <v>12574</v>
      </c>
      <c r="H6" t="s">
        <v>4378</v>
      </c>
      <c r="I6" t="s">
        <v>4800</v>
      </c>
      <c r="J6" t="s">
        <v>4402</v>
      </c>
      <c r="K6" t="s">
        <v>4403</v>
      </c>
      <c r="L6" t="s">
        <v>12119</v>
      </c>
      <c r="M6" t="s">
        <v>26</v>
      </c>
      <c r="N6" t="s">
        <v>12120</v>
      </c>
      <c r="S6" t="s">
        <v>4403</v>
      </c>
      <c r="T6" t="s">
        <v>12116</v>
      </c>
      <c r="U6" t="s">
        <v>4561</v>
      </c>
      <c r="V6" t="s">
        <v>12121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12722</v>
      </c>
      <c r="G7" t="s">
        <v>12574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12722</v>
      </c>
      <c r="G8" t="s">
        <v>12575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12722</v>
      </c>
      <c r="G9" t="s">
        <v>12574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12722</v>
      </c>
      <c r="G10" t="s">
        <v>12574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12722</v>
      </c>
      <c r="G11" t="s">
        <v>12723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12722</v>
      </c>
      <c r="G12" t="s">
        <v>12574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12722</v>
      </c>
      <c r="G13" t="s">
        <v>12575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12722</v>
      </c>
      <c r="G14" t="s">
        <v>12573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12722</v>
      </c>
      <c r="G15" t="s">
        <v>12576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12722</v>
      </c>
      <c r="G16" t="s">
        <v>12573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12722</v>
      </c>
      <c r="G17" t="s">
        <v>12573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12722</v>
      </c>
      <c r="G18" t="s">
        <v>12573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12722</v>
      </c>
      <c r="G19" t="s">
        <v>12573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12722</v>
      </c>
      <c r="G20" t="s">
        <v>12573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12722</v>
      </c>
      <c r="G21" t="s">
        <v>12573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12722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11130</v>
      </c>
      <c r="B23" t="s">
        <v>11130</v>
      </c>
      <c r="C23" t="s">
        <v>11131</v>
      </c>
      <c r="D23" t="s">
        <v>6279</v>
      </c>
      <c r="E23" t="s">
        <v>8094</v>
      </c>
      <c r="F23" t="s">
        <v>12722</v>
      </c>
      <c r="G23" t="s">
        <v>12573</v>
      </c>
      <c r="H23" t="s">
        <v>6745</v>
      </c>
      <c r="I23" t="s">
        <v>7477</v>
      </c>
      <c r="J23" t="s">
        <v>11132</v>
      </c>
      <c r="K23" t="s">
        <v>6279</v>
      </c>
      <c r="L23" t="s">
        <v>11130</v>
      </c>
      <c r="M23" t="s">
        <v>26</v>
      </c>
      <c r="N23" t="s">
        <v>11133</v>
      </c>
      <c r="S23" t="s">
        <v>13529</v>
      </c>
      <c r="T23" t="s">
        <v>13527</v>
      </c>
      <c r="U23" t="s">
        <v>4561</v>
      </c>
      <c r="V23" t="s">
        <v>13528</v>
      </c>
    </row>
    <row r="24" spans="1:23">
      <c r="A24" t="s">
        <v>11134</v>
      </c>
      <c r="B24" t="s">
        <v>11134</v>
      </c>
      <c r="C24" t="s">
        <v>11138</v>
      </c>
      <c r="D24" t="s">
        <v>11136</v>
      </c>
      <c r="E24" t="s">
        <v>11139</v>
      </c>
      <c r="F24" t="s">
        <v>12722</v>
      </c>
      <c r="G24" t="s">
        <v>12574</v>
      </c>
      <c r="H24" t="s">
        <v>6708</v>
      </c>
      <c r="I24" t="s">
        <v>11140</v>
      </c>
      <c r="J24" t="s">
        <v>11137</v>
      </c>
      <c r="K24" t="s">
        <v>11136</v>
      </c>
      <c r="L24" t="s">
        <v>11134</v>
      </c>
      <c r="M24" t="s">
        <v>26</v>
      </c>
      <c r="N24" t="s">
        <v>11135</v>
      </c>
      <c r="S24" t="s">
        <v>4422</v>
      </c>
      <c r="T24" t="s">
        <v>11134</v>
      </c>
      <c r="U24" t="s">
        <v>4561</v>
      </c>
      <c r="V24" t="s">
        <v>11141</v>
      </c>
    </row>
    <row r="25" spans="1:23">
      <c r="A25" t="s">
        <v>12563</v>
      </c>
      <c r="B25" t="s">
        <v>12563</v>
      </c>
      <c r="C25" t="s">
        <v>12564</v>
      </c>
      <c r="D25" t="s">
        <v>6279</v>
      </c>
      <c r="E25" t="s">
        <v>12570</v>
      </c>
      <c r="F25" t="s">
        <v>12722</v>
      </c>
      <c r="G25" t="s">
        <v>12572</v>
      </c>
      <c r="H25" t="s">
        <v>4378</v>
      </c>
      <c r="I25" t="s">
        <v>12571</v>
      </c>
      <c r="J25" t="s">
        <v>12565</v>
      </c>
      <c r="K25" t="s">
        <v>6279</v>
      </c>
      <c r="L25" t="s">
        <v>12566</v>
      </c>
      <c r="M25" t="s">
        <v>26</v>
      </c>
      <c r="N25" t="s">
        <v>12567</v>
      </c>
      <c r="S25" t="s">
        <v>4403</v>
      </c>
      <c r="T25" t="s">
        <v>12568</v>
      </c>
      <c r="U25" t="s">
        <v>4561</v>
      </c>
      <c r="V25" t="s">
        <v>12569</v>
      </c>
    </row>
    <row r="26" spans="1:23">
      <c r="A26" t="s">
        <v>12935</v>
      </c>
      <c r="B26" t="s">
        <v>12935</v>
      </c>
      <c r="C26" t="s">
        <v>12936</v>
      </c>
      <c r="D26" t="s">
        <v>6741</v>
      </c>
      <c r="E26" t="s">
        <v>12937</v>
      </c>
      <c r="F26" t="s">
        <v>12722</v>
      </c>
      <c r="G26" t="s">
        <v>12574</v>
      </c>
      <c r="H26" t="s">
        <v>4378</v>
      </c>
      <c r="I26" t="s">
        <v>12941</v>
      </c>
      <c r="J26" t="s">
        <v>12938</v>
      </c>
      <c r="K26" t="s">
        <v>6741</v>
      </c>
      <c r="L26" t="s">
        <v>12934</v>
      </c>
      <c r="M26" t="s">
        <v>26</v>
      </c>
      <c r="N26" t="s">
        <v>12939</v>
      </c>
      <c r="S26" t="s">
        <v>6741</v>
      </c>
      <c r="T26" t="s">
        <v>12934</v>
      </c>
      <c r="U26" t="s">
        <v>4561</v>
      </c>
      <c r="V26" t="s">
        <v>12940</v>
      </c>
    </row>
    <row r="27" spans="1:23" ht="15.75">
      <c r="A27" t="s">
        <v>13527</v>
      </c>
      <c r="B27" t="s">
        <v>13527</v>
      </c>
      <c r="C27" t="s">
        <v>13605</v>
      </c>
      <c r="D27" t="s">
        <v>13529</v>
      </c>
      <c r="E27" t="s">
        <v>7812</v>
      </c>
      <c r="F27" t="s">
        <v>12722</v>
      </c>
      <c r="G27" t="s">
        <v>12573</v>
      </c>
      <c r="H27" t="s">
        <v>6745</v>
      </c>
      <c r="I27" t="s">
        <v>7477</v>
      </c>
      <c r="J27" t="s">
        <v>13606</v>
      </c>
      <c r="R27" s="8"/>
      <c r="S27" s="42" t="s">
        <v>13529</v>
      </c>
      <c r="T27" s="42" t="s">
        <v>13527</v>
      </c>
      <c r="U27" t="s">
        <v>4561</v>
      </c>
      <c r="V27" s="8" t="s">
        <v>13528</v>
      </c>
      <c r="W27" t="s">
        <v>4729</v>
      </c>
    </row>
    <row r="28" spans="1:23">
      <c r="A28" t="s">
        <v>13607</v>
      </c>
      <c r="B28" t="s">
        <v>13607</v>
      </c>
      <c r="C28" t="s">
        <v>13608</v>
      </c>
      <c r="D28" t="s">
        <v>6741</v>
      </c>
      <c r="E28" t="s">
        <v>11139</v>
      </c>
      <c r="F28" t="s">
        <v>12722</v>
      </c>
      <c r="G28" t="s">
        <v>12574</v>
      </c>
      <c r="H28" t="s">
        <v>6708</v>
      </c>
      <c r="I28" t="s">
        <v>11140</v>
      </c>
      <c r="J28" t="s">
        <v>13612</v>
      </c>
      <c r="K28" t="s">
        <v>6741</v>
      </c>
      <c r="L28" t="s">
        <v>13611</v>
      </c>
      <c r="M28" t="s">
        <v>26</v>
      </c>
      <c r="N28" t="s">
        <v>13610</v>
      </c>
      <c r="S28" t="s">
        <v>6741</v>
      </c>
      <c r="T28" t="s">
        <v>13607</v>
      </c>
      <c r="U28" t="s">
        <v>4561</v>
      </c>
      <c r="V28" t="s">
        <v>13609</v>
      </c>
    </row>
    <row r="29" spans="1:23">
      <c r="A29" t="s">
        <v>13613</v>
      </c>
      <c r="B29" t="s">
        <v>13613</v>
      </c>
      <c r="C29" t="s">
        <v>13614</v>
      </c>
      <c r="D29" t="s">
        <v>13529</v>
      </c>
      <c r="E29" t="s">
        <v>7812</v>
      </c>
      <c r="F29" t="s">
        <v>12722</v>
      </c>
      <c r="G29" t="s">
        <v>12576</v>
      </c>
      <c r="H29" t="s">
        <v>6745</v>
      </c>
      <c r="I29" t="s">
        <v>7477</v>
      </c>
      <c r="J29" t="s">
        <v>13615</v>
      </c>
      <c r="S29" t="s">
        <v>13529</v>
      </c>
      <c r="T29" t="s">
        <v>13613</v>
      </c>
      <c r="U29" t="s">
        <v>4561</v>
      </c>
      <c r="V29" t="s">
        <v>13616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12585</v>
      </c>
      <c r="B2" t="s">
        <v>12585</v>
      </c>
      <c r="C2" t="s">
        <v>12986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12586</v>
      </c>
      <c r="K2" s="1"/>
      <c r="L2" s="1" t="s">
        <v>13508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12967</v>
      </c>
      <c r="B3" t="s">
        <v>12967</v>
      </c>
      <c r="C3" t="s">
        <v>12987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12948</v>
      </c>
      <c r="K3" s="1"/>
      <c r="L3" s="1" t="s">
        <v>13508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12968</v>
      </c>
      <c r="B4" t="s">
        <v>12968</v>
      </c>
      <c r="C4" t="s">
        <v>12988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12949</v>
      </c>
      <c r="K4" s="1"/>
      <c r="L4" s="1" t="s">
        <v>13508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12969</v>
      </c>
      <c r="B5" t="s">
        <v>12969</v>
      </c>
      <c r="C5" t="s">
        <v>12989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12950</v>
      </c>
      <c r="K5" s="1"/>
      <c r="L5" s="1" t="s">
        <v>13508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12970</v>
      </c>
      <c r="B6" t="s">
        <v>12970</v>
      </c>
      <c r="C6" t="s">
        <v>12990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12951</v>
      </c>
      <c r="K6" s="1"/>
      <c r="L6" s="1" t="s">
        <v>13508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12971</v>
      </c>
      <c r="B7" t="s">
        <v>12971</v>
      </c>
      <c r="C7" t="s">
        <v>12991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12952</v>
      </c>
      <c r="K7" s="1"/>
      <c r="L7" s="1" t="s">
        <v>13508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12972</v>
      </c>
      <c r="B8" t="s">
        <v>12972</v>
      </c>
      <c r="C8" t="s">
        <v>12992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12953</v>
      </c>
      <c r="K8" s="1"/>
      <c r="L8" s="1" t="s">
        <v>13508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12973</v>
      </c>
      <c r="B9" t="s">
        <v>12973</v>
      </c>
      <c r="C9" t="s">
        <v>12993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12954</v>
      </c>
      <c r="K9" s="1"/>
      <c r="L9" s="1" t="s">
        <v>13508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12974</v>
      </c>
      <c r="B10" t="s">
        <v>12974</v>
      </c>
      <c r="C10" t="s">
        <v>12994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12955</v>
      </c>
      <c r="K10" s="1"/>
      <c r="L10" s="1" t="s">
        <v>13508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12975</v>
      </c>
      <c r="B11" t="s">
        <v>12975</v>
      </c>
      <c r="C11" t="s">
        <v>12995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12956</v>
      </c>
      <c r="K11" s="1"/>
      <c r="L11" s="1" t="s">
        <v>13508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12976</v>
      </c>
      <c r="B12" t="s">
        <v>12976</v>
      </c>
      <c r="C12" t="s">
        <v>12996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12957</v>
      </c>
      <c r="K12" s="1"/>
      <c r="L12" s="1" t="s">
        <v>13508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12977</v>
      </c>
      <c r="B13" t="s">
        <v>12977</v>
      </c>
      <c r="C13" t="s">
        <v>12997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12958</v>
      </c>
      <c r="K13" s="1"/>
      <c r="L13" s="1" t="s">
        <v>13508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12978</v>
      </c>
      <c r="B14" t="s">
        <v>12978</v>
      </c>
      <c r="C14" t="s">
        <v>12998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12959</v>
      </c>
      <c r="K14" s="1"/>
      <c r="L14" s="1" t="s">
        <v>13508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12979</v>
      </c>
      <c r="B15" t="s">
        <v>12979</v>
      </c>
      <c r="C15" t="s">
        <v>12999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12960</v>
      </c>
      <c r="K15" s="1"/>
      <c r="L15" s="1" t="s">
        <v>13508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12980</v>
      </c>
      <c r="B16" t="s">
        <v>12980</v>
      </c>
      <c r="C16" t="s">
        <v>13000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12961</v>
      </c>
      <c r="K16" s="1"/>
      <c r="L16" s="1" t="s">
        <v>13508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12981</v>
      </c>
      <c r="B17" t="s">
        <v>12981</v>
      </c>
      <c r="C17" t="s">
        <v>13001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12962</v>
      </c>
      <c r="K17" s="1"/>
      <c r="L17" s="1" t="s">
        <v>13508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12982</v>
      </c>
      <c r="B18" t="s">
        <v>12982</v>
      </c>
      <c r="C18" t="s">
        <v>13002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12963</v>
      </c>
      <c r="K18" s="1"/>
      <c r="L18" s="1" t="s">
        <v>13508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12983</v>
      </c>
      <c r="B19" t="s">
        <v>12983</v>
      </c>
      <c r="C19" t="s">
        <v>13003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12964</v>
      </c>
      <c r="K19" s="1"/>
      <c r="L19" s="1" t="s">
        <v>13508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12984</v>
      </c>
      <c r="B20" t="s">
        <v>12984</v>
      </c>
      <c r="C20" t="s">
        <v>13004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12965</v>
      </c>
      <c r="K20" s="1"/>
      <c r="L20" s="1" t="s">
        <v>13508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12985</v>
      </c>
      <c r="B21" t="s">
        <v>12985</v>
      </c>
      <c r="C21" t="s">
        <v>13005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12966</v>
      </c>
      <c r="K21" s="1"/>
      <c r="L21" s="1" t="s">
        <v>13508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13096</v>
      </c>
      <c r="B22" t="s">
        <v>13096</v>
      </c>
      <c r="C22" t="s">
        <v>13097</v>
      </c>
      <c r="D22" t="s">
        <v>21</v>
      </c>
      <c r="G22" t="str">
        <f>Config!$B$7</f>
        <v>SCH/Connector.SchLib</v>
      </c>
      <c r="H22" t="s">
        <v>13098</v>
      </c>
      <c r="I22" t="s">
        <v>4625</v>
      </c>
      <c r="J22" t="s">
        <v>13099</v>
      </c>
      <c r="K22" s="1"/>
      <c r="L22" s="1" t="s">
        <v>13508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13100</v>
      </c>
      <c r="B23" t="s">
        <v>13100</v>
      </c>
      <c r="C23" t="s">
        <v>13101</v>
      </c>
      <c r="D23" t="s">
        <v>21</v>
      </c>
      <c r="G23" t="str">
        <f>Config!$B$7</f>
        <v>SCH/Connector.SchLib</v>
      </c>
      <c r="H23" t="s">
        <v>13102</v>
      </c>
      <c r="I23" t="s">
        <v>4625</v>
      </c>
      <c r="J23" t="s">
        <v>13103</v>
      </c>
      <c r="K23" s="1"/>
      <c r="L23" s="1" t="s">
        <v>13508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13104</v>
      </c>
      <c r="B24" t="s">
        <v>13104</v>
      </c>
      <c r="C24" t="s">
        <v>13105</v>
      </c>
      <c r="D24" t="s">
        <v>21</v>
      </c>
      <c r="G24" t="str">
        <f>Config!$B$7</f>
        <v>SCH/Connector.SchLib</v>
      </c>
      <c r="H24" t="s">
        <v>13106</v>
      </c>
      <c r="I24" t="s">
        <v>4625</v>
      </c>
      <c r="J24" t="s">
        <v>13107</v>
      </c>
      <c r="K24" s="1"/>
      <c r="L24" s="1" t="s">
        <v>13508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13108</v>
      </c>
      <c r="B25" t="s">
        <v>13108</v>
      </c>
      <c r="C25" t="s">
        <v>13109</v>
      </c>
      <c r="D25" t="s">
        <v>21</v>
      </c>
      <c r="G25" t="str">
        <f>Config!$B$7</f>
        <v>SCH/Connector.SchLib</v>
      </c>
      <c r="H25" t="s">
        <v>13110</v>
      </c>
      <c r="I25" t="s">
        <v>4625</v>
      </c>
      <c r="J25" t="s">
        <v>13111</v>
      </c>
      <c r="K25" s="1"/>
      <c r="L25" s="1" t="s">
        <v>13508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13112</v>
      </c>
      <c r="B26" t="s">
        <v>13112</v>
      </c>
      <c r="C26" t="s">
        <v>13113</v>
      </c>
      <c r="D26" t="s">
        <v>21</v>
      </c>
      <c r="G26" t="str">
        <f>Config!$B$7</f>
        <v>SCH/Connector.SchLib</v>
      </c>
      <c r="H26" t="s">
        <v>13114</v>
      </c>
      <c r="I26" t="s">
        <v>4625</v>
      </c>
      <c r="J26" t="s">
        <v>13115</v>
      </c>
      <c r="K26" s="1"/>
      <c r="L26" s="1" t="s">
        <v>13508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13116</v>
      </c>
      <c r="B27" t="s">
        <v>13116</v>
      </c>
      <c r="C27" t="s">
        <v>13117</v>
      </c>
      <c r="D27" t="s">
        <v>21</v>
      </c>
      <c r="G27" t="str">
        <f>Config!$B$7</f>
        <v>SCH/Connector.SchLib</v>
      </c>
      <c r="H27" t="s">
        <v>13118</v>
      </c>
      <c r="I27" t="s">
        <v>4625</v>
      </c>
      <c r="J27" t="s">
        <v>13119</v>
      </c>
      <c r="K27" s="1"/>
      <c r="L27" s="1" t="s">
        <v>13508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13120</v>
      </c>
      <c r="B28" t="s">
        <v>13120</v>
      </c>
      <c r="C28" t="s">
        <v>13121</v>
      </c>
      <c r="D28" t="s">
        <v>21</v>
      </c>
      <c r="G28" t="str">
        <f>Config!$B$7</f>
        <v>SCH/Connector.SchLib</v>
      </c>
      <c r="H28" t="s">
        <v>13122</v>
      </c>
      <c r="I28" t="s">
        <v>4625</v>
      </c>
      <c r="J28" t="s">
        <v>13123</v>
      </c>
      <c r="K28" s="1"/>
      <c r="L28" s="1" t="s">
        <v>13508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13124</v>
      </c>
      <c r="B29" t="s">
        <v>13124</v>
      </c>
      <c r="C29" t="s">
        <v>13125</v>
      </c>
      <c r="D29" t="s">
        <v>21</v>
      </c>
      <c r="G29" t="str">
        <f>Config!$B$7</f>
        <v>SCH/Connector.SchLib</v>
      </c>
      <c r="H29" t="s">
        <v>13126</v>
      </c>
      <c r="I29" t="s">
        <v>4625</v>
      </c>
      <c r="J29" t="s">
        <v>13127</v>
      </c>
      <c r="K29" s="1"/>
      <c r="L29" s="1" t="s">
        <v>13508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13128</v>
      </c>
      <c r="B30" t="s">
        <v>13128</v>
      </c>
      <c r="C30" t="s">
        <v>13129</v>
      </c>
      <c r="D30" t="s">
        <v>21</v>
      </c>
      <c r="G30" t="str">
        <f>Config!$B$7</f>
        <v>SCH/Connector.SchLib</v>
      </c>
      <c r="H30" t="s">
        <v>13130</v>
      </c>
      <c r="I30" t="s">
        <v>4625</v>
      </c>
      <c r="J30" t="s">
        <v>13131</v>
      </c>
      <c r="K30" s="1"/>
      <c r="L30" s="1" t="s">
        <v>13508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13132</v>
      </c>
      <c r="B31" t="s">
        <v>13132</v>
      </c>
      <c r="C31" t="s">
        <v>13133</v>
      </c>
      <c r="D31" t="s">
        <v>21</v>
      </c>
      <c r="G31" t="str">
        <f>Config!$B$7</f>
        <v>SCH/Connector.SchLib</v>
      </c>
      <c r="H31" t="s">
        <v>13134</v>
      </c>
      <c r="I31" t="s">
        <v>4625</v>
      </c>
      <c r="J31" t="s">
        <v>13135</v>
      </c>
      <c r="K31" s="1"/>
      <c r="L31" s="1" t="s">
        <v>13508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13136</v>
      </c>
      <c r="B32" t="s">
        <v>13136</v>
      </c>
      <c r="C32" t="s">
        <v>13137</v>
      </c>
      <c r="D32" t="s">
        <v>21</v>
      </c>
      <c r="G32" t="str">
        <f>Config!$B$7</f>
        <v>SCH/Connector.SchLib</v>
      </c>
      <c r="H32" t="s">
        <v>12328</v>
      </c>
      <c r="I32" t="s">
        <v>4625</v>
      </c>
      <c r="J32" t="s">
        <v>13138</v>
      </c>
      <c r="K32" s="1"/>
      <c r="L32" s="1" t="s">
        <v>13508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13139</v>
      </c>
      <c r="B33" t="s">
        <v>13139</v>
      </c>
      <c r="C33" t="s">
        <v>13140</v>
      </c>
      <c r="D33" t="s">
        <v>21</v>
      </c>
      <c r="G33" t="str">
        <f>Config!$B$7</f>
        <v>SCH/Connector.SchLib</v>
      </c>
      <c r="H33" t="s">
        <v>13141</v>
      </c>
      <c r="I33" t="s">
        <v>4625</v>
      </c>
      <c r="J33" t="s">
        <v>13142</v>
      </c>
      <c r="K33" s="1"/>
      <c r="L33" s="1" t="s">
        <v>13508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13143</v>
      </c>
      <c r="B34" t="s">
        <v>13143</v>
      </c>
      <c r="C34" t="s">
        <v>13144</v>
      </c>
      <c r="D34" t="s">
        <v>21</v>
      </c>
      <c r="G34" t="str">
        <f>Config!$B$7</f>
        <v>SCH/Connector.SchLib</v>
      </c>
      <c r="H34" t="s">
        <v>13145</v>
      </c>
      <c r="I34" t="s">
        <v>4625</v>
      </c>
      <c r="J34" t="s">
        <v>13146</v>
      </c>
      <c r="K34" s="1"/>
      <c r="L34" s="1" t="s">
        <v>13508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13147</v>
      </c>
      <c r="B35" t="s">
        <v>13147</v>
      </c>
      <c r="C35" t="s">
        <v>13148</v>
      </c>
      <c r="D35" t="s">
        <v>21</v>
      </c>
      <c r="G35" t="str">
        <f>Config!$B$7</f>
        <v>SCH/Connector.SchLib</v>
      </c>
      <c r="H35" t="s">
        <v>13149</v>
      </c>
      <c r="I35" t="s">
        <v>4625</v>
      </c>
      <c r="J35" t="s">
        <v>13150</v>
      </c>
      <c r="K35" s="1"/>
      <c r="L35" s="1" t="s">
        <v>13508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13151</v>
      </c>
      <c r="B36" t="s">
        <v>13151</v>
      </c>
      <c r="C36" t="s">
        <v>13152</v>
      </c>
      <c r="D36" t="s">
        <v>21</v>
      </c>
      <c r="G36" t="str">
        <f>Config!$B$7</f>
        <v>SCH/Connector.SchLib</v>
      </c>
      <c r="H36" t="s">
        <v>13153</v>
      </c>
      <c r="I36" t="s">
        <v>4625</v>
      </c>
      <c r="J36" t="s">
        <v>13154</v>
      </c>
      <c r="K36" s="1"/>
      <c r="L36" s="1" t="s">
        <v>13508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13155</v>
      </c>
      <c r="B37" t="s">
        <v>13155</v>
      </c>
      <c r="C37" t="s">
        <v>13156</v>
      </c>
      <c r="D37" t="s">
        <v>21</v>
      </c>
      <c r="G37" t="str">
        <f>Config!$B$7</f>
        <v>SCH/Connector.SchLib</v>
      </c>
      <c r="H37" t="s">
        <v>13157</v>
      </c>
      <c r="I37" t="s">
        <v>4625</v>
      </c>
      <c r="J37" t="s">
        <v>13158</v>
      </c>
      <c r="K37" s="1"/>
      <c r="L37" s="1" t="s">
        <v>13508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13159</v>
      </c>
      <c r="B38" t="s">
        <v>13159</v>
      </c>
      <c r="C38" t="s">
        <v>13160</v>
      </c>
      <c r="D38" t="s">
        <v>21</v>
      </c>
      <c r="G38" t="str">
        <f>Config!$B$7</f>
        <v>SCH/Connector.SchLib</v>
      </c>
      <c r="H38" t="s">
        <v>13161</v>
      </c>
      <c r="I38" t="s">
        <v>4625</v>
      </c>
      <c r="J38" t="s">
        <v>13162</v>
      </c>
      <c r="K38" s="1"/>
      <c r="L38" s="1" t="s">
        <v>13508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13163</v>
      </c>
      <c r="B39" t="s">
        <v>13163</v>
      </c>
      <c r="C39" t="s">
        <v>13164</v>
      </c>
      <c r="D39" t="s">
        <v>21</v>
      </c>
      <c r="G39" t="str">
        <f>Config!$B$7</f>
        <v>SCH/Connector.SchLib</v>
      </c>
      <c r="H39" t="s">
        <v>13165</v>
      </c>
      <c r="I39" t="s">
        <v>4625</v>
      </c>
      <c r="J39" t="s">
        <v>13166</v>
      </c>
      <c r="K39" s="1"/>
      <c r="L39" s="1" t="s">
        <v>13508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13167</v>
      </c>
      <c r="B40" t="s">
        <v>13167</v>
      </c>
      <c r="C40" t="s">
        <v>13168</v>
      </c>
      <c r="D40" t="s">
        <v>21</v>
      </c>
      <c r="G40" t="str">
        <f>Config!$B$7</f>
        <v>SCH/Connector.SchLib</v>
      </c>
      <c r="H40" t="s">
        <v>13169</v>
      </c>
      <c r="I40" t="s">
        <v>4625</v>
      </c>
      <c r="J40" t="s">
        <v>13170</v>
      </c>
      <c r="K40" s="1"/>
      <c r="L40" s="1" t="s">
        <v>13508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13171</v>
      </c>
      <c r="B41" t="s">
        <v>13171</v>
      </c>
      <c r="C41" t="s">
        <v>13172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13173</v>
      </c>
      <c r="K41" s="1"/>
      <c r="L41" s="1" t="s">
        <v>13508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13174</v>
      </c>
      <c r="B42" t="s">
        <v>13174</v>
      </c>
      <c r="C42" t="s">
        <v>13175</v>
      </c>
      <c r="D42" t="s">
        <v>21</v>
      </c>
      <c r="G42" t="str">
        <f>Config!$B$7</f>
        <v>SCH/Connector.SchLib</v>
      </c>
      <c r="H42" t="s">
        <v>13176</v>
      </c>
      <c r="I42" t="s">
        <v>4625</v>
      </c>
      <c r="J42" t="s">
        <v>13177</v>
      </c>
      <c r="K42" s="1"/>
      <c r="L42" s="1" t="s">
        <v>13508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13178</v>
      </c>
      <c r="B43" t="s">
        <v>13178</v>
      </c>
      <c r="C43" t="s">
        <v>13179</v>
      </c>
      <c r="D43" t="s">
        <v>21</v>
      </c>
      <c r="G43" t="str">
        <f>Config!$B$7</f>
        <v>SCH/Connector.SchLib</v>
      </c>
      <c r="H43" t="s">
        <v>13180</v>
      </c>
      <c r="I43" t="s">
        <v>4625</v>
      </c>
      <c r="J43" t="s">
        <v>13181</v>
      </c>
      <c r="K43" s="1"/>
      <c r="L43" s="1" t="s">
        <v>13508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13182</v>
      </c>
      <c r="B44" t="s">
        <v>13182</v>
      </c>
      <c r="C44" t="s">
        <v>13183</v>
      </c>
      <c r="D44" t="s">
        <v>21</v>
      </c>
      <c r="G44" t="str">
        <f>Config!$B$7</f>
        <v>SCH/Connector.SchLib</v>
      </c>
      <c r="H44" t="s">
        <v>13184</v>
      </c>
      <c r="I44" t="s">
        <v>4625</v>
      </c>
      <c r="J44" t="s">
        <v>13185</v>
      </c>
      <c r="K44" s="1"/>
      <c r="L44" s="1" t="s">
        <v>13508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13186</v>
      </c>
      <c r="B45" t="s">
        <v>13186</v>
      </c>
      <c r="C45" t="s">
        <v>13187</v>
      </c>
      <c r="D45" t="s">
        <v>21</v>
      </c>
      <c r="G45" t="str">
        <f>Config!$B$7</f>
        <v>SCH/Connector.SchLib</v>
      </c>
      <c r="H45" t="s">
        <v>13188</v>
      </c>
      <c r="I45" t="s">
        <v>4625</v>
      </c>
      <c r="J45" t="s">
        <v>13189</v>
      </c>
      <c r="K45" s="1"/>
      <c r="L45" s="1" t="s">
        <v>13508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13190</v>
      </c>
      <c r="B46" t="s">
        <v>13190</v>
      </c>
      <c r="C46" t="s">
        <v>13191</v>
      </c>
      <c r="D46" t="s">
        <v>21</v>
      </c>
      <c r="G46" t="str">
        <f>Config!$B$7</f>
        <v>SCH/Connector.SchLib</v>
      </c>
      <c r="H46" t="s">
        <v>13192</v>
      </c>
      <c r="I46" t="s">
        <v>4625</v>
      </c>
      <c r="J46" t="s">
        <v>13193</v>
      </c>
      <c r="K46" s="1"/>
      <c r="L46" s="1" t="s">
        <v>13508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13194</v>
      </c>
      <c r="B47" t="s">
        <v>13194</v>
      </c>
      <c r="C47" t="s">
        <v>13195</v>
      </c>
      <c r="D47" t="s">
        <v>21</v>
      </c>
      <c r="G47" t="str">
        <f>Config!$B$7</f>
        <v>SCH/Connector.SchLib</v>
      </c>
      <c r="H47" t="s">
        <v>13196</v>
      </c>
      <c r="I47" t="s">
        <v>4625</v>
      </c>
      <c r="J47" t="s">
        <v>13197</v>
      </c>
      <c r="K47" s="1"/>
      <c r="L47" s="1" t="s">
        <v>13508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13198</v>
      </c>
      <c r="B48" t="s">
        <v>13198</v>
      </c>
      <c r="C48" t="s">
        <v>13199</v>
      </c>
      <c r="D48" t="s">
        <v>21</v>
      </c>
      <c r="G48" t="str">
        <f>Config!$B$7</f>
        <v>SCH/Connector.SchLib</v>
      </c>
      <c r="H48" t="s">
        <v>13200</v>
      </c>
      <c r="I48" t="s">
        <v>4625</v>
      </c>
      <c r="J48" t="s">
        <v>13201</v>
      </c>
      <c r="K48" s="1"/>
      <c r="L48" s="1" t="s">
        <v>13508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13202</v>
      </c>
      <c r="B49" t="s">
        <v>13202</v>
      </c>
      <c r="C49" t="s">
        <v>13203</v>
      </c>
      <c r="D49" t="s">
        <v>21</v>
      </c>
      <c r="G49" t="str">
        <f>Config!$B$7</f>
        <v>SCH/Connector.SchLib</v>
      </c>
      <c r="H49" t="s">
        <v>13204</v>
      </c>
      <c r="I49" t="s">
        <v>4625</v>
      </c>
      <c r="J49" t="s">
        <v>13205</v>
      </c>
      <c r="K49" s="1"/>
      <c r="L49" s="1" t="s">
        <v>13508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13206</v>
      </c>
      <c r="B50" t="s">
        <v>13206</v>
      </c>
      <c r="C50" t="s">
        <v>13207</v>
      </c>
      <c r="D50" t="s">
        <v>21</v>
      </c>
      <c r="G50" t="str">
        <f>Config!$B$7</f>
        <v>SCH/Connector.SchLib</v>
      </c>
      <c r="H50" t="s">
        <v>13208</v>
      </c>
      <c r="I50" t="s">
        <v>4625</v>
      </c>
      <c r="J50" t="s">
        <v>13209</v>
      </c>
      <c r="K50" s="1"/>
      <c r="L50" s="1" t="s">
        <v>13508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13210</v>
      </c>
      <c r="B51" t="s">
        <v>13210</v>
      </c>
      <c r="C51" t="s">
        <v>13211</v>
      </c>
      <c r="D51" t="s">
        <v>21</v>
      </c>
      <c r="G51" t="str">
        <f>Config!$B$7</f>
        <v>SCH/Connector.SchLib</v>
      </c>
      <c r="H51" t="s">
        <v>13212</v>
      </c>
      <c r="I51" t="s">
        <v>4625</v>
      </c>
      <c r="J51" t="s">
        <v>13213</v>
      </c>
      <c r="K51" s="1"/>
      <c r="L51" s="1" t="s">
        <v>13508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13397</v>
      </c>
      <c r="B52" t="s">
        <v>13397</v>
      </c>
      <c r="C52" t="s">
        <v>13398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13399</v>
      </c>
      <c r="K52" s="1"/>
      <c r="L52" s="1" t="s">
        <v>13508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13400</v>
      </c>
      <c r="B53" t="s">
        <v>13400</v>
      </c>
      <c r="C53" t="s">
        <v>13401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13402</v>
      </c>
      <c r="K53" s="1"/>
      <c r="L53" s="1" t="s">
        <v>13508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13007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13508</v>
      </c>
    </row>
    <row r="55" spans="1:26" ht="15.75">
      <c r="A55" t="s">
        <v>4429</v>
      </c>
      <c r="B55" t="s">
        <v>4429</v>
      </c>
      <c r="C55" t="s">
        <v>13006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13508</v>
      </c>
    </row>
    <row r="56" spans="1:26" ht="15.75">
      <c r="A56" t="s">
        <v>13403</v>
      </c>
      <c r="B56" t="s">
        <v>13403</v>
      </c>
      <c r="C56" t="s">
        <v>13404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13405</v>
      </c>
      <c r="L56" s="1" t="s">
        <v>13508</v>
      </c>
    </row>
    <row r="57" spans="1:26" ht="15.75">
      <c r="A57" t="s">
        <v>13406</v>
      </c>
      <c r="B57" t="s">
        <v>13406</v>
      </c>
      <c r="C57" t="s">
        <v>13407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13408</v>
      </c>
      <c r="L57" s="1" t="s">
        <v>13508</v>
      </c>
    </row>
    <row r="58" spans="1:26" ht="15.75">
      <c r="A58" t="s">
        <v>13409</v>
      </c>
      <c r="B58" t="s">
        <v>13409</v>
      </c>
      <c r="C58" t="s">
        <v>13410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13411</v>
      </c>
      <c r="L58" s="1" t="s">
        <v>13508</v>
      </c>
    </row>
    <row r="59" spans="1:26" ht="15.75">
      <c r="A59" t="s">
        <v>13412</v>
      </c>
      <c r="B59" t="s">
        <v>13412</v>
      </c>
      <c r="C59" t="s">
        <v>13413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13414</v>
      </c>
      <c r="L59" s="1" t="s">
        <v>13508</v>
      </c>
    </row>
    <row r="60" spans="1:26" ht="15.75">
      <c r="A60" t="s">
        <v>13415</v>
      </c>
      <c r="B60" t="s">
        <v>13415</v>
      </c>
      <c r="C60" t="s">
        <v>13416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13417</v>
      </c>
      <c r="L60" s="1" t="s">
        <v>13508</v>
      </c>
    </row>
    <row r="61" spans="1:26" ht="15.75">
      <c r="A61" t="s">
        <v>13418</v>
      </c>
      <c r="B61" t="s">
        <v>13418</v>
      </c>
      <c r="C61" t="s">
        <v>13419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13420</v>
      </c>
      <c r="L61" s="1" t="s">
        <v>13508</v>
      </c>
    </row>
    <row r="62" spans="1:26" ht="15.75">
      <c r="A62" t="s">
        <v>13421</v>
      </c>
      <c r="B62" t="s">
        <v>13421</v>
      </c>
      <c r="C62" t="s">
        <v>13422</v>
      </c>
      <c r="D62" t="s">
        <v>21</v>
      </c>
      <c r="G62" t="str">
        <f>Config!$B$7</f>
        <v>SCH/Connector.SchLib</v>
      </c>
      <c r="H62" t="s">
        <v>13102</v>
      </c>
      <c r="I62" t="s">
        <v>4625</v>
      </c>
      <c r="J62" t="s">
        <v>13423</v>
      </c>
      <c r="L62" s="1" t="s">
        <v>13508</v>
      </c>
    </row>
    <row r="63" spans="1:26" ht="15.75">
      <c r="A63" t="s">
        <v>13424</v>
      </c>
      <c r="B63" t="s">
        <v>13424</v>
      </c>
      <c r="C63" t="s">
        <v>13425</v>
      </c>
      <c r="D63" t="s">
        <v>21</v>
      </c>
      <c r="G63" t="str">
        <f>Config!$B$7</f>
        <v>SCH/Connector.SchLib</v>
      </c>
      <c r="H63" t="s">
        <v>13110</v>
      </c>
      <c r="I63" t="s">
        <v>4625</v>
      </c>
      <c r="J63" t="s">
        <v>13426</v>
      </c>
      <c r="L63" s="1" t="s">
        <v>13508</v>
      </c>
    </row>
    <row r="64" spans="1:26" ht="15.75">
      <c r="A64" t="s">
        <v>13427</v>
      </c>
      <c r="B64" t="s">
        <v>13427</v>
      </c>
      <c r="C64" t="s">
        <v>13428</v>
      </c>
      <c r="D64" t="s">
        <v>21</v>
      </c>
      <c r="G64" t="str">
        <f>Config!$B$7</f>
        <v>SCH/Connector.SchLib</v>
      </c>
      <c r="H64" t="s">
        <v>13118</v>
      </c>
      <c r="I64" t="s">
        <v>4625</v>
      </c>
      <c r="J64" t="s">
        <v>13429</v>
      </c>
      <c r="L64" s="1" t="s">
        <v>13508</v>
      </c>
    </row>
    <row r="65" spans="1:17" ht="15.75">
      <c r="A65" t="s">
        <v>13430</v>
      </c>
      <c r="B65" t="s">
        <v>13430</v>
      </c>
      <c r="C65" t="s">
        <v>13431</v>
      </c>
      <c r="D65" t="s">
        <v>21</v>
      </c>
      <c r="G65" t="str">
        <f>Config!$B$7</f>
        <v>SCH/Connector.SchLib</v>
      </c>
      <c r="H65" t="s">
        <v>13126</v>
      </c>
      <c r="I65" t="s">
        <v>4625</v>
      </c>
      <c r="J65" t="s">
        <v>13432</v>
      </c>
      <c r="L65" s="1" t="s">
        <v>13508</v>
      </c>
    </row>
    <row r="66" spans="1:17" ht="15.75">
      <c r="A66" t="s">
        <v>13433</v>
      </c>
      <c r="B66" t="s">
        <v>13433</v>
      </c>
      <c r="C66" t="s">
        <v>13434</v>
      </c>
      <c r="D66" t="s">
        <v>21</v>
      </c>
      <c r="G66" t="str">
        <f>Config!$B$7</f>
        <v>SCH/Connector.SchLib</v>
      </c>
      <c r="H66" t="s">
        <v>13134</v>
      </c>
      <c r="I66" t="s">
        <v>4625</v>
      </c>
      <c r="J66" t="s">
        <v>13435</v>
      </c>
      <c r="L66" s="1" t="s">
        <v>13508</v>
      </c>
    </row>
    <row r="67" spans="1:17" ht="15.75">
      <c r="A67" t="s">
        <v>13436</v>
      </c>
      <c r="B67" t="s">
        <v>13436</v>
      </c>
      <c r="C67" t="s">
        <v>13437</v>
      </c>
      <c r="D67" t="s">
        <v>21</v>
      </c>
      <c r="G67" t="str">
        <f>Config!$B$7</f>
        <v>SCH/Connector.SchLib</v>
      </c>
      <c r="H67" t="s">
        <v>13141</v>
      </c>
      <c r="I67" t="s">
        <v>4625</v>
      </c>
      <c r="J67" t="s">
        <v>13438</v>
      </c>
      <c r="L67" s="1" t="s">
        <v>13508</v>
      </c>
    </row>
    <row r="68" spans="1:17" ht="15.75">
      <c r="A68" t="s">
        <v>13439</v>
      </c>
      <c r="B68" t="s">
        <v>13439</v>
      </c>
      <c r="C68" t="s">
        <v>13440</v>
      </c>
      <c r="D68" t="s">
        <v>21</v>
      </c>
      <c r="G68" t="str">
        <f>Config!$B$7</f>
        <v>SCH/Connector.SchLib</v>
      </c>
      <c r="H68" t="s">
        <v>13149</v>
      </c>
      <c r="I68" t="s">
        <v>4625</v>
      </c>
      <c r="J68" t="s">
        <v>13441</v>
      </c>
      <c r="L68" s="1" t="s">
        <v>13508</v>
      </c>
    </row>
    <row r="69" spans="1:17" ht="15.75">
      <c r="A69" t="s">
        <v>13442</v>
      </c>
      <c r="B69" t="s">
        <v>13442</v>
      </c>
      <c r="C69" t="s">
        <v>13443</v>
      </c>
      <c r="D69" t="s">
        <v>21</v>
      </c>
      <c r="G69" t="str">
        <f>Config!$B$7</f>
        <v>SCH/Connector.SchLib</v>
      </c>
      <c r="H69" t="s">
        <v>13157</v>
      </c>
      <c r="I69" t="s">
        <v>4625</v>
      </c>
      <c r="J69" t="s">
        <v>13444</v>
      </c>
      <c r="L69" s="1" t="s">
        <v>13508</v>
      </c>
    </row>
    <row r="70" spans="1:17" ht="15.75">
      <c r="A70" t="s">
        <v>13445</v>
      </c>
      <c r="B70" t="s">
        <v>13445</v>
      </c>
      <c r="C70" t="s">
        <v>13446</v>
      </c>
      <c r="D70" t="s">
        <v>21</v>
      </c>
      <c r="G70" t="str">
        <f>Config!$B$7</f>
        <v>SCH/Connector.SchLib</v>
      </c>
      <c r="H70" t="s">
        <v>13165</v>
      </c>
      <c r="I70" t="s">
        <v>4625</v>
      </c>
      <c r="J70" t="s">
        <v>13447</v>
      </c>
      <c r="L70" s="1" t="s">
        <v>13508</v>
      </c>
    </row>
    <row r="71" spans="1:17" ht="15.75">
      <c r="A71" t="s">
        <v>7499</v>
      </c>
      <c r="B71" t="s">
        <v>7499</v>
      </c>
      <c r="C71" t="s">
        <v>13448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13508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13449</v>
      </c>
      <c r="B72" t="s">
        <v>13449</v>
      </c>
      <c r="C72" t="s">
        <v>13450</v>
      </c>
      <c r="D72" t="s">
        <v>21</v>
      </c>
      <c r="G72" t="str">
        <f>Config!$B$7</f>
        <v>SCH/Connector.SchLib</v>
      </c>
      <c r="H72" t="s">
        <v>13180</v>
      </c>
      <c r="I72" t="s">
        <v>4625</v>
      </c>
      <c r="J72" t="s">
        <v>13451</v>
      </c>
      <c r="L72" s="1" t="s">
        <v>13508</v>
      </c>
    </row>
    <row r="73" spans="1:17" ht="15.75">
      <c r="A73" t="s">
        <v>13452</v>
      </c>
      <c r="B73" t="s">
        <v>13452</v>
      </c>
      <c r="C73" t="s">
        <v>13453</v>
      </c>
      <c r="D73" t="s">
        <v>21</v>
      </c>
      <c r="G73" t="str">
        <f>Config!$B$7</f>
        <v>SCH/Connector.SchLib</v>
      </c>
      <c r="H73" t="s">
        <v>13188</v>
      </c>
      <c r="I73" t="s">
        <v>4625</v>
      </c>
      <c r="J73" t="s">
        <v>13454</v>
      </c>
      <c r="L73" s="1" t="s">
        <v>13508</v>
      </c>
    </row>
    <row r="74" spans="1:17" ht="15.75">
      <c r="A74" t="s">
        <v>13455</v>
      </c>
      <c r="B74" t="s">
        <v>13455</v>
      </c>
      <c r="C74" t="s">
        <v>13456</v>
      </c>
      <c r="D74" t="s">
        <v>21</v>
      </c>
      <c r="G74" t="str">
        <f>Config!$B$7</f>
        <v>SCH/Connector.SchLib</v>
      </c>
      <c r="H74" t="s">
        <v>13196</v>
      </c>
      <c r="I74" t="s">
        <v>4625</v>
      </c>
      <c r="J74" t="s">
        <v>13457</v>
      </c>
      <c r="L74" s="1" t="s">
        <v>13508</v>
      </c>
    </row>
    <row r="75" spans="1:17" ht="15.75">
      <c r="A75" t="s">
        <v>13458</v>
      </c>
      <c r="B75" t="s">
        <v>13458</v>
      </c>
      <c r="C75" t="s">
        <v>13459</v>
      </c>
      <c r="D75" t="s">
        <v>21</v>
      </c>
      <c r="G75" t="str">
        <f>Config!$B$7</f>
        <v>SCH/Connector.SchLib</v>
      </c>
      <c r="H75" t="s">
        <v>13204</v>
      </c>
      <c r="I75" t="s">
        <v>4625</v>
      </c>
      <c r="J75" t="s">
        <v>13460</v>
      </c>
      <c r="L75" s="1" t="s">
        <v>13508</v>
      </c>
    </row>
    <row r="76" spans="1:17" ht="15.75">
      <c r="A76" t="s">
        <v>13461</v>
      </c>
      <c r="B76" t="s">
        <v>13461</v>
      </c>
      <c r="C76" t="s">
        <v>13462</v>
      </c>
      <c r="D76" t="s">
        <v>21</v>
      </c>
      <c r="G76" t="str">
        <f>Config!$B$7</f>
        <v>SCH/Connector.SchLib</v>
      </c>
      <c r="H76" t="s">
        <v>13212</v>
      </c>
      <c r="I76" t="s">
        <v>4625</v>
      </c>
      <c r="J76" t="s">
        <v>13463</v>
      </c>
      <c r="L76" s="1" t="s">
        <v>13508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13508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13508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13508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13508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13508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13508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13508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13508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13508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13508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13508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13508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13508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13508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13508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13508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13508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13508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13508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13508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13508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13508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13508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13508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13508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13508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13508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13508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13508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13508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13508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13508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13508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13508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13508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8532</v>
      </c>
      <c r="B112" t="s">
        <v>8532</v>
      </c>
      <c r="C112" t="s">
        <v>8533</v>
      </c>
      <c r="D112" t="s">
        <v>8534</v>
      </c>
      <c r="G112" t="str">
        <f>Config!$B$7</f>
        <v>SCH/Connector.SchLib</v>
      </c>
      <c r="H112" t="s">
        <v>6980</v>
      </c>
      <c r="I112" t="s">
        <v>8535</v>
      </c>
      <c r="J112" t="s">
        <v>8532</v>
      </c>
      <c r="L112" s="1" t="s">
        <v>13508</v>
      </c>
      <c r="M112" t="s">
        <v>8536</v>
      </c>
      <c r="N112" t="s">
        <v>8537</v>
      </c>
      <c r="O112" t="s">
        <v>8532</v>
      </c>
      <c r="P112" t="s">
        <v>26</v>
      </c>
      <c r="Q112" t="s">
        <v>8538</v>
      </c>
    </row>
    <row r="113" spans="1:17" ht="15.75">
      <c r="A113" t="s">
        <v>8539</v>
      </c>
      <c r="B113" t="s">
        <v>8539</v>
      </c>
      <c r="C113" t="s">
        <v>8540</v>
      </c>
      <c r="D113" t="s">
        <v>8534</v>
      </c>
      <c r="G113" t="str">
        <f>Config!$B$7</f>
        <v>SCH/Connector.SchLib</v>
      </c>
      <c r="H113" t="s">
        <v>6980</v>
      </c>
      <c r="I113" t="s">
        <v>8535</v>
      </c>
      <c r="J113" t="s">
        <v>8539</v>
      </c>
      <c r="L113" s="1" t="s">
        <v>13508</v>
      </c>
      <c r="M113" t="s">
        <v>8541</v>
      </c>
      <c r="N113" t="s">
        <v>8537</v>
      </c>
      <c r="O113" t="s">
        <v>8539</v>
      </c>
      <c r="P113" t="s">
        <v>26</v>
      </c>
      <c r="Q113" t="s">
        <v>8542</v>
      </c>
    </row>
    <row r="114" spans="1:17" ht="15.75">
      <c r="A114" t="s">
        <v>12319</v>
      </c>
      <c r="B114" t="s">
        <v>12321</v>
      </c>
      <c r="C114" t="s">
        <v>12320</v>
      </c>
      <c r="D114" t="s">
        <v>12322</v>
      </c>
      <c r="G114" t="str">
        <f>Config!$B$7</f>
        <v>SCH/Connector.SchLib</v>
      </c>
      <c r="H114" t="s">
        <v>12327</v>
      </c>
      <c r="I114" t="s">
        <v>12326</v>
      </c>
      <c r="J114" t="s">
        <v>12325</v>
      </c>
      <c r="L114" s="1" t="s">
        <v>13508</v>
      </c>
      <c r="M114" t="s">
        <v>12324</v>
      </c>
      <c r="N114" t="s">
        <v>12322</v>
      </c>
      <c r="O114" t="s">
        <v>12319</v>
      </c>
      <c r="P114" t="s">
        <v>26</v>
      </c>
      <c r="Q114" t="s">
        <v>12323</v>
      </c>
    </row>
    <row r="115" spans="1:17" ht="15.75">
      <c r="A115" t="s">
        <v>12332</v>
      </c>
      <c r="B115" t="s">
        <v>12330</v>
      </c>
      <c r="C115" t="s">
        <v>12331</v>
      </c>
      <c r="G115" t="str">
        <f>Config!$B$7</f>
        <v>SCH/Connector.SchLib</v>
      </c>
      <c r="H115" t="s">
        <v>12328</v>
      </c>
      <c r="I115" t="s">
        <v>12326</v>
      </c>
      <c r="J115" t="s">
        <v>12329</v>
      </c>
      <c r="L115" s="1" t="s">
        <v>13508</v>
      </c>
    </row>
    <row r="116" spans="1:17" ht="15.75">
      <c r="A116" t="s">
        <v>12176</v>
      </c>
      <c r="B116" t="s">
        <v>12176</v>
      </c>
      <c r="C116" t="s">
        <v>12403</v>
      </c>
      <c r="D116" t="s">
        <v>12154</v>
      </c>
      <c r="G116" t="str">
        <f>Config!$B$7</f>
        <v>SCH/Connector.SchLib</v>
      </c>
      <c r="H116" t="s">
        <v>6988</v>
      </c>
      <c r="I116" s="39"/>
      <c r="J116" s="39"/>
      <c r="L116" s="1" t="s">
        <v>13508</v>
      </c>
      <c r="M116" t="s">
        <v>12399</v>
      </c>
      <c r="N116" t="s">
        <v>12155</v>
      </c>
      <c r="O116" t="s">
        <v>12159</v>
      </c>
      <c r="P116" t="s">
        <v>8466</v>
      </c>
      <c r="Q116">
        <v>14021770</v>
      </c>
    </row>
    <row r="117" spans="1:17" ht="15.75">
      <c r="A117" t="s">
        <v>12177</v>
      </c>
      <c r="B117" t="s">
        <v>12177</v>
      </c>
      <c r="C117" t="s">
        <v>12403</v>
      </c>
      <c r="D117" t="s">
        <v>12154</v>
      </c>
      <c r="G117" t="str">
        <f>Config!$B$7</f>
        <v>SCH/Connector.SchLib</v>
      </c>
      <c r="H117" t="s">
        <v>6988</v>
      </c>
      <c r="I117" s="39"/>
      <c r="J117" s="39"/>
      <c r="L117" s="1" t="s">
        <v>13508</v>
      </c>
      <c r="M117" t="s">
        <v>12399</v>
      </c>
      <c r="N117" t="s">
        <v>12155</v>
      </c>
      <c r="O117" t="s">
        <v>12160</v>
      </c>
      <c r="P117" t="s">
        <v>8466</v>
      </c>
      <c r="Q117">
        <v>14021767</v>
      </c>
    </row>
    <row r="118" spans="1:17" ht="15.75">
      <c r="A118" t="s">
        <v>12153</v>
      </c>
      <c r="B118" t="s">
        <v>12153</v>
      </c>
      <c r="C118" t="s">
        <v>12403</v>
      </c>
      <c r="D118" t="s">
        <v>12154</v>
      </c>
      <c r="G118" t="str">
        <f>Config!$B$7</f>
        <v>SCH/Connector.SchLib</v>
      </c>
      <c r="H118" t="s">
        <v>6988</v>
      </c>
      <c r="I118" s="39"/>
      <c r="J118" s="39"/>
      <c r="L118" s="1" t="s">
        <v>13508</v>
      </c>
      <c r="M118" t="s">
        <v>12399</v>
      </c>
      <c r="N118" t="s">
        <v>12155</v>
      </c>
      <c r="O118" t="s">
        <v>12158</v>
      </c>
      <c r="P118" t="s">
        <v>8466</v>
      </c>
      <c r="Q118">
        <v>14021765</v>
      </c>
    </row>
    <row r="119" spans="1:17" ht="15.75">
      <c r="A119" t="s">
        <v>12178</v>
      </c>
      <c r="B119" t="s">
        <v>12178</v>
      </c>
      <c r="C119" t="s">
        <v>12403</v>
      </c>
      <c r="D119" t="s">
        <v>12154</v>
      </c>
      <c r="G119" t="str">
        <f>Config!$B$7</f>
        <v>SCH/Connector.SchLib</v>
      </c>
      <c r="H119" t="s">
        <v>6988</v>
      </c>
      <c r="I119" s="39"/>
      <c r="J119" s="39"/>
      <c r="L119" s="1" t="s">
        <v>13508</v>
      </c>
      <c r="M119" t="s">
        <v>12399</v>
      </c>
      <c r="N119" t="s">
        <v>12155</v>
      </c>
      <c r="O119" t="s">
        <v>12161</v>
      </c>
      <c r="P119" t="s">
        <v>8466</v>
      </c>
      <c r="Q119">
        <v>14021766</v>
      </c>
    </row>
    <row r="120" spans="1:17" ht="15.75">
      <c r="A120" t="s">
        <v>12179</v>
      </c>
      <c r="B120" t="s">
        <v>12179</v>
      </c>
      <c r="C120" t="s">
        <v>12403</v>
      </c>
      <c r="D120" t="s">
        <v>12154</v>
      </c>
      <c r="G120" t="str">
        <f>Config!$B$7</f>
        <v>SCH/Connector.SchLib</v>
      </c>
      <c r="H120" t="s">
        <v>6988</v>
      </c>
      <c r="I120" s="39"/>
      <c r="J120" s="39"/>
      <c r="L120" s="1" t="s">
        <v>13508</v>
      </c>
      <c r="M120" t="s">
        <v>12399</v>
      </c>
      <c r="N120" t="s">
        <v>12155</v>
      </c>
      <c r="O120" t="s">
        <v>12162</v>
      </c>
      <c r="P120" t="s">
        <v>8466</v>
      </c>
      <c r="Q120">
        <v>14021768</v>
      </c>
    </row>
    <row r="121" spans="1:17" ht="15.75">
      <c r="A121" t="s">
        <v>12180</v>
      </c>
      <c r="B121" t="s">
        <v>12180</v>
      </c>
      <c r="C121" t="s">
        <v>12403</v>
      </c>
      <c r="D121" t="s">
        <v>12154</v>
      </c>
      <c r="G121" t="str">
        <f>Config!$B$7</f>
        <v>SCH/Connector.SchLib</v>
      </c>
      <c r="H121" t="s">
        <v>6988</v>
      </c>
      <c r="I121" s="39"/>
      <c r="J121" s="39"/>
      <c r="L121" s="1" t="s">
        <v>13508</v>
      </c>
      <c r="M121" t="s">
        <v>12399</v>
      </c>
      <c r="N121" t="s">
        <v>12155</v>
      </c>
      <c r="O121" t="s">
        <v>12163</v>
      </c>
      <c r="P121" t="s">
        <v>8466</v>
      </c>
      <c r="Q121">
        <v>14021769</v>
      </c>
    </row>
    <row r="122" spans="1:17" ht="15.75">
      <c r="A122" t="s">
        <v>12181</v>
      </c>
      <c r="B122" t="s">
        <v>12181</v>
      </c>
      <c r="C122" t="s">
        <v>12403</v>
      </c>
      <c r="D122" t="s">
        <v>12154</v>
      </c>
      <c r="G122" t="str">
        <f>Config!$B$7</f>
        <v>SCH/Connector.SchLib</v>
      </c>
      <c r="H122" t="s">
        <v>6988</v>
      </c>
      <c r="I122" s="39"/>
      <c r="J122" s="39"/>
      <c r="L122" s="1" t="s">
        <v>13508</v>
      </c>
      <c r="M122" t="s">
        <v>12399</v>
      </c>
      <c r="N122" t="s">
        <v>12155</v>
      </c>
      <c r="O122" t="s">
        <v>12164</v>
      </c>
      <c r="P122" t="s">
        <v>8466</v>
      </c>
      <c r="Q122">
        <v>30136205</v>
      </c>
    </row>
    <row r="123" spans="1:17" ht="15.75">
      <c r="A123" t="s">
        <v>12182</v>
      </c>
      <c r="B123" t="s">
        <v>12182</v>
      </c>
      <c r="C123" t="s">
        <v>12403</v>
      </c>
      <c r="D123" t="s">
        <v>12154</v>
      </c>
      <c r="G123" t="str">
        <f>Config!$B$7</f>
        <v>SCH/Connector.SchLib</v>
      </c>
      <c r="H123" t="s">
        <v>6988</v>
      </c>
      <c r="I123" s="39"/>
      <c r="J123" s="39"/>
      <c r="L123" s="1" t="s">
        <v>13508</v>
      </c>
      <c r="M123" t="s">
        <v>12399</v>
      </c>
      <c r="N123" t="s">
        <v>12155</v>
      </c>
      <c r="O123" t="s">
        <v>12165</v>
      </c>
      <c r="P123" t="s">
        <v>8466</v>
      </c>
      <c r="Q123">
        <v>14022426</v>
      </c>
    </row>
    <row r="124" spans="1:17" ht="15.75">
      <c r="A124" t="s">
        <v>12183</v>
      </c>
      <c r="B124" t="s">
        <v>12183</v>
      </c>
      <c r="C124" t="s">
        <v>12403</v>
      </c>
      <c r="D124" t="s">
        <v>12154</v>
      </c>
      <c r="G124" t="str">
        <f>Config!$B$7</f>
        <v>SCH/Connector.SchLib</v>
      </c>
      <c r="H124" t="s">
        <v>6988</v>
      </c>
      <c r="I124" s="39"/>
      <c r="J124" s="39"/>
      <c r="L124" s="1" t="s">
        <v>13508</v>
      </c>
      <c r="M124" t="s">
        <v>12399</v>
      </c>
      <c r="N124" t="s">
        <v>12155</v>
      </c>
      <c r="O124" t="s">
        <v>12166</v>
      </c>
      <c r="P124" t="s">
        <v>8466</v>
      </c>
      <c r="Q124">
        <v>14022425</v>
      </c>
    </row>
    <row r="125" spans="1:17" ht="15.75">
      <c r="A125" t="s">
        <v>12184</v>
      </c>
      <c r="B125" t="s">
        <v>12184</v>
      </c>
      <c r="C125" t="s">
        <v>12403</v>
      </c>
      <c r="D125" t="s">
        <v>12154</v>
      </c>
      <c r="G125" t="str">
        <f>Config!$B$7</f>
        <v>SCH/Connector.SchLib</v>
      </c>
      <c r="H125" t="s">
        <v>6988</v>
      </c>
      <c r="I125" s="39"/>
      <c r="J125" s="39"/>
      <c r="L125" s="1" t="s">
        <v>13508</v>
      </c>
      <c r="M125" t="s">
        <v>12399</v>
      </c>
      <c r="N125" t="s">
        <v>12155</v>
      </c>
      <c r="O125" t="s">
        <v>12167</v>
      </c>
      <c r="P125" t="s">
        <v>8466</v>
      </c>
      <c r="Q125">
        <v>14021772</v>
      </c>
    </row>
    <row r="126" spans="1:17" ht="15.75">
      <c r="A126" t="s">
        <v>12185</v>
      </c>
      <c r="B126" t="s">
        <v>12185</v>
      </c>
      <c r="C126" t="s">
        <v>12404</v>
      </c>
      <c r="D126" t="s">
        <v>12154</v>
      </c>
      <c r="G126" t="str">
        <f>Config!$B$7</f>
        <v>SCH/Connector.SchLib</v>
      </c>
      <c r="H126" t="s">
        <v>6988</v>
      </c>
      <c r="I126" t="s">
        <v>13465</v>
      </c>
      <c r="J126" t="s">
        <v>13466</v>
      </c>
      <c r="L126" s="1" t="s">
        <v>13508</v>
      </c>
      <c r="M126" t="s">
        <v>12400</v>
      </c>
      <c r="N126" t="s">
        <v>12155</v>
      </c>
      <c r="O126" t="s">
        <v>12168</v>
      </c>
      <c r="P126" t="s">
        <v>8466</v>
      </c>
      <c r="Q126">
        <v>30136216</v>
      </c>
    </row>
    <row r="127" spans="1:17" ht="15.75">
      <c r="A127" t="s">
        <v>12186</v>
      </c>
      <c r="B127" t="s">
        <v>12186</v>
      </c>
      <c r="C127" t="s">
        <v>12404</v>
      </c>
      <c r="D127" t="s">
        <v>12154</v>
      </c>
      <c r="G127" t="str">
        <f>Config!$B$7</f>
        <v>SCH/Connector.SchLib</v>
      </c>
      <c r="H127" t="s">
        <v>6988</v>
      </c>
      <c r="I127" t="s">
        <v>13465</v>
      </c>
      <c r="J127" t="s">
        <v>13467</v>
      </c>
      <c r="L127" s="1" t="s">
        <v>13508</v>
      </c>
      <c r="M127" t="s">
        <v>12400</v>
      </c>
      <c r="N127" t="s">
        <v>12155</v>
      </c>
      <c r="O127" t="s">
        <v>12169</v>
      </c>
      <c r="P127" t="s">
        <v>8466</v>
      </c>
      <c r="Q127">
        <v>30136217</v>
      </c>
    </row>
    <row r="128" spans="1:17" ht="15.75">
      <c r="A128" t="s">
        <v>12157</v>
      </c>
      <c r="B128" t="s">
        <v>12157</v>
      </c>
      <c r="C128" t="s">
        <v>12404</v>
      </c>
      <c r="D128" t="s">
        <v>12154</v>
      </c>
      <c r="G128" t="str">
        <f>Config!$B$7</f>
        <v>SCH/Connector.SchLib</v>
      </c>
      <c r="H128" t="s">
        <v>6988</v>
      </c>
      <c r="I128" t="s">
        <v>13465</v>
      </c>
      <c r="J128" t="s">
        <v>13464</v>
      </c>
      <c r="L128" s="1" t="s">
        <v>13508</v>
      </c>
      <c r="M128" t="s">
        <v>12400</v>
      </c>
      <c r="N128" t="s">
        <v>12155</v>
      </c>
      <c r="O128" t="s">
        <v>12156</v>
      </c>
      <c r="P128" t="s">
        <v>8466</v>
      </c>
      <c r="Q128">
        <v>30136218</v>
      </c>
    </row>
    <row r="129" spans="1:17" ht="15.75">
      <c r="A129" t="s">
        <v>12187</v>
      </c>
      <c r="B129" t="s">
        <v>12187</v>
      </c>
      <c r="C129" t="s">
        <v>12404</v>
      </c>
      <c r="D129" t="s">
        <v>12154</v>
      </c>
      <c r="G129" t="str">
        <f>Config!$B$7</f>
        <v>SCH/Connector.SchLib</v>
      </c>
      <c r="H129" t="s">
        <v>6988</v>
      </c>
      <c r="I129" t="s">
        <v>13465</v>
      </c>
      <c r="J129" t="s">
        <v>13468</v>
      </c>
      <c r="L129" s="1" t="s">
        <v>13508</v>
      </c>
      <c r="M129" t="s">
        <v>12400</v>
      </c>
      <c r="N129" t="s">
        <v>12155</v>
      </c>
      <c r="O129" t="s">
        <v>12170</v>
      </c>
      <c r="P129" t="s">
        <v>8466</v>
      </c>
      <c r="Q129">
        <v>30136219</v>
      </c>
    </row>
    <row r="130" spans="1:17" ht="15.75">
      <c r="A130" t="s">
        <v>12188</v>
      </c>
      <c r="B130" t="s">
        <v>12188</v>
      </c>
      <c r="C130" t="s">
        <v>12404</v>
      </c>
      <c r="D130" t="s">
        <v>12154</v>
      </c>
      <c r="G130" t="str">
        <f>Config!$B$7</f>
        <v>SCH/Connector.SchLib</v>
      </c>
      <c r="H130" t="s">
        <v>6988</v>
      </c>
      <c r="I130" t="s">
        <v>13465</v>
      </c>
      <c r="J130" t="s">
        <v>13469</v>
      </c>
      <c r="L130" s="1" t="s">
        <v>13508</v>
      </c>
      <c r="M130" t="s">
        <v>12400</v>
      </c>
      <c r="N130" t="s">
        <v>12155</v>
      </c>
      <c r="O130" t="s">
        <v>12171</v>
      </c>
      <c r="P130" t="s">
        <v>8466</v>
      </c>
      <c r="Q130">
        <v>30136220</v>
      </c>
    </row>
    <row r="131" spans="1:17" ht="15.75">
      <c r="A131" t="s">
        <v>12189</v>
      </c>
      <c r="B131" t="s">
        <v>12189</v>
      </c>
      <c r="C131" t="s">
        <v>12404</v>
      </c>
      <c r="D131" t="s">
        <v>12154</v>
      </c>
      <c r="G131" t="str">
        <f>Config!$B$7</f>
        <v>SCH/Connector.SchLib</v>
      </c>
      <c r="H131" t="s">
        <v>6988</v>
      </c>
      <c r="I131" t="s">
        <v>13465</v>
      </c>
      <c r="J131" t="s">
        <v>13470</v>
      </c>
      <c r="L131" s="1" t="s">
        <v>13508</v>
      </c>
      <c r="M131" t="s">
        <v>12400</v>
      </c>
      <c r="N131" t="s">
        <v>12155</v>
      </c>
      <c r="O131" t="s">
        <v>12172</v>
      </c>
      <c r="P131" t="s">
        <v>8466</v>
      </c>
      <c r="Q131">
        <v>30136221</v>
      </c>
    </row>
    <row r="132" spans="1:17" ht="15.75">
      <c r="A132" t="s">
        <v>12190</v>
      </c>
      <c r="B132" t="s">
        <v>12190</v>
      </c>
      <c r="C132" t="s">
        <v>12404</v>
      </c>
      <c r="D132" t="s">
        <v>12154</v>
      </c>
      <c r="G132" t="str">
        <f>Config!$B$7</f>
        <v>SCH/Connector.SchLib</v>
      </c>
      <c r="H132" t="s">
        <v>6988</v>
      </c>
      <c r="I132" t="s">
        <v>13465</v>
      </c>
      <c r="J132" t="s">
        <v>13471</v>
      </c>
      <c r="L132" s="1" t="s">
        <v>13508</v>
      </c>
      <c r="M132" t="s">
        <v>12400</v>
      </c>
      <c r="N132" t="s">
        <v>12155</v>
      </c>
      <c r="O132" t="s">
        <v>12173</v>
      </c>
      <c r="P132" t="s">
        <v>8466</v>
      </c>
      <c r="Q132">
        <v>30136222</v>
      </c>
    </row>
    <row r="133" spans="1:17" ht="15.75">
      <c r="A133" t="s">
        <v>12191</v>
      </c>
      <c r="B133" t="s">
        <v>12191</v>
      </c>
      <c r="C133" t="s">
        <v>12404</v>
      </c>
      <c r="D133" t="s">
        <v>12154</v>
      </c>
      <c r="G133" t="str">
        <f>Config!$B$7</f>
        <v>SCH/Connector.SchLib</v>
      </c>
      <c r="H133" t="s">
        <v>6988</v>
      </c>
      <c r="I133" t="s">
        <v>13465</v>
      </c>
      <c r="J133" t="s">
        <v>13472</v>
      </c>
      <c r="L133" s="1" t="s">
        <v>13508</v>
      </c>
      <c r="M133" t="s">
        <v>12400</v>
      </c>
      <c r="N133" t="s">
        <v>12155</v>
      </c>
      <c r="O133" t="s">
        <v>12174</v>
      </c>
      <c r="P133" t="s">
        <v>8466</v>
      </c>
      <c r="Q133">
        <v>30136223</v>
      </c>
    </row>
    <row r="134" spans="1:17" ht="15.75">
      <c r="A134" t="s">
        <v>12192</v>
      </c>
      <c r="B134" t="s">
        <v>12192</v>
      </c>
      <c r="C134" t="s">
        <v>12404</v>
      </c>
      <c r="D134" t="s">
        <v>12154</v>
      </c>
      <c r="G134" t="str">
        <f>Config!$B$7</f>
        <v>SCH/Connector.SchLib</v>
      </c>
      <c r="H134" t="s">
        <v>6988</v>
      </c>
      <c r="I134" t="s">
        <v>13465</v>
      </c>
      <c r="J134" t="s">
        <v>13473</v>
      </c>
      <c r="L134" s="1" t="s">
        <v>13508</v>
      </c>
      <c r="M134" t="s">
        <v>12400</v>
      </c>
      <c r="N134" t="s">
        <v>12155</v>
      </c>
      <c r="O134" t="s">
        <v>12175</v>
      </c>
      <c r="P134" t="s">
        <v>8466</v>
      </c>
      <c r="Q134">
        <v>30136224</v>
      </c>
    </row>
    <row r="135" spans="1:17" ht="15.75">
      <c r="A135" t="s">
        <v>12193</v>
      </c>
      <c r="B135" t="s">
        <v>12193</v>
      </c>
      <c r="C135" t="s">
        <v>12404</v>
      </c>
      <c r="D135" t="s">
        <v>12154</v>
      </c>
      <c r="G135" t="str">
        <f>Config!$B$7</f>
        <v>SCH/Connector.SchLib</v>
      </c>
      <c r="H135" t="s">
        <v>6988</v>
      </c>
      <c r="I135" t="s">
        <v>13465</v>
      </c>
      <c r="J135" t="s">
        <v>13474</v>
      </c>
      <c r="L135" s="1" t="s">
        <v>13508</v>
      </c>
      <c r="M135" t="s">
        <v>12400</v>
      </c>
      <c r="N135" t="s">
        <v>12155</v>
      </c>
      <c r="O135" t="s">
        <v>12460</v>
      </c>
    </row>
    <row r="136" spans="1:17" ht="15.75">
      <c r="A136" t="s">
        <v>12333</v>
      </c>
      <c r="B136" t="s">
        <v>12333</v>
      </c>
      <c r="C136" t="s">
        <v>12405</v>
      </c>
      <c r="D136" t="s">
        <v>12154</v>
      </c>
      <c r="G136" t="str">
        <f>Config!$B$7</f>
        <v>SCH/Connector.SchLib</v>
      </c>
      <c r="H136" t="s">
        <v>7010</v>
      </c>
      <c r="I136" s="39"/>
      <c r="J136" s="39"/>
      <c r="L136" s="1" t="s">
        <v>13508</v>
      </c>
      <c r="M136" t="s">
        <v>12401</v>
      </c>
      <c r="N136" t="s">
        <v>12155</v>
      </c>
      <c r="O136" t="s">
        <v>12341</v>
      </c>
    </row>
    <row r="137" spans="1:17" ht="15.75">
      <c r="A137" t="s">
        <v>12334</v>
      </c>
      <c r="B137" t="s">
        <v>12334</v>
      </c>
      <c r="C137" t="s">
        <v>12405</v>
      </c>
      <c r="D137" t="s">
        <v>12154</v>
      </c>
      <c r="G137" t="str">
        <f>Config!$B$7</f>
        <v>SCH/Connector.SchLib</v>
      </c>
      <c r="H137" t="s">
        <v>7010</v>
      </c>
      <c r="I137" s="39"/>
      <c r="J137" s="39"/>
      <c r="L137" s="1" t="s">
        <v>13508</v>
      </c>
      <c r="M137" t="s">
        <v>12401</v>
      </c>
      <c r="N137" t="s">
        <v>12155</v>
      </c>
      <c r="O137" t="s">
        <v>12342</v>
      </c>
      <c r="P137" t="s">
        <v>8466</v>
      </c>
      <c r="Q137">
        <v>14021779</v>
      </c>
    </row>
    <row r="138" spans="1:17" ht="15.75">
      <c r="A138" t="s">
        <v>12335</v>
      </c>
      <c r="B138" t="s">
        <v>12335</v>
      </c>
      <c r="C138" t="s">
        <v>12405</v>
      </c>
      <c r="D138" t="s">
        <v>12154</v>
      </c>
      <c r="G138" t="str">
        <f>Config!$B$7</f>
        <v>SCH/Connector.SchLib</v>
      </c>
      <c r="H138" t="s">
        <v>7010</v>
      </c>
      <c r="I138" s="39"/>
      <c r="J138" s="39"/>
      <c r="L138" s="1" t="s">
        <v>13508</v>
      </c>
      <c r="M138" t="s">
        <v>12401</v>
      </c>
      <c r="N138" t="s">
        <v>12155</v>
      </c>
      <c r="O138" t="s">
        <v>12343</v>
      </c>
      <c r="P138" t="s">
        <v>8466</v>
      </c>
      <c r="Q138">
        <v>14021780</v>
      </c>
    </row>
    <row r="139" spans="1:17" ht="15.75">
      <c r="A139" t="s">
        <v>12336</v>
      </c>
      <c r="B139" t="s">
        <v>12336</v>
      </c>
      <c r="C139" t="s">
        <v>12405</v>
      </c>
      <c r="D139" t="s">
        <v>12154</v>
      </c>
      <c r="G139" t="str">
        <f>Config!$B$7</f>
        <v>SCH/Connector.SchLib</v>
      </c>
      <c r="H139" t="s">
        <v>7010</v>
      </c>
      <c r="I139" s="39"/>
      <c r="J139" s="39"/>
      <c r="L139" s="1" t="s">
        <v>13508</v>
      </c>
      <c r="M139" t="s">
        <v>12401</v>
      </c>
      <c r="N139" t="s">
        <v>12155</v>
      </c>
      <c r="O139" t="s">
        <v>12344</v>
      </c>
      <c r="P139" t="s">
        <v>8466</v>
      </c>
      <c r="Q139">
        <v>14021781</v>
      </c>
    </row>
    <row r="140" spans="1:17" ht="15.75">
      <c r="A140" t="s">
        <v>12337</v>
      </c>
      <c r="B140" t="s">
        <v>12337</v>
      </c>
      <c r="C140" t="s">
        <v>12405</v>
      </c>
      <c r="D140" t="s">
        <v>12154</v>
      </c>
      <c r="G140" t="str">
        <f>Config!$B$7</f>
        <v>SCH/Connector.SchLib</v>
      </c>
      <c r="H140" t="s">
        <v>7010</v>
      </c>
      <c r="I140" s="39"/>
      <c r="J140" s="39"/>
      <c r="L140" s="1" t="s">
        <v>13508</v>
      </c>
      <c r="M140" t="s">
        <v>12401</v>
      </c>
      <c r="N140" t="s">
        <v>12155</v>
      </c>
      <c r="O140" t="s">
        <v>12345</v>
      </c>
    </row>
    <row r="141" spans="1:17" ht="15.75">
      <c r="A141" t="s">
        <v>12338</v>
      </c>
      <c r="B141" t="s">
        <v>12338</v>
      </c>
      <c r="C141" t="s">
        <v>12405</v>
      </c>
      <c r="D141" t="s">
        <v>12154</v>
      </c>
      <c r="G141" t="str">
        <f>Config!$B$7</f>
        <v>SCH/Connector.SchLib</v>
      </c>
      <c r="H141" t="s">
        <v>7010</v>
      </c>
      <c r="I141" s="39"/>
      <c r="J141" s="39"/>
      <c r="L141" s="1" t="s">
        <v>13508</v>
      </c>
      <c r="M141" t="s">
        <v>12401</v>
      </c>
      <c r="N141" t="s">
        <v>12155</v>
      </c>
      <c r="O141" t="s">
        <v>12346</v>
      </c>
    </row>
    <row r="142" spans="1:17" ht="15.75">
      <c r="A142" t="s">
        <v>12339</v>
      </c>
      <c r="B142" t="s">
        <v>12339</v>
      </c>
      <c r="C142" t="s">
        <v>12405</v>
      </c>
      <c r="D142" t="s">
        <v>12154</v>
      </c>
      <c r="G142" t="str">
        <f>Config!$B$7</f>
        <v>SCH/Connector.SchLib</v>
      </c>
      <c r="H142" t="s">
        <v>7010</v>
      </c>
      <c r="I142" s="39"/>
      <c r="J142" s="39"/>
      <c r="L142" s="1" t="s">
        <v>13508</v>
      </c>
      <c r="M142" t="s">
        <v>12401</v>
      </c>
      <c r="N142" t="s">
        <v>12155</v>
      </c>
      <c r="O142" t="s">
        <v>12347</v>
      </c>
    </row>
    <row r="143" spans="1:17" ht="15.75">
      <c r="A143" t="s">
        <v>12340</v>
      </c>
      <c r="B143" t="s">
        <v>12340</v>
      </c>
      <c r="C143" t="s">
        <v>12405</v>
      </c>
      <c r="D143" t="s">
        <v>12154</v>
      </c>
      <c r="G143" t="str">
        <f>Config!$B$7</f>
        <v>SCH/Connector.SchLib</v>
      </c>
      <c r="H143" t="s">
        <v>7010</v>
      </c>
      <c r="I143" s="39"/>
      <c r="J143" s="39"/>
      <c r="L143" s="1" t="s">
        <v>13508</v>
      </c>
      <c r="M143" t="s">
        <v>12401</v>
      </c>
      <c r="N143" t="s">
        <v>12155</v>
      </c>
      <c r="O143" t="s">
        <v>12348</v>
      </c>
    </row>
    <row r="144" spans="1:17" ht="15.75">
      <c r="A144" t="s">
        <v>12349</v>
      </c>
      <c r="B144" t="s">
        <v>12349</v>
      </c>
      <c r="C144" t="s">
        <v>12406</v>
      </c>
      <c r="D144" t="s">
        <v>12154</v>
      </c>
      <c r="G144" t="str">
        <f>Config!$B$7</f>
        <v>SCH/Connector.SchLib</v>
      </c>
      <c r="H144" t="s">
        <v>6988</v>
      </c>
      <c r="I144" s="39"/>
      <c r="J144" s="39"/>
      <c r="L144" s="1" t="s">
        <v>13508</v>
      </c>
      <c r="M144" t="s">
        <v>12402</v>
      </c>
      <c r="N144" t="s">
        <v>12155</v>
      </c>
      <c r="O144" t="s">
        <v>12359</v>
      </c>
      <c r="P144" t="s">
        <v>8466</v>
      </c>
      <c r="Q144">
        <v>30223684</v>
      </c>
    </row>
    <row r="145" spans="1:17" ht="15.75">
      <c r="A145" t="s">
        <v>12350</v>
      </c>
      <c r="B145" t="s">
        <v>12350</v>
      </c>
      <c r="C145" t="s">
        <v>12406</v>
      </c>
      <c r="D145" t="s">
        <v>12154</v>
      </c>
      <c r="G145" t="str">
        <f>Config!$B$7</f>
        <v>SCH/Connector.SchLib</v>
      </c>
      <c r="H145" t="s">
        <v>6988</v>
      </c>
      <c r="I145" s="39"/>
      <c r="J145" s="39"/>
      <c r="L145" s="1" t="s">
        <v>13508</v>
      </c>
      <c r="M145" t="s">
        <v>12402</v>
      </c>
      <c r="N145" t="s">
        <v>12155</v>
      </c>
      <c r="O145" t="s">
        <v>12360</v>
      </c>
      <c r="P145" t="s">
        <v>8466</v>
      </c>
      <c r="Q145">
        <v>30136412</v>
      </c>
    </row>
    <row r="146" spans="1:17" ht="15.75">
      <c r="A146" t="s">
        <v>12351</v>
      </c>
      <c r="B146" t="s">
        <v>12351</v>
      </c>
      <c r="C146" t="s">
        <v>12406</v>
      </c>
      <c r="D146" t="s">
        <v>12154</v>
      </c>
      <c r="G146" t="str">
        <f>Config!$B$7</f>
        <v>SCH/Connector.SchLib</v>
      </c>
      <c r="H146" t="s">
        <v>6988</v>
      </c>
      <c r="I146" s="39"/>
      <c r="J146" s="39"/>
      <c r="L146" s="1" t="s">
        <v>13508</v>
      </c>
      <c r="M146" t="s">
        <v>12402</v>
      </c>
      <c r="N146" t="s">
        <v>12155</v>
      </c>
      <c r="O146" t="s">
        <v>12361</v>
      </c>
      <c r="P146" t="s">
        <v>8466</v>
      </c>
      <c r="Q146">
        <v>30136413</v>
      </c>
    </row>
    <row r="147" spans="1:17" ht="15.75">
      <c r="A147" t="s">
        <v>12352</v>
      </c>
      <c r="B147" t="s">
        <v>12352</v>
      </c>
      <c r="C147" t="s">
        <v>12406</v>
      </c>
      <c r="D147" t="s">
        <v>12154</v>
      </c>
      <c r="G147" t="str">
        <f>Config!$B$7</f>
        <v>SCH/Connector.SchLib</v>
      </c>
      <c r="H147" t="s">
        <v>6988</v>
      </c>
      <c r="I147" s="39"/>
      <c r="J147" s="39"/>
      <c r="L147" s="1" t="s">
        <v>13508</v>
      </c>
      <c r="M147" t="s">
        <v>12402</v>
      </c>
      <c r="N147" t="s">
        <v>12155</v>
      </c>
      <c r="O147" t="s">
        <v>12362</v>
      </c>
    </row>
    <row r="148" spans="1:17" ht="15.75">
      <c r="A148" t="s">
        <v>12353</v>
      </c>
      <c r="B148" t="s">
        <v>12353</v>
      </c>
      <c r="C148" t="s">
        <v>12406</v>
      </c>
      <c r="D148" t="s">
        <v>12154</v>
      </c>
      <c r="G148" t="str">
        <f>Config!$B$7</f>
        <v>SCH/Connector.SchLib</v>
      </c>
      <c r="H148" t="s">
        <v>6988</v>
      </c>
      <c r="I148" s="39"/>
      <c r="J148" s="39"/>
      <c r="L148" s="1" t="s">
        <v>13508</v>
      </c>
      <c r="M148" t="s">
        <v>12402</v>
      </c>
      <c r="N148" t="s">
        <v>12155</v>
      </c>
      <c r="O148" t="s">
        <v>12363</v>
      </c>
      <c r="P148" t="s">
        <v>8466</v>
      </c>
      <c r="Q148">
        <v>30136415</v>
      </c>
    </row>
    <row r="149" spans="1:17" ht="15.75">
      <c r="A149" t="s">
        <v>12354</v>
      </c>
      <c r="B149" t="s">
        <v>12354</v>
      </c>
      <c r="C149" t="s">
        <v>12406</v>
      </c>
      <c r="D149" t="s">
        <v>12154</v>
      </c>
      <c r="G149" t="str">
        <f>Config!$B$7</f>
        <v>SCH/Connector.SchLib</v>
      </c>
      <c r="H149" t="s">
        <v>6988</v>
      </c>
      <c r="I149" s="39"/>
      <c r="J149" s="39"/>
      <c r="L149" s="1" t="s">
        <v>13508</v>
      </c>
      <c r="M149" t="s">
        <v>12402</v>
      </c>
      <c r="N149" t="s">
        <v>12155</v>
      </c>
      <c r="O149" t="s">
        <v>12364</v>
      </c>
    </row>
    <row r="150" spans="1:17" ht="15.75">
      <c r="A150" t="s">
        <v>12355</v>
      </c>
      <c r="B150" t="s">
        <v>12355</v>
      </c>
      <c r="C150" t="s">
        <v>12406</v>
      </c>
      <c r="D150" t="s">
        <v>12154</v>
      </c>
      <c r="G150" t="str">
        <f>Config!$B$7</f>
        <v>SCH/Connector.SchLib</v>
      </c>
      <c r="H150" t="s">
        <v>6988</v>
      </c>
      <c r="I150" s="39"/>
      <c r="J150" s="39"/>
      <c r="L150" s="1" t="s">
        <v>13508</v>
      </c>
      <c r="M150" t="s">
        <v>12402</v>
      </c>
      <c r="N150" t="s">
        <v>12155</v>
      </c>
      <c r="O150" t="s">
        <v>12365</v>
      </c>
    </row>
    <row r="151" spans="1:17" ht="15.75">
      <c r="A151" t="s">
        <v>12356</v>
      </c>
      <c r="B151" t="s">
        <v>12356</v>
      </c>
      <c r="C151" t="s">
        <v>12406</v>
      </c>
      <c r="D151" t="s">
        <v>12154</v>
      </c>
      <c r="G151" t="str">
        <f>Config!$B$7</f>
        <v>SCH/Connector.SchLib</v>
      </c>
      <c r="H151" t="s">
        <v>6988</v>
      </c>
      <c r="I151" s="39"/>
      <c r="J151" s="39"/>
      <c r="L151" s="1" t="s">
        <v>13508</v>
      </c>
      <c r="M151" t="s">
        <v>12402</v>
      </c>
      <c r="N151" t="s">
        <v>12155</v>
      </c>
      <c r="O151" t="s">
        <v>12366</v>
      </c>
      <c r="P151" t="s">
        <v>8466</v>
      </c>
    </row>
    <row r="152" spans="1:17" ht="15.75">
      <c r="A152" t="s">
        <v>12357</v>
      </c>
      <c r="B152" t="s">
        <v>12357</v>
      </c>
      <c r="C152" t="s">
        <v>12406</v>
      </c>
      <c r="D152" t="s">
        <v>12154</v>
      </c>
      <c r="G152" t="str">
        <f>Config!$B$7</f>
        <v>SCH/Connector.SchLib</v>
      </c>
      <c r="H152" t="s">
        <v>6988</v>
      </c>
      <c r="I152" s="39"/>
      <c r="J152" s="39"/>
      <c r="L152" s="1" t="s">
        <v>13508</v>
      </c>
      <c r="M152" t="s">
        <v>12402</v>
      </c>
      <c r="N152" t="s">
        <v>12155</v>
      </c>
      <c r="O152" t="s">
        <v>12367</v>
      </c>
      <c r="P152" t="s">
        <v>8466</v>
      </c>
      <c r="Q152">
        <v>30223687</v>
      </c>
    </row>
    <row r="153" spans="1:17" ht="15.75">
      <c r="A153" t="s">
        <v>12358</v>
      </c>
      <c r="B153" t="s">
        <v>12358</v>
      </c>
      <c r="C153" t="s">
        <v>12406</v>
      </c>
      <c r="D153" t="s">
        <v>12154</v>
      </c>
      <c r="G153" t="str">
        <f>Config!$B$7</f>
        <v>SCH/Connector.SchLib</v>
      </c>
      <c r="H153" t="s">
        <v>6988</v>
      </c>
      <c r="I153" s="39"/>
      <c r="J153" s="39"/>
      <c r="L153" s="1" t="s">
        <v>13508</v>
      </c>
      <c r="M153" t="s">
        <v>12402</v>
      </c>
      <c r="N153" t="s">
        <v>12155</v>
      </c>
      <c r="O153" t="s">
        <v>12368</v>
      </c>
      <c r="P153" t="s">
        <v>8466</v>
      </c>
      <c r="Q153">
        <v>30223688</v>
      </c>
    </row>
    <row r="154" spans="1:17" ht="15.75">
      <c r="A154" t="s">
        <v>12369</v>
      </c>
      <c r="B154" t="s">
        <v>12369</v>
      </c>
      <c r="C154" t="s">
        <v>12407</v>
      </c>
      <c r="D154" t="s">
        <v>12154</v>
      </c>
      <c r="G154" t="str">
        <f>Config!$B$7</f>
        <v>SCH/Connector.SchLib</v>
      </c>
      <c r="H154" t="s">
        <v>6988</v>
      </c>
      <c r="I154" s="39"/>
      <c r="J154" s="39"/>
      <c r="L154" s="1" t="s">
        <v>13508</v>
      </c>
      <c r="M154" t="s">
        <v>12485</v>
      </c>
      <c r="N154" t="s">
        <v>12155</v>
      </c>
      <c r="O154" t="s">
        <v>12410</v>
      </c>
    </row>
    <row r="155" spans="1:17" ht="15.75">
      <c r="A155" t="s">
        <v>12370</v>
      </c>
      <c r="B155" t="s">
        <v>12370</v>
      </c>
      <c r="C155" t="s">
        <v>12407</v>
      </c>
      <c r="D155" t="s">
        <v>12154</v>
      </c>
      <c r="G155" t="str">
        <f>Config!$B$7</f>
        <v>SCH/Connector.SchLib</v>
      </c>
      <c r="H155" t="s">
        <v>6988</v>
      </c>
      <c r="I155" s="39"/>
      <c r="J155" s="39"/>
      <c r="L155" s="1" t="s">
        <v>13508</v>
      </c>
      <c r="M155" t="s">
        <v>12485</v>
      </c>
      <c r="N155" t="s">
        <v>12155</v>
      </c>
      <c r="O155" t="s">
        <v>12411</v>
      </c>
    </row>
    <row r="156" spans="1:17" ht="15.75">
      <c r="A156" t="s">
        <v>12371</v>
      </c>
      <c r="B156" t="s">
        <v>12371</v>
      </c>
      <c r="C156" t="s">
        <v>12407</v>
      </c>
      <c r="D156" t="s">
        <v>12154</v>
      </c>
      <c r="G156" t="str">
        <f>Config!$B$7</f>
        <v>SCH/Connector.SchLib</v>
      </c>
      <c r="H156" t="s">
        <v>6988</v>
      </c>
      <c r="I156" s="39"/>
      <c r="J156" s="39"/>
      <c r="L156" s="1" t="s">
        <v>13508</v>
      </c>
      <c r="M156" t="s">
        <v>12485</v>
      </c>
      <c r="N156" t="s">
        <v>12155</v>
      </c>
      <c r="O156" t="s">
        <v>12412</v>
      </c>
    </row>
    <row r="157" spans="1:17" ht="15.75">
      <c r="A157" t="s">
        <v>12372</v>
      </c>
      <c r="B157" t="s">
        <v>12372</v>
      </c>
      <c r="C157" t="s">
        <v>12407</v>
      </c>
      <c r="D157" t="s">
        <v>12154</v>
      </c>
      <c r="G157" t="str">
        <f>Config!$B$7</f>
        <v>SCH/Connector.SchLib</v>
      </c>
      <c r="H157" t="s">
        <v>6988</v>
      </c>
      <c r="I157" s="39"/>
      <c r="J157" s="39"/>
      <c r="L157" s="1" t="s">
        <v>13508</v>
      </c>
      <c r="M157" t="s">
        <v>12485</v>
      </c>
      <c r="N157" t="s">
        <v>12155</v>
      </c>
      <c r="O157" t="s">
        <v>12413</v>
      </c>
    </row>
    <row r="158" spans="1:17" ht="15.75">
      <c r="A158" t="s">
        <v>12373</v>
      </c>
      <c r="B158" t="s">
        <v>12373</v>
      </c>
      <c r="C158" t="s">
        <v>12407</v>
      </c>
      <c r="D158" t="s">
        <v>12154</v>
      </c>
      <c r="G158" t="str">
        <f>Config!$B$7</f>
        <v>SCH/Connector.SchLib</v>
      </c>
      <c r="H158" t="s">
        <v>6988</v>
      </c>
      <c r="I158" s="39"/>
      <c r="J158" s="39"/>
      <c r="L158" s="1" t="s">
        <v>13508</v>
      </c>
      <c r="M158" t="s">
        <v>12485</v>
      </c>
      <c r="N158" t="s">
        <v>12155</v>
      </c>
      <c r="O158" t="s">
        <v>12414</v>
      </c>
    </row>
    <row r="159" spans="1:17" ht="15.75">
      <c r="A159" t="s">
        <v>12374</v>
      </c>
      <c r="B159" t="s">
        <v>12374</v>
      </c>
      <c r="C159" t="s">
        <v>12407</v>
      </c>
      <c r="D159" t="s">
        <v>12154</v>
      </c>
      <c r="G159" t="str">
        <f>Config!$B$7</f>
        <v>SCH/Connector.SchLib</v>
      </c>
      <c r="H159" t="s">
        <v>6988</v>
      </c>
      <c r="I159" s="39"/>
      <c r="J159" s="39"/>
      <c r="L159" s="1" t="s">
        <v>13508</v>
      </c>
      <c r="M159" t="s">
        <v>12485</v>
      </c>
      <c r="N159" t="s">
        <v>12155</v>
      </c>
      <c r="O159" t="s">
        <v>12415</v>
      </c>
    </row>
    <row r="160" spans="1:17" ht="15.75">
      <c r="A160" t="s">
        <v>12375</v>
      </c>
      <c r="B160" t="s">
        <v>12375</v>
      </c>
      <c r="C160" t="s">
        <v>12407</v>
      </c>
      <c r="D160" t="s">
        <v>12154</v>
      </c>
      <c r="G160" t="str">
        <f>Config!$B$7</f>
        <v>SCH/Connector.SchLib</v>
      </c>
      <c r="H160" t="s">
        <v>6988</v>
      </c>
      <c r="I160" s="39"/>
      <c r="J160" s="39"/>
      <c r="L160" s="1" t="s">
        <v>13508</v>
      </c>
      <c r="M160" t="s">
        <v>12485</v>
      </c>
      <c r="N160" t="s">
        <v>12155</v>
      </c>
      <c r="O160" t="s">
        <v>12416</v>
      </c>
    </row>
    <row r="161" spans="1:17" ht="15.75">
      <c r="A161" t="s">
        <v>12376</v>
      </c>
      <c r="B161" t="s">
        <v>12376</v>
      </c>
      <c r="C161" t="s">
        <v>12407</v>
      </c>
      <c r="D161" t="s">
        <v>12154</v>
      </c>
      <c r="G161" t="str">
        <f>Config!$B$7</f>
        <v>SCH/Connector.SchLib</v>
      </c>
      <c r="H161" t="s">
        <v>6988</v>
      </c>
      <c r="I161" s="39"/>
      <c r="J161" s="39"/>
      <c r="L161" s="1" t="s">
        <v>13508</v>
      </c>
      <c r="M161" t="s">
        <v>12485</v>
      </c>
      <c r="N161" t="s">
        <v>12155</v>
      </c>
      <c r="O161" t="s">
        <v>12417</v>
      </c>
      <c r="P161" t="s">
        <v>8466</v>
      </c>
      <c r="Q161">
        <v>30223530</v>
      </c>
    </row>
    <row r="162" spans="1:17" ht="15.75">
      <c r="A162" t="s">
        <v>12377</v>
      </c>
      <c r="B162" t="s">
        <v>12377</v>
      </c>
      <c r="C162" t="s">
        <v>12407</v>
      </c>
      <c r="D162" t="s">
        <v>12154</v>
      </c>
      <c r="G162" t="str">
        <f>Config!$B$7</f>
        <v>SCH/Connector.SchLib</v>
      </c>
      <c r="H162" t="s">
        <v>6988</v>
      </c>
      <c r="I162" s="39"/>
      <c r="J162" s="39"/>
      <c r="L162" s="1" t="s">
        <v>13508</v>
      </c>
      <c r="M162" t="s">
        <v>12485</v>
      </c>
      <c r="N162" t="s">
        <v>12155</v>
      </c>
      <c r="O162" t="s">
        <v>12418</v>
      </c>
      <c r="P162" t="s">
        <v>8466</v>
      </c>
      <c r="Q162">
        <v>30223531</v>
      </c>
    </row>
    <row r="163" spans="1:17" ht="15.75">
      <c r="A163" t="s">
        <v>12378</v>
      </c>
      <c r="B163" t="s">
        <v>12378</v>
      </c>
      <c r="C163" t="s">
        <v>12407</v>
      </c>
      <c r="D163" t="s">
        <v>12154</v>
      </c>
      <c r="G163" t="str">
        <f>Config!$B$7</f>
        <v>SCH/Connector.SchLib</v>
      </c>
      <c r="H163" t="s">
        <v>6988</v>
      </c>
      <c r="I163" s="39"/>
      <c r="J163" s="39"/>
      <c r="L163" s="1" t="s">
        <v>13508</v>
      </c>
      <c r="M163" t="s">
        <v>12485</v>
      </c>
      <c r="N163" t="s">
        <v>12155</v>
      </c>
      <c r="O163" t="s">
        <v>12419</v>
      </c>
      <c r="P163" t="s">
        <v>8466</v>
      </c>
    </row>
    <row r="164" spans="1:17" ht="15.75">
      <c r="A164" t="s">
        <v>12379</v>
      </c>
      <c r="B164" t="s">
        <v>12379</v>
      </c>
      <c r="C164" t="s">
        <v>12408</v>
      </c>
      <c r="D164" t="s">
        <v>12154</v>
      </c>
      <c r="G164" t="str">
        <f>Config!$B$7</f>
        <v>SCH/Connector.SchLib</v>
      </c>
      <c r="H164" t="s">
        <v>6988</v>
      </c>
      <c r="I164" s="39"/>
      <c r="J164" s="39"/>
      <c r="L164" s="1" t="s">
        <v>13508</v>
      </c>
      <c r="M164" t="s">
        <v>12486</v>
      </c>
      <c r="N164" t="s">
        <v>12155</v>
      </c>
      <c r="O164" t="s">
        <v>12420</v>
      </c>
      <c r="P164" t="s">
        <v>8466</v>
      </c>
      <c r="Q164">
        <v>30136211</v>
      </c>
    </row>
    <row r="165" spans="1:17" ht="15.75">
      <c r="A165" t="s">
        <v>12380</v>
      </c>
      <c r="B165" t="s">
        <v>12380</v>
      </c>
      <c r="C165" t="s">
        <v>12408</v>
      </c>
      <c r="D165" t="s">
        <v>12154</v>
      </c>
      <c r="G165" t="str">
        <f>Config!$B$7</f>
        <v>SCH/Connector.SchLib</v>
      </c>
      <c r="H165" t="s">
        <v>6988</v>
      </c>
      <c r="I165" s="39"/>
      <c r="J165" s="39"/>
      <c r="L165" s="1" t="s">
        <v>13508</v>
      </c>
      <c r="M165" t="s">
        <v>12486</v>
      </c>
      <c r="N165" t="s">
        <v>12155</v>
      </c>
      <c r="O165" t="s">
        <v>12421</v>
      </c>
      <c r="P165" t="s">
        <v>8466</v>
      </c>
      <c r="Q165">
        <v>14021753</v>
      </c>
    </row>
    <row r="166" spans="1:17" ht="15.75">
      <c r="A166" t="s">
        <v>12381</v>
      </c>
      <c r="B166" t="s">
        <v>12381</v>
      </c>
      <c r="C166" t="s">
        <v>12408</v>
      </c>
      <c r="D166" t="s">
        <v>12154</v>
      </c>
      <c r="G166" t="str">
        <f>Config!$B$7</f>
        <v>SCH/Connector.SchLib</v>
      </c>
      <c r="H166" t="s">
        <v>6988</v>
      </c>
      <c r="I166" s="39"/>
      <c r="J166" s="39"/>
      <c r="L166" s="1" t="s">
        <v>13508</v>
      </c>
      <c r="M166" t="s">
        <v>12486</v>
      </c>
      <c r="N166" t="s">
        <v>12155</v>
      </c>
      <c r="O166" t="s">
        <v>12422</v>
      </c>
      <c r="P166" t="s">
        <v>8466</v>
      </c>
      <c r="Q166">
        <v>14021754</v>
      </c>
    </row>
    <row r="167" spans="1:17" ht="15.75">
      <c r="A167" t="s">
        <v>12382</v>
      </c>
      <c r="B167" t="s">
        <v>12382</v>
      </c>
      <c r="C167" t="s">
        <v>12408</v>
      </c>
      <c r="D167" t="s">
        <v>12154</v>
      </c>
      <c r="G167" t="str">
        <f>Config!$B$7</f>
        <v>SCH/Connector.SchLib</v>
      </c>
      <c r="H167" t="s">
        <v>6988</v>
      </c>
      <c r="I167" s="39"/>
      <c r="J167" s="39"/>
      <c r="L167" s="1" t="s">
        <v>13508</v>
      </c>
      <c r="M167" t="s">
        <v>12486</v>
      </c>
      <c r="N167" t="s">
        <v>12155</v>
      </c>
      <c r="O167" t="s">
        <v>12423</v>
      </c>
      <c r="P167" t="s">
        <v>8466</v>
      </c>
      <c r="Q167">
        <v>14021757</v>
      </c>
    </row>
    <row r="168" spans="1:17" ht="15.75">
      <c r="A168" t="s">
        <v>12383</v>
      </c>
      <c r="B168" t="s">
        <v>12383</v>
      </c>
      <c r="C168" t="s">
        <v>12408</v>
      </c>
      <c r="D168" t="s">
        <v>12154</v>
      </c>
      <c r="G168" t="str">
        <f>Config!$B$7</f>
        <v>SCH/Connector.SchLib</v>
      </c>
      <c r="H168" t="s">
        <v>6988</v>
      </c>
      <c r="I168" s="39"/>
      <c r="J168" s="39"/>
      <c r="L168" s="1" t="s">
        <v>13508</v>
      </c>
      <c r="M168" t="s">
        <v>12486</v>
      </c>
      <c r="N168" t="s">
        <v>12155</v>
      </c>
      <c r="O168" t="s">
        <v>12424</v>
      </c>
      <c r="P168" t="s">
        <v>8466</v>
      </c>
      <c r="Q168">
        <v>14021755</v>
      </c>
    </row>
    <row r="169" spans="1:17" ht="15.75">
      <c r="A169" t="s">
        <v>12384</v>
      </c>
      <c r="B169" t="s">
        <v>12384</v>
      </c>
      <c r="C169" t="s">
        <v>12408</v>
      </c>
      <c r="D169" t="s">
        <v>12154</v>
      </c>
      <c r="G169" t="str">
        <f>Config!$B$7</f>
        <v>SCH/Connector.SchLib</v>
      </c>
      <c r="H169" t="s">
        <v>6988</v>
      </c>
      <c r="I169" s="39"/>
      <c r="J169" s="39"/>
      <c r="L169" s="1" t="s">
        <v>13508</v>
      </c>
      <c r="M169" t="s">
        <v>12486</v>
      </c>
      <c r="N169" t="s">
        <v>12155</v>
      </c>
      <c r="O169" t="s">
        <v>12425</v>
      </c>
      <c r="P169" t="s">
        <v>8466</v>
      </c>
      <c r="Q169">
        <v>14021756</v>
      </c>
    </row>
    <row r="170" spans="1:17" ht="15.75">
      <c r="A170" t="s">
        <v>12385</v>
      </c>
      <c r="B170" t="s">
        <v>12385</v>
      </c>
      <c r="C170" t="s">
        <v>12408</v>
      </c>
      <c r="D170" t="s">
        <v>12154</v>
      </c>
      <c r="G170" t="str">
        <f>Config!$B$7</f>
        <v>SCH/Connector.SchLib</v>
      </c>
      <c r="H170" t="s">
        <v>6988</v>
      </c>
      <c r="I170" s="39"/>
      <c r="J170" s="39"/>
      <c r="L170" s="1" t="s">
        <v>13508</v>
      </c>
      <c r="M170" t="s">
        <v>12486</v>
      </c>
      <c r="N170" t="s">
        <v>12155</v>
      </c>
      <c r="O170" t="s">
        <v>12426</v>
      </c>
    </row>
    <row r="171" spans="1:17" ht="15.75">
      <c r="A171" t="s">
        <v>12386</v>
      </c>
      <c r="B171" t="s">
        <v>12386</v>
      </c>
      <c r="C171" t="s">
        <v>12408</v>
      </c>
      <c r="D171" t="s">
        <v>12154</v>
      </c>
      <c r="G171" t="str">
        <f>Config!$B$7</f>
        <v>SCH/Connector.SchLib</v>
      </c>
      <c r="H171" t="s">
        <v>6988</v>
      </c>
      <c r="I171" s="39"/>
      <c r="J171" s="39"/>
      <c r="L171" s="1" t="s">
        <v>13508</v>
      </c>
      <c r="M171" t="s">
        <v>12486</v>
      </c>
      <c r="N171" t="s">
        <v>12155</v>
      </c>
      <c r="O171" t="s">
        <v>12427</v>
      </c>
      <c r="P171" t="s">
        <v>8466</v>
      </c>
      <c r="Q171">
        <v>30136213</v>
      </c>
    </row>
    <row r="172" spans="1:17" ht="15.75">
      <c r="A172" t="s">
        <v>12387</v>
      </c>
      <c r="B172" t="s">
        <v>12387</v>
      </c>
      <c r="C172" t="s">
        <v>12408</v>
      </c>
      <c r="D172" t="s">
        <v>12154</v>
      </c>
      <c r="G172" t="str">
        <f>Config!$B$7</f>
        <v>SCH/Connector.SchLib</v>
      </c>
      <c r="H172" t="s">
        <v>6988</v>
      </c>
      <c r="I172" s="39"/>
      <c r="J172" s="39"/>
      <c r="L172" s="1" t="s">
        <v>13508</v>
      </c>
      <c r="M172" t="s">
        <v>12486</v>
      </c>
      <c r="N172" t="s">
        <v>12155</v>
      </c>
      <c r="O172" t="s">
        <v>12428</v>
      </c>
    </row>
    <row r="173" spans="1:17" ht="15.75">
      <c r="A173" t="s">
        <v>12388</v>
      </c>
      <c r="B173" t="s">
        <v>12388</v>
      </c>
      <c r="C173" t="s">
        <v>12408</v>
      </c>
      <c r="D173" t="s">
        <v>12154</v>
      </c>
      <c r="G173" t="str">
        <f>Config!$B$7</f>
        <v>SCH/Connector.SchLib</v>
      </c>
      <c r="H173" t="s">
        <v>6988</v>
      </c>
      <c r="I173" s="39"/>
      <c r="J173" s="39"/>
      <c r="L173" s="1" t="s">
        <v>13508</v>
      </c>
      <c r="M173" t="s">
        <v>12486</v>
      </c>
      <c r="N173" t="s">
        <v>12155</v>
      </c>
      <c r="O173" t="s">
        <v>12429</v>
      </c>
    </row>
    <row r="174" spans="1:17" ht="15.75">
      <c r="A174" t="s">
        <v>12389</v>
      </c>
      <c r="B174" t="s">
        <v>12389</v>
      </c>
      <c r="C174" t="s">
        <v>12409</v>
      </c>
      <c r="D174" t="s">
        <v>12154</v>
      </c>
      <c r="G174" t="str">
        <f>Config!$B$7</f>
        <v>SCH/Connector.SchLib</v>
      </c>
      <c r="H174" t="s">
        <v>6988</v>
      </c>
      <c r="I174" s="39"/>
      <c r="J174" s="39"/>
      <c r="L174" s="1" t="s">
        <v>13508</v>
      </c>
      <c r="M174" t="s">
        <v>12487</v>
      </c>
      <c r="N174" t="s">
        <v>12155</v>
      </c>
      <c r="O174" t="s">
        <v>12430</v>
      </c>
      <c r="P174" t="s">
        <v>8466</v>
      </c>
      <c r="Q174">
        <v>14021809</v>
      </c>
    </row>
    <row r="175" spans="1:17" ht="15.75">
      <c r="A175" t="s">
        <v>12390</v>
      </c>
      <c r="B175" t="s">
        <v>12390</v>
      </c>
      <c r="C175" t="s">
        <v>12409</v>
      </c>
      <c r="D175" t="s">
        <v>12154</v>
      </c>
      <c r="G175" t="str">
        <f>Config!$B$7</f>
        <v>SCH/Connector.SchLib</v>
      </c>
      <c r="H175" t="s">
        <v>6988</v>
      </c>
      <c r="I175" s="39"/>
      <c r="J175" s="39"/>
      <c r="L175" s="1" t="s">
        <v>13508</v>
      </c>
      <c r="M175" t="s">
        <v>12487</v>
      </c>
      <c r="N175" t="s">
        <v>12155</v>
      </c>
      <c r="O175" t="s">
        <v>12431</v>
      </c>
      <c r="P175" t="s">
        <v>8466</v>
      </c>
      <c r="Q175">
        <v>14021804</v>
      </c>
    </row>
    <row r="176" spans="1:17" ht="15.75">
      <c r="A176" t="s">
        <v>12391</v>
      </c>
      <c r="B176" t="s">
        <v>12391</v>
      </c>
      <c r="C176" t="s">
        <v>12409</v>
      </c>
      <c r="D176" t="s">
        <v>12154</v>
      </c>
      <c r="G176" t="str">
        <f>Config!$B$7</f>
        <v>SCH/Connector.SchLib</v>
      </c>
      <c r="H176" t="s">
        <v>6988</v>
      </c>
      <c r="I176" s="39"/>
      <c r="J176" s="39"/>
      <c r="L176" s="1" t="s">
        <v>13508</v>
      </c>
      <c r="M176" t="s">
        <v>12487</v>
      </c>
      <c r="N176" t="s">
        <v>12155</v>
      </c>
      <c r="O176" t="s">
        <v>12432</v>
      </c>
      <c r="P176" t="s">
        <v>8466</v>
      </c>
      <c r="Q176">
        <v>14021805</v>
      </c>
    </row>
    <row r="177" spans="1:17" ht="15.75">
      <c r="A177" t="s">
        <v>12392</v>
      </c>
      <c r="B177" t="s">
        <v>12392</v>
      </c>
      <c r="C177" t="s">
        <v>12409</v>
      </c>
      <c r="D177" t="s">
        <v>12154</v>
      </c>
      <c r="G177" t="str">
        <f>Config!$B$7</f>
        <v>SCH/Connector.SchLib</v>
      </c>
      <c r="H177" t="s">
        <v>6988</v>
      </c>
      <c r="I177" s="39"/>
      <c r="J177" s="39"/>
      <c r="L177" s="1" t="s">
        <v>13508</v>
      </c>
      <c r="M177" t="s">
        <v>12487</v>
      </c>
      <c r="N177" t="s">
        <v>12155</v>
      </c>
      <c r="O177" t="s">
        <v>12433</v>
      </c>
      <c r="P177" t="s">
        <v>8466</v>
      </c>
      <c r="Q177">
        <v>14021808</v>
      </c>
    </row>
    <row r="178" spans="1:17" ht="15.75">
      <c r="A178" t="s">
        <v>12393</v>
      </c>
      <c r="B178" t="s">
        <v>12393</v>
      </c>
      <c r="C178" t="s">
        <v>12409</v>
      </c>
      <c r="D178" t="s">
        <v>12154</v>
      </c>
      <c r="G178" t="str">
        <f>Config!$B$7</f>
        <v>SCH/Connector.SchLib</v>
      </c>
      <c r="H178" t="s">
        <v>6988</v>
      </c>
      <c r="I178" s="39"/>
      <c r="J178" s="39"/>
      <c r="L178" s="1" t="s">
        <v>13508</v>
      </c>
      <c r="M178" t="s">
        <v>12487</v>
      </c>
      <c r="N178" t="s">
        <v>12155</v>
      </c>
      <c r="O178" t="s">
        <v>12434</v>
      </c>
    </row>
    <row r="179" spans="1:17" ht="15.75">
      <c r="A179" t="s">
        <v>12394</v>
      </c>
      <c r="B179" t="s">
        <v>12394</v>
      </c>
      <c r="C179" t="s">
        <v>12409</v>
      </c>
      <c r="D179" t="s">
        <v>12154</v>
      </c>
      <c r="G179" t="str">
        <f>Config!$B$7</f>
        <v>SCH/Connector.SchLib</v>
      </c>
      <c r="H179" t="s">
        <v>6988</v>
      </c>
      <c r="I179" s="39"/>
      <c r="J179" s="39"/>
      <c r="L179" s="1" t="s">
        <v>13508</v>
      </c>
      <c r="M179" t="s">
        <v>12487</v>
      </c>
      <c r="N179" t="s">
        <v>12155</v>
      </c>
      <c r="O179" t="s">
        <v>12435</v>
      </c>
    </row>
    <row r="180" spans="1:17" ht="15.75">
      <c r="A180" t="s">
        <v>12395</v>
      </c>
      <c r="B180" t="s">
        <v>12395</v>
      </c>
      <c r="C180" t="s">
        <v>12409</v>
      </c>
      <c r="D180" t="s">
        <v>12154</v>
      </c>
      <c r="G180" t="str">
        <f>Config!$B$7</f>
        <v>SCH/Connector.SchLib</v>
      </c>
      <c r="H180" t="s">
        <v>6988</v>
      </c>
      <c r="I180" s="39"/>
      <c r="J180" s="39"/>
      <c r="L180" s="1" t="s">
        <v>13508</v>
      </c>
      <c r="M180" t="s">
        <v>12487</v>
      </c>
      <c r="N180" t="s">
        <v>12155</v>
      </c>
      <c r="O180" t="s">
        <v>12436</v>
      </c>
    </row>
    <row r="181" spans="1:17" ht="15.75">
      <c r="A181" t="s">
        <v>12396</v>
      </c>
      <c r="B181" t="s">
        <v>12396</v>
      </c>
      <c r="C181" t="s">
        <v>12409</v>
      </c>
      <c r="D181" t="s">
        <v>12154</v>
      </c>
      <c r="G181" t="str">
        <f>Config!$B$7</f>
        <v>SCH/Connector.SchLib</v>
      </c>
      <c r="H181" t="s">
        <v>6988</v>
      </c>
      <c r="I181" s="39"/>
      <c r="J181" s="39"/>
      <c r="L181" s="1" t="s">
        <v>13508</v>
      </c>
      <c r="M181" t="s">
        <v>12487</v>
      </c>
      <c r="N181" t="s">
        <v>12155</v>
      </c>
      <c r="O181" t="s">
        <v>12437</v>
      </c>
    </row>
    <row r="182" spans="1:17" ht="15.75">
      <c r="A182" t="s">
        <v>12397</v>
      </c>
      <c r="B182" t="s">
        <v>12397</v>
      </c>
      <c r="C182" t="s">
        <v>12409</v>
      </c>
      <c r="D182" t="s">
        <v>12154</v>
      </c>
      <c r="G182" t="str">
        <f>Config!$B$7</f>
        <v>SCH/Connector.SchLib</v>
      </c>
      <c r="H182" t="s">
        <v>6988</v>
      </c>
      <c r="I182" s="39"/>
      <c r="J182" s="39"/>
      <c r="L182" s="1" t="s">
        <v>13508</v>
      </c>
      <c r="M182" t="s">
        <v>12487</v>
      </c>
      <c r="N182" t="s">
        <v>12155</v>
      </c>
      <c r="O182" t="s">
        <v>12438</v>
      </c>
    </row>
    <row r="183" spans="1:17" ht="15.75">
      <c r="A183" t="s">
        <v>12398</v>
      </c>
      <c r="B183" t="s">
        <v>12398</v>
      </c>
      <c r="C183" t="s">
        <v>12409</v>
      </c>
      <c r="D183" t="s">
        <v>12154</v>
      </c>
      <c r="G183" t="str">
        <f>Config!$B$7</f>
        <v>SCH/Connector.SchLib</v>
      </c>
      <c r="H183" t="s">
        <v>6988</v>
      </c>
      <c r="I183" s="39"/>
      <c r="J183" s="39"/>
      <c r="L183" s="1" t="s">
        <v>13508</v>
      </c>
      <c r="M183" t="s">
        <v>12487</v>
      </c>
      <c r="N183" t="s">
        <v>12155</v>
      </c>
      <c r="O183" t="s">
        <v>12439</v>
      </c>
    </row>
    <row r="184" spans="1:17" ht="15.75">
      <c r="A184" t="s">
        <v>12463</v>
      </c>
      <c r="B184" t="s">
        <v>12463</v>
      </c>
      <c r="C184" t="s">
        <v>12484</v>
      </c>
      <c r="D184" t="s">
        <v>12154</v>
      </c>
      <c r="G184" t="str">
        <f>Config!$B$7</f>
        <v>SCH/Connector.SchLib</v>
      </c>
      <c r="H184" t="s">
        <v>6988</v>
      </c>
      <c r="I184" s="39"/>
      <c r="J184" s="39"/>
      <c r="L184" s="1" t="s">
        <v>13508</v>
      </c>
      <c r="M184" t="s">
        <v>12440</v>
      </c>
      <c r="N184" t="s">
        <v>12155</v>
      </c>
      <c r="O184" t="s">
        <v>12441</v>
      </c>
    </row>
    <row r="185" spans="1:17" ht="15.75">
      <c r="A185" t="s">
        <v>12464</v>
      </c>
      <c r="B185" t="s">
        <v>12464</v>
      </c>
      <c r="C185" t="s">
        <v>12484</v>
      </c>
      <c r="D185" t="s">
        <v>12154</v>
      </c>
      <c r="G185" t="str">
        <f>Config!$B$7</f>
        <v>SCH/Connector.SchLib</v>
      </c>
      <c r="H185" t="s">
        <v>6988</v>
      </c>
      <c r="I185" s="39"/>
      <c r="J185" s="39"/>
      <c r="L185" s="1" t="s">
        <v>13508</v>
      </c>
      <c r="M185" t="s">
        <v>12440</v>
      </c>
      <c r="N185" t="s">
        <v>12155</v>
      </c>
      <c r="O185" t="s">
        <v>12442</v>
      </c>
      <c r="P185" t="s">
        <v>8466</v>
      </c>
      <c r="Q185">
        <v>30136393</v>
      </c>
    </row>
    <row r="186" spans="1:17" ht="15.75">
      <c r="A186" t="s">
        <v>12465</v>
      </c>
      <c r="B186" t="s">
        <v>12465</v>
      </c>
      <c r="C186" t="s">
        <v>12484</v>
      </c>
      <c r="D186" t="s">
        <v>12154</v>
      </c>
      <c r="G186" t="str">
        <f>Config!$B$7</f>
        <v>SCH/Connector.SchLib</v>
      </c>
      <c r="H186" t="s">
        <v>6988</v>
      </c>
      <c r="I186" s="39"/>
      <c r="J186" s="39"/>
      <c r="L186" s="1" t="s">
        <v>13508</v>
      </c>
      <c r="M186" t="s">
        <v>12440</v>
      </c>
      <c r="N186" t="s">
        <v>12155</v>
      </c>
      <c r="O186" t="s">
        <v>12443</v>
      </c>
      <c r="P186" t="s">
        <v>8466</v>
      </c>
      <c r="Q186">
        <v>30136394</v>
      </c>
    </row>
    <row r="187" spans="1:17" ht="15.75">
      <c r="A187" t="s">
        <v>12466</v>
      </c>
      <c r="B187" t="s">
        <v>12466</v>
      </c>
      <c r="C187" t="s">
        <v>12484</v>
      </c>
      <c r="D187" t="s">
        <v>12154</v>
      </c>
      <c r="G187" t="str">
        <f>Config!$B$7</f>
        <v>SCH/Connector.SchLib</v>
      </c>
      <c r="H187" t="s">
        <v>6988</v>
      </c>
      <c r="I187" s="39"/>
      <c r="J187" s="39"/>
      <c r="L187" s="1" t="s">
        <v>13508</v>
      </c>
      <c r="M187" t="s">
        <v>12440</v>
      </c>
      <c r="N187" t="s">
        <v>12155</v>
      </c>
      <c r="O187" t="s">
        <v>12444</v>
      </c>
      <c r="P187" t="s">
        <v>8466</v>
      </c>
      <c r="Q187">
        <v>30136395</v>
      </c>
    </row>
    <row r="188" spans="1:17" ht="15.75">
      <c r="A188" t="s">
        <v>12467</v>
      </c>
      <c r="B188" t="s">
        <v>12467</v>
      </c>
      <c r="C188" t="s">
        <v>12484</v>
      </c>
      <c r="D188" t="s">
        <v>12154</v>
      </c>
      <c r="G188" t="str">
        <f>Config!$B$7</f>
        <v>SCH/Connector.SchLib</v>
      </c>
      <c r="H188" t="s">
        <v>6988</v>
      </c>
      <c r="I188" s="39"/>
      <c r="J188" s="39"/>
      <c r="L188" s="1" t="s">
        <v>13508</v>
      </c>
      <c r="M188" t="s">
        <v>12440</v>
      </c>
      <c r="N188" t="s">
        <v>12155</v>
      </c>
      <c r="O188" t="s">
        <v>12445</v>
      </c>
      <c r="P188" t="s">
        <v>8466</v>
      </c>
      <c r="Q188">
        <v>30136396</v>
      </c>
    </row>
    <row r="189" spans="1:17" ht="15.75">
      <c r="A189" t="s">
        <v>12468</v>
      </c>
      <c r="B189" t="s">
        <v>12468</v>
      </c>
      <c r="C189" t="s">
        <v>12484</v>
      </c>
      <c r="D189" t="s">
        <v>12154</v>
      </c>
      <c r="G189" t="str">
        <f>Config!$B$7</f>
        <v>SCH/Connector.SchLib</v>
      </c>
      <c r="H189" t="s">
        <v>6988</v>
      </c>
      <c r="I189" s="39"/>
      <c r="J189" s="39"/>
      <c r="L189" s="1" t="s">
        <v>13508</v>
      </c>
      <c r="M189" t="s">
        <v>12440</v>
      </c>
      <c r="N189" t="s">
        <v>12155</v>
      </c>
      <c r="O189" t="s">
        <v>12446</v>
      </c>
    </row>
    <row r="190" spans="1:17" ht="15.75">
      <c r="A190" t="s">
        <v>12469</v>
      </c>
      <c r="B190" t="s">
        <v>12469</v>
      </c>
      <c r="C190" t="s">
        <v>12484</v>
      </c>
      <c r="D190" t="s">
        <v>12154</v>
      </c>
      <c r="G190" t="str">
        <f>Config!$B$7</f>
        <v>SCH/Connector.SchLib</v>
      </c>
      <c r="H190" t="s">
        <v>6988</v>
      </c>
      <c r="I190" s="39"/>
      <c r="J190" s="39"/>
      <c r="L190" s="1" t="s">
        <v>13508</v>
      </c>
      <c r="M190" t="s">
        <v>12440</v>
      </c>
      <c r="N190" t="s">
        <v>12155</v>
      </c>
      <c r="O190" t="s">
        <v>12447</v>
      </c>
    </row>
    <row r="191" spans="1:17" ht="15.75">
      <c r="A191" t="s">
        <v>12470</v>
      </c>
      <c r="B191" t="s">
        <v>12470</v>
      </c>
      <c r="C191" t="s">
        <v>12484</v>
      </c>
      <c r="D191" t="s">
        <v>12154</v>
      </c>
      <c r="G191" t="str">
        <f>Config!$B$7</f>
        <v>SCH/Connector.SchLib</v>
      </c>
      <c r="H191" t="s">
        <v>6988</v>
      </c>
      <c r="I191" s="39"/>
      <c r="J191" s="39"/>
      <c r="L191" s="1" t="s">
        <v>13508</v>
      </c>
      <c r="M191" t="s">
        <v>12440</v>
      </c>
      <c r="N191" t="s">
        <v>12155</v>
      </c>
      <c r="O191" t="s">
        <v>12448</v>
      </c>
      <c r="P191" t="s">
        <v>8466</v>
      </c>
      <c r="Q191">
        <v>30136399</v>
      </c>
    </row>
    <row r="192" spans="1:17" ht="15.75">
      <c r="A192" t="s">
        <v>12471</v>
      </c>
      <c r="B192" t="s">
        <v>12471</v>
      </c>
      <c r="C192" t="s">
        <v>12484</v>
      </c>
      <c r="D192" t="s">
        <v>12154</v>
      </c>
      <c r="G192" t="str">
        <f>Config!$B$7</f>
        <v>SCH/Connector.SchLib</v>
      </c>
      <c r="H192" t="s">
        <v>6988</v>
      </c>
      <c r="I192" s="39"/>
      <c r="J192" s="39"/>
      <c r="L192" s="1" t="s">
        <v>13508</v>
      </c>
      <c r="M192" t="s">
        <v>12440</v>
      </c>
      <c r="N192" t="s">
        <v>12155</v>
      </c>
      <c r="O192" t="s">
        <v>12449</v>
      </c>
      <c r="P192" t="s">
        <v>8466</v>
      </c>
      <c r="Q192">
        <v>30136400</v>
      </c>
    </row>
    <row r="193" spans="1:17" ht="15.75">
      <c r="A193" t="s">
        <v>12472</v>
      </c>
      <c r="B193" t="s">
        <v>12472</v>
      </c>
      <c r="C193" t="s">
        <v>12484</v>
      </c>
      <c r="D193" t="s">
        <v>12154</v>
      </c>
      <c r="G193" t="str">
        <f>Config!$B$7</f>
        <v>SCH/Connector.SchLib</v>
      </c>
      <c r="H193" t="s">
        <v>6988</v>
      </c>
      <c r="I193" s="39"/>
      <c r="J193" s="39"/>
      <c r="L193" s="1" t="s">
        <v>13508</v>
      </c>
      <c r="M193" t="s">
        <v>12440</v>
      </c>
      <c r="N193" t="s">
        <v>12155</v>
      </c>
      <c r="O193" t="s">
        <v>12450</v>
      </c>
    </row>
    <row r="194" spans="1:17" ht="15.75">
      <c r="A194" t="s">
        <v>12473</v>
      </c>
      <c r="B194" t="s">
        <v>12473</v>
      </c>
      <c r="C194" t="s">
        <v>12474</v>
      </c>
      <c r="D194" t="s">
        <v>12154</v>
      </c>
      <c r="G194" t="str">
        <f>Config!$B$7</f>
        <v>SCH/Connector.SchLib</v>
      </c>
      <c r="H194" t="s">
        <v>6988</v>
      </c>
      <c r="I194" s="39"/>
      <c r="J194" s="39"/>
      <c r="L194" s="1" t="s">
        <v>13508</v>
      </c>
      <c r="M194" t="s">
        <v>12462</v>
      </c>
      <c r="N194" t="s">
        <v>12155</v>
      </c>
      <c r="O194" t="s">
        <v>12451</v>
      </c>
    </row>
    <row r="195" spans="1:17" ht="15.75">
      <c r="A195" t="s">
        <v>12475</v>
      </c>
      <c r="B195" t="s">
        <v>12475</v>
      </c>
      <c r="C195" t="s">
        <v>12474</v>
      </c>
      <c r="D195" t="s">
        <v>12154</v>
      </c>
      <c r="G195" t="str">
        <f>Config!$B$7</f>
        <v>SCH/Connector.SchLib</v>
      </c>
      <c r="H195" t="s">
        <v>6988</v>
      </c>
      <c r="I195" s="39"/>
      <c r="J195" s="39"/>
      <c r="L195" s="1" t="s">
        <v>13508</v>
      </c>
      <c r="M195" t="s">
        <v>12462</v>
      </c>
      <c r="N195" t="s">
        <v>12155</v>
      </c>
      <c r="O195" t="s">
        <v>12452</v>
      </c>
      <c r="P195" t="s">
        <v>8466</v>
      </c>
      <c r="Q195">
        <v>30136403</v>
      </c>
    </row>
    <row r="196" spans="1:17" ht="15.75">
      <c r="A196" t="s">
        <v>12476</v>
      </c>
      <c r="B196" t="s">
        <v>12476</v>
      </c>
      <c r="C196" t="s">
        <v>12474</v>
      </c>
      <c r="D196" t="s">
        <v>12154</v>
      </c>
      <c r="G196" t="str">
        <f>Config!$B$7</f>
        <v>SCH/Connector.SchLib</v>
      </c>
      <c r="H196" t="s">
        <v>6988</v>
      </c>
      <c r="I196" s="39"/>
      <c r="J196" s="39"/>
      <c r="L196" s="1" t="s">
        <v>13508</v>
      </c>
      <c r="M196" t="s">
        <v>12462</v>
      </c>
      <c r="N196" t="s">
        <v>12155</v>
      </c>
      <c r="O196" t="s">
        <v>12453</v>
      </c>
      <c r="P196" t="s">
        <v>8466</v>
      </c>
      <c r="Q196">
        <v>30136404</v>
      </c>
    </row>
    <row r="197" spans="1:17" ht="15.75">
      <c r="A197" t="s">
        <v>12477</v>
      </c>
      <c r="B197" t="s">
        <v>12477</v>
      </c>
      <c r="C197" t="s">
        <v>12474</v>
      </c>
      <c r="D197" t="s">
        <v>12154</v>
      </c>
      <c r="G197" t="str">
        <f>Config!$B$7</f>
        <v>SCH/Connector.SchLib</v>
      </c>
      <c r="H197" t="s">
        <v>6988</v>
      </c>
      <c r="I197" s="39"/>
      <c r="J197" s="39"/>
      <c r="L197" s="1" t="s">
        <v>13508</v>
      </c>
      <c r="M197" t="s">
        <v>12462</v>
      </c>
      <c r="N197" t="s">
        <v>12155</v>
      </c>
      <c r="O197" t="s">
        <v>12454</v>
      </c>
      <c r="P197" t="s">
        <v>8466</v>
      </c>
      <c r="Q197">
        <v>30136405</v>
      </c>
    </row>
    <row r="198" spans="1:17" ht="15.75">
      <c r="A198" t="s">
        <v>12478</v>
      </c>
      <c r="B198" t="s">
        <v>12478</v>
      </c>
      <c r="C198" t="s">
        <v>12474</v>
      </c>
      <c r="D198" t="s">
        <v>12154</v>
      </c>
      <c r="G198" t="str">
        <f>Config!$B$7</f>
        <v>SCH/Connector.SchLib</v>
      </c>
      <c r="H198" t="s">
        <v>6988</v>
      </c>
      <c r="I198" s="39"/>
      <c r="J198" s="39"/>
      <c r="L198" s="1" t="s">
        <v>13508</v>
      </c>
      <c r="M198" t="s">
        <v>12462</v>
      </c>
      <c r="N198" t="s">
        <v>12155</v>
      </c>
      <c r="O198" t="s">
        <v>12455</v>
      </c>
    </row>
    <row r="199" spans="1:17" ht="15.75">
      <c r="A199" t="s">
        <v>12479</v>
      </c>
      <c r="B199" t="s">
        <v>12479</v>
      </c>
      <c r="C199" t="s">
        <v>12474</v>
      </c>
      <c r="D199" t="s">
        <v>12154</v>
      </c>
      <c r="G199" t="str">
        <f>Config!$B$7</f>
        <v>SCH/Connector.SchLib</v>
      </c>
      <c r="H199" t="s">
        <v>6988</v>
      </c>
      <c r="I199" s="39"/>
      <c r="J199" s="39"/>
      <c r="L199" s="1" t="s">
        <v>13508</v>
      </c>
      <c r="M199" t="s">
        <v>12462</v>
      </c>
      <c r="N199" t="s">
        <v>12155</v>
      </c>
      <c r="O199" t="s">
        <v>12456</v>
      </c>
    </row>
    <row r="200" spans="1:17" ht="15.75">
      <c r="A200" t="s">
        <v>12480</v>
      </c>
      <c r="B200" t="s">
        <v>12480</v>
      </c>
      <c r="C200" t="s">
        <v>12474</v>
      </c>
      <c r="D200" t="s">
        <v>12154</v>
      </c>
      <c r="G200" t="str">
        <f>Config!$B$7</f>
        <v>SCH/Connector.SchLib</v>
      </c>
      <c r="H200" t="s">
        <v>6988</v>
      </c>
      <c r="I200" s="39"/>
      <c r="J200" s="39"/>
      <c r="L200" s="1" t="s">
        <v>13508</v>
      </c>
      <c r="M200" t="s">
        <v>12462</v>
      </c>
      <c r="N200" t="s">
        <v>12155</v>
      </c>
      <c r="O200" t="s">
        <v>12457</v>
      </c>
    </row>
    <row r="201" spans="1:17" ht="15.75">
      <c r="A201" t="s">
        <v>12481</v>
      </c>
      <c r="B201" t="s">
        <v>12481</v>
      </c>
      <c r="C201" t="s">
        <v>12474</v>
      </c>
      <c r="D201" t="s">
        <v>12154</v>
      </c>
      <c r="G201" t="str">
        <f>Config!$B$7</f>
        <v>SCH/Connector.SchLib</v>
      </c>
      <c r="H201" t="s">
        <v>6988</v>
      </c>
      <c r="I201" s="39"/>
      <c r="J201" s="39"/>
      <c r="L201" s="1" t="s">
        <v>13508</v>
      </c>
      <c r="M201" t="s">
        <v>12462</v>
      </c>
      <c r="N201" t="s">
        <v>12155</v>
      </c>
      <c r="O201" t="s">
        <v>12458</v>
      </c>
      <c r="P201" t="s">
        <v>8466</v>
      </c>
      <c r="Q201">
        <v>30136409</v>
      </c>
    </row>
    <row r="202" spans="1:17" ht="15.75">
      <c r="A202" t="s">
        <v>12482</v>
      </c>
      <c r="B202" t="s">
        <v>12482</v>
      </c>
      <c r="C202" t="s">
        <v>12474</v>
      </c>
      <c r="D202" t="s">
        <v>12154</v>
      </c>
      <c r="G202" t="str">
        <f>Config!$B$7</f>
        <v>SCH/Connector.SchLib</v>
      </c>
      <c r="H202" t="s">
        <v>6988</v>
      </c>
      <c r="I202" s="39"/>
      <c r="J202" s="39"/>
      <c r="L202" s="1" t="s">
        <v>13508</v>
      </c>
      <c r="M202" t="s">
        <v>12462</v>
      </c>
      <c r="N202" t="s">
        <v>12155</v>
      </c>
      <c r="O202" t="s">
        <v>12459</v>
      </c>
      <c r="P202" t="s">
        <v>8466</v>
      </c>
      <c r="Q202">
        <v>30136410</v>
      </c>
    </row>
    <row r="203" spans="1:17" ht="15.75">
      <c r="A203" t="s">
        <v>12483</v>
      </c>
      <c r="B203" t="s">
        <v>12483</v>
      </c>
      <c r="C203" t="s">
        <v>12474</v>
      </c>
      <c r="D203" t="s">
        <v>12154</v>
      </c>
      <c r="G203" t="str">
        <f>Config!$B$7</f>
        <v>SCH/Connector.SchLib</v>
      </c>
      <c r="H203" t="s">
        <v>6988</v>
      </c>
      <c r="I203" s="39"/>
      <c r="J203" s="39"/>
      <c r="L203" s="1" t="s">
        <v>13508</v>
      </c>
      <c r="M203" t="s">
        <v>12462</v>
      </c>
      <c r="N203" t="s">
        <v>12155</v>
      </c>
      <c r="O203" t="s">
        <v>12461</v>
      </c>
    </row>
    <row r="204" spans="1:17" ht="15.75">
      <c r="A204" t="s">
        <v>14049</v>
      </c>
      <c r="B204" t="s">
        <v>14049</v>
      </c>
      <c r="C204" t="s">
        <v>14050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14049</v>
      </c>
      <c r="L204" s="1" t="s">
        <v>13508</v>
      </c>
    </row>
    <row r="205" spans="1:17" ht="15.75">
      <c r="A205" t="s">
        <v>14047</v>
      </c>
      <c r="B205" t="s">
        <v>14047</v>
      </c>
      <c r="C205" t="s">
        <v>14048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14047</v>
      </c>
      <c r="L205" s="1" t="s">
        <v>13508</v>
      </c>
    </row>
    <row r="206" spans="1:17" ht="15.75">
      <c r="A206" t="s">
        <v>14045</v>
      </c>
      <c r="B206" t="s">
        <v>14045</v>
      </c>
      <c r="C206" t="s">
        <v>14046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14045</v>
      </c>
      <c r="L206" s="1" t="s">
        <v>13508</v>
      </c>
    </row>
    <row r="207" spans="1:17" ht="15.75">
      <c r="A207" t="s">
        <v>14041</v>
      </c>
      <c r="B207" t="s">
        <v>14041</v>
      </c>
      <c r="C207" t="s">
        <v>14043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14041</v>
      </c>
      <c r="L207" s="1" t="s">
        <v>13508</v>
      </c>
    </row>
    <row r="208" spans="1:17" ht="15.75">
      <c r="A208" t="s">
        <v>14042</v>
      </c>
      <c r="B208" t="s">
        <v>14042</v>
      </c>
      <c r="C208" t="s">
        <v>14044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14042</v>
      </c>
      <c r="L208" s="1" t="s">
        <v>13508</v>
      </c>
    </row>
    <row r="209" spans="1:25" ht="15.75">
      <c r="A209" t="s">
        <v>12724</v>
      </c>
      <c r="B209" t="s">
        <v>12724</v>
      </c>
      <c r="C209" t="s">
        <v>12729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12724</v>
      </c>
      <c r="L209" s="1" t="s">
        <v>13508</v>
      </c>
    </row>
    <row r="210" spans="1:25" ht="15.75">
      <c r="A210" t="s">
        <v>13395</v>
      </c>
      <c r="B210" t="s">
        <v>13395</v>
      </c>
      <c r="C210" t="s">
        <v>13396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13395</v>
      </c>
      <c r="L210" s="1" t="s">
        <v>13508</v>
      </c>
    </row>
    <row r="211" spans="1:25" ht="15.75">
      <c r="A211" t="s">
        <v>12725</v>
      </c>
      <c r="B211" t="s">
        <v>12725</v>
      </c>
      <c r="C211" t="s">
        <v>12730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12725</v>
      </c>
      <c r="L211" s="1" t="s">
        <v>13508</v>
      </c>
    </row>
    <row r="212" spans="1:25" ht="15.75">
      <c r="A212" t="s">
        <v>12736</v>
      </c>
      <c r="B212" t="s">
        <v>12736</v>
      </c>
      <c r="C212" t="s">
        <v>12737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12736</v>
      </c>
      <c r="L212" s="1" t="s">
        <v>13508</v>
      </c>
    </row>
    <row r="213" spans="1:25" ht="15.75">
      <c r="A213" t="s">
        <v>12726</v>
      </c>
      <c r="B213" t="s">
        <v>12726</v>
      </c>
      <c r="C213" t="s">
        <v>12731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12726</v>
      </c>
      <c r="L213" s="1" t="s">
        <v>13508</v>
      </c>
    </row>
    <row r="214" spans="1:25" ht="15.75">
      <c r="A214" t="s">
        <v>12734</v>
      </c>
      <c r="B214" t="s">
        <v>12734</v>
      </c>
      <c r="C214" t="s">
        <v>12735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12734</v>
      </c>
      <c r="L214" s="1" t="s">
        <v>13508</v>
      </c>
    </row>
    <row r="215" spans="1:25" ht="15.75">
      <c r="A215" t="s">
        <v>12727</v>
      </c>
      <c r="B215" t="s">
        <v>12727</v>
      </c>
      <c r="C215" t="s">
        <v>12732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12727</v>
      </c>
      <c r="L215" s="1" t="s">
        <v>13508</v>
      </c>
    </row>
    <row r="216" spans="1:25" ht="15.75">
      <c r="A216" t="s">
        <v>12728</v>
      </c>
      <c r="B216" t="s">
        <v>12728</v>
      </c>
      <c r="C216" t="s">
        <v>12733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12728</v>
      </c>
      <c r="L216" s="1" t="s">
        <v>13508</v>
      </c>
    </row>
    <row r="217" spans="1:25" ht="15.75">
      <c r="A217" t="s">
        <v>13080</v>
      </c>
      <c r="B217">
        <v>5600200320</v>
      </c>
      <c r="C217" t="s">
        <v>13081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13508</v>
      </c>
      <c r="M217" t="s">
        <v>13082</v>
      </c>
      <c r="N217" t="s">
        <v>6641</v>
      </c>
      <c r="O217" s="14" t="s">
        <v>13083</v>
      </c>
      <c r="P217" t="s">
        <v>26</v>
      </c>
      <c r="Q217" t="s">
        <v>13084</v>
      </c>
      <c r="V217" t="s">
        <v>6641</v>
      </c>
      <c r="W217" s="14" t="s">
        <v>13083</v>
      </c>
      <c r="X217" t="s">
        <v>4561</v>
      </c>
      <c r="Y217" t="s">
        <v>13085</v>
      </c>
    </row>
    <row r="218" spans="1:25" ht="15.75">
      <c r="A218" t="s">
        <v>13086</v>
      </c>
      <c r="B218">
        <v>5023520300</v>
      </c>
      <c r="C218" t="s">
        <v>13087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13508</v>
      </c>
      <c r="M218" t="s">
        <v>13088</v>
      </c>
      <c r="N218" t="s">
        <v>6641</v>
      </c>
      <c r="O218">
        <v>5023520300</v>
      </c>
      <c r="P218" t="s">
        <v>26</v>
      </c>
      <c r="Q218" t="s">
        <v>13089</v>
      </c>
      <c r="V218" t="s">
        <v>6641</v>
      </c>
      <c r="W218">
        <v>5023520300</v>
      </c>
      <c r="X218" t="s">
        <v>4561</v>
      </c>
      <c r="Y218" t="s">
        <v>13090</v>
      </c>
    </row>
    <row r="219" spans="1:25" ht="15.75">
      <c r="A219" t="s">
        <v>13091</v>
      </c>
      <c r="B219">
        <v>5023520200</v>
      </c>
      <c r="C219" t="s">
        <v>13092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13508</v>
      </c>
      <c r="M219" s="28" t="s">
        <v>13094</v>
      </c>
      <c r="N219" t="s">
        <v>6641</v>
      </c>
      <c r="O219">
        <v>5023520200</v>
      </c>
      <c r="P219" t="s">
        <v>26</v>
      </c>
      <c r="Q219" t="s">
        <v>13093</v>
      </c>
      <c r="V219" t="s">
        <v>6641</v>
      </c>
      <c r="W219">
        <v>5023520200</v>
      </c>
      <c r="X219" t="s">
        <v>4561</v>
      </c>
      <c r="Y219" t="s">
        <v>13095</v>
      </c>
    </row>
    <row r="220" spans="1:25" ht="15.75">
      <c r="A220" t="s">
        <v>13315</v>
      </c>
      <c r="B220" t="s">
        <v>13316</v>
      </c>
      <c r="C220" t="s">
        <v>13317</v>
      </c>
      <c r="D220" t="s">
        <v>13055</v>
      </c>
      <c r="G220" t="str">
        <f>Config!$B$7</f>
        <v>SCH/Connector.SchLib</v>
      </c>
      <c r="H220" t="s">
        <v>13318</v>
      </c>
      <c r="I220" t="s">
        <v>7988</v>
      </c>
      <c r="J220" t="s">
        <v>13339</v>
      </c>
      <c r="L220" s="1" t="s">
        <v>13508</v>
      </c>
      <c r="M220" t="s">
        <v>13319</v>
      </c>
      <c r="N220" t="s">
        <v>13055</v>
      </c>
      <c r="O220" t="s">
        <v>13321</v>
      </c>
      <c r="P220" t="s">
        <v>26</v>
      </c>
      <c r="Q220" t="s">
        <v>13320</v>
      </c>
      <c r="V220" t="s">
        <v>13324</v>
      </c>
      <c r="W220" t="s">
        <v>13322</v>
      </c>
      <c r="X220" t="s">
        <v>4561</v>
      </c>
      <c r="Y220" t="s">
        <v>13323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8891</v>
      </c>
      <c r="B6" t="s">
        <v>8891</v>
      </c>
      <c r="C6" t="s">
        <v>8892</v>
      </c>
      <c r="D6" t="s">
        <v>4403</v>
      </c>
      <c r="E6" t="s">
        <v>4555</v>
      </c>
      <c r="G6" t="str">
        <f>Config!$B$6</f>
        <v>SCH/Logic_IEC.SchLib</v>
      </c>
      <c r="H6" t="s">
        <v>10679</v>
      </c>
      <c r="I6" t="s">
        <v>4378</v>
      </c>
      <c r="J6" t="s">
        <v>8897</v>
      </c>
      <c r="L6" s="26" t="s">
        <v>8893</v>
      </c>
      <c r="M6" t="s">
        <v>6279</v>
      </c>
      <c r="N6" t="s">
        <v>8894</v>
      </c>
      <c r="O6" t="s">
        <v>26</v>
      </c>
      <c r="P6" t="s">
        <v>8895</v>
      </c>
      <c r="U6" t="s">
        <v>4403</v>
      </c>
      <c r="V6" t="s">
        <v>8894</v>
      </c>
      <c r="W6" t="s">
        <v>4561</v>
      </c>
      <c r="X6" t="s">
        <v>8896</v>
      </c>
      <c r="Y6" t="s">
        <v>4729</v>
      </c>
    </row>
    <row r="7" spans="1:25">
      <c r="A7" t="s">
        <v>14146</v>
      </c>
      <c r="B7" t="s">
        <v>14146</v>
      </c>
      <c r="C7" t="s">
        <v>14147</v>
      </c>
      <c r="D7" t="s">
        <v>6669</v>
      </c>
      <c r="E7" t="s">
        <v>14148</v>
      </c>
      <c r="G7" t="str">
        <f>Config!$B$6</f>
        <v>SCH/Logic_IEC.SchLib</v>
      </c>
      <c r="H7" t="s">
        <v>14149</v>
      </c>
      <c r="I7" t="s">
        <v>4379</v>
      </c>
      <c r="J7" t="s">
        <v>11075</v>
      </c>
      <c r="L7" s="26" t="s">
        <v>14150</v>
      </c>
      <c r="M7" t="s">
        <v>4519</v>
      </c>
      <c r="N7" t="s">
        <v>14151</v>
      </c>
      <c r="O7" t="s">
        <v>26</v>
      </c>
      <c r="P7" t="s">
        <v>14152</v>
      </c>
      <c r="U7" t="s">
        <v>6669</v>
      </c>
      <c r="V7" t="s">
        <v>14151</v>
      </c>
      <c r="W7" t="s">
        <v>4561</v>
      </c>
      <c r="X7" t="s">
        <v>14153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13676</v>
      </c>
      <c r="B5" t="s">
        <v>13676</v>
      </c>
      <c r="C5" t="s">
        <v>13684</v>
      </c>
      <c r="D5" t="s">
        <v>13692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13693</v>
      </c>
      <c r="O5" t="s">
        <v>26</v>
      </c>
      <c r="P5" t="s">
        <v>13697</v>
      </c>
    </row>
    <row r="6" spans="1:25">
      <c r="A6" t="s">
        <v>13677</v>
      </c>
      <c r="B6" t="s">
        <v>13677</v>
      </c>
      <c r="C6" t="s">
        <v>13685</v>
      </c>
      <c r="D6" t="s">
        <v>13692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13694</v>
      </c>
      <c r="O6" t="s">
        <v>26</v>
      </c>
      <c r="P6" t="s">
        <v>13698</v>
      </c>
    </row>
    <row r="7" spans="1:25">
      <c r="A7" t="s">
        <v>13678</v>
      </c>
      <c r="B7" t="s">
        <v>13678</v>
      </c>
      <c r="C7" t="s">
        <v>13686</v>
      </c>
      <c r="D7" t="s">
        <v>13692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13695</v>
      </c>
      <c r="O7" t="s">
        <v>26</v>
      </c>
      <c r="P7" t="s">
        <v>13699</v>
      </c>
    </row>
    <row r="8" spans="1:25">
      <c r="A8" t="s">
        <v>13679</v>
      </c>
      <c r="B8" t="s">
        <v>13679</v>
      </c>
      <c r="C8" t="s">
        <v>13687</v>
      </c>
      <c r="D8" t="s">
        <v>13692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13696</v>
      </c>
      <c r="O8" t="s">
        <v>26</v>
      </c>
      <c r="P8" t="s">
        <v>13700</v>
      </c>
    </row>
    <row r="9" spans="1:25">
      <c r="A9" t="s">
        <v>8040</v>
      </c>
      <c r="B9" t="s">
        <v>8040</v>
      </c>
      <c r="C9" t="s">
        <v>8041</v>
      </c>
      <c r="D9" t="s">
        <v>13692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13680</v>
      </c>
      <c r="B10" t="s">
        <v>13680</v>
      </c>
      <c r="C10" t="s">
        <v>13688</v>
      </c>
      <c r="D10" t="s">
        <v>13692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13701</v>
      </c>
      <c r="O10" t="s">
        <v>26</v>
      </c>
      <c r="P10" t="s">
        <v>13706</v>
      </c>
    </row>
    <row r="11" spans="1:25">
      <c r="A11" t="s">
        <v>13681</v>
      </c>
      <c r="B11" t="s">
        <v>13681</v>
      </c>
      <c r="C11" t="s">
        <v>13689</v>
      </c>
      <c r="D11" t="s">
        <v>13692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13702</v>
      </c>
      <c r="O11" t="s">
        <v>26</v>
      </c>
      <c r="P11" t="s">
        <v>13707</v>
      </c>
    </row>
    <row r="12" spans="1:25">
      <c r="A12" t="s">
        <v>6764</v>
      </c>
      <c r="B12" t="s">
        <v>6764</v>
      </c>
      <c r="C12" t="s">
        <v>8042</v>
      </c>
      <c r="D12" t="s">
        <v>13692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13703</v>
      </c>
      <c r="O12" t="s">
        <v>26</v>
      </c>
      <c r="P12" t="s">
        <v>13708</v>
      </c>
    </row>
    <row r="13" spans="1:25">
      <c r="A13" t="s">
        <v>13682</v>
      </c>
      <c r="B13" t="s">
        <v>13682</v>
      </c>
      <c r="C13" t="s">
        <v>13690</v>
      </c>
      <c r="D13" t="s">
        <v>13692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13704</v>
      </c>
      <c r="O13" t="s">
        <v>26</v>
      </c>
      <c r="P13" t="s">
        <v>13709</v>
      </c>
    </row>
    <row r="14" spans="1:25">
      <c r="A14" t="s">
        <v>13683</v>
      </c>
      <c r="B14" t="s">
        <v>13683</v>
      </c>
      <c r="C14" t="s">
        <v>13691</v>
      </c>
      <c r="D14" t="s">
        <v>13692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13705</v>
      </c>
      <c r="O14" t="s">
        <v>26</v>
      </c>
      <c r="P14" t="s">
        <v>13710</v>
      </c>
    </row>
    <row r="15" spans="1:25">
      <c r="A15" t="s">
        <v>8884</v>
      </c>
      <c r="B15" t="s">
        <v>8884</v>
      </c>
      <c r="C15" t="s">
        <v>8885</v>
      </c>
      <c r="D15" t="s">
        <v>8886</v>
      </c>
      <c r="E15" t="s">
        <v>470</v>
      </c>
      <c r="G15" t="s">
        <v>8890</v>
      </c>
      <c r="H15" t="s">
        <v>8884</v>
      </c>
      <c r="I15" t="s">
        <v>8887</v>
      </c>
      <c r="J15" t="s">
        <v>8888</v>
      </c>
      <c r="L15" t="s">
        <v>8889</v>
      </c>
      <c r="M15" t="s">
        <v>8886</v>
      </c>
    </row>
    <row r="16" spans="1:25">
      <c r="A16" t="s">
        <v>13924</v>
      </c>
      <c r="B16" t="s">
        <v>13924</v>
      </c>
      <c r="C16" t="s">
        <v>13926</v>
      </c>
      <c r="D16" t="s">
        <v>13928</v>
      </c>
      <c r="E16" t="s">
        <v>13929</v>
      </c>
      <c r="G16" t="s">
        <v>8890</v>
      </c>
      <c r="H16" t="s">
        <v>13924</v>
      </c>
      <c r="I16" t="s">
        <v>13932</v>
      </c>
      <c r="J16" t="s">
        <v>13924</v>
      </c>
      <c r="L16" t="s">
        <v>13922</v>
      </c>
      <c r="M16" t="s">
        <v>13930</v>
      </c>
      <c r="N16" t="s">
        <v>13924</v>
      </c>
      <c r="O16" t="s">
        <v>26</v>
      </c>
      <c r="P16" t="s">
        <v>13931</v>
      </c>
    </row>
    <row r="17" spans="1:16">
      <c r="A17" t="s">
        <v>13925</v>
      </c>
      <c r="B17" t="s">
        <v>13925</v>
      </c>
      <c r="C17" t="s">
        <v>13927</v>
      </c>
      <c r="D17" t="s">
        <v>13928</v>
      </c>
      <c r="E17" t="s">
        <v>13929</v>
      </c>
      <c r="G17" t="s">
        <v>8890</v>
      </c>
      <c r="H17" t="s">
        <v>13925</v>
      </c>
      <c r="I17" t="s">
        <v>13932</v>
      </c>
      <c r="J17" t="s">
        <v>13925</v>
      </c>
      <c r="L17" t="s">
        <v>13923</v>
      </c>
    </row>
    <row r="18" spans="1:16">
      <c r="A18" t="s">
        <v>13970</v>
      </c>
      <c r="B18" t="s">
        <v>13970</v>
      </c>
      <c r="C18" t="s">
        <v>13971</v>
      </c>
      <c r="D18" t="s">
        <v>13972</v>
      </c>
      <c r="E18" t="s">
        <v>13929</v>
      </c>
      <c r="G18" t="s">
        <v>8890</v>
      </c>
      <c r="H18" t="s">
        <v>13970</v>
      </c>
      <c r="L18" t="s">
        <v>13973</v>
      </c>
      <c r="M18" t="s">
        <v>13972</v>
      </c>
      <c r="N18" t="s">
        <v>13970</v>
      </c>
      <c r="O18" t="s">
        <v>26</v>
      </c>
      <c r="P18" t="s">
        <v>13974</v>
      </c>
    </row>
    <row r="19" spans="1:16">
      <c r="A19" t="s">
        <v>13975</v>
      </c>
      <c r="B19" t="s">
        <v>13975</v>
      </c>
      <c r="C19" t="s">
        <v>13976</v>
      </c>
      <c r="D19" t="s">
        <v>13977</v>
      </c>
      <c r="E19" t="s">
        <v>13929</v>
      </c>
      <c r="G19" t="s">
        <v>8890</v>
      </c>
      <c r="H19" t="s">
        <v>13975</v>
      </c>
      <c r="L19" t="s">
        <v>13978</v>
      </c>
      <c r="M19" t="s">
        <v>13977</v>
      </c>
      <c r="N19" t="s">
        <v>13975</v>
      </c>
      <c r="O19" t="s">
        <v>4351</v>
      </c>
      <c r="P19" t="s">
        <v>13979</v>
      </c>
    </row>
    <row r="20" spans="1:16">
      <c r="A20" t="s">
        <v>13980</v>
      </c>
      <c r="B20" t="s">
        <v>13980</v>
      </c>
      <c r="C20" t="s">
        <v>13981</v>
      </c>
      <c r="D20" t="s">
        <v>13977</v>
      </c>
      <c r="E20" t="s">
        <v>13929</v>
      </c>
      <c r="G20" t="s">
        <v>8890</v>
      </c>
      <c r="H20" t="s">
        <v>13980</v>
      </c>
      <c r="L20" t="s">
        <v>13982</v>
      </c>
      <c r="M20" t="s">
        <v>13977</v>
      </c>
      <c r="N20" t="s">
        <v>13980</v>
      </c>
      <c r="O20" t="s">
        <v>4351</v>
      </c>
      <c r="P20" t="s">
        <v>13983</v>
      </c>
    </row>
    <row r="21" spans="1:16">
      <c r="A21" t="s">
        <v>13984</v>
      </c>
      <c r="B21" t="s">
        <v>13984</v>
      </c>
      <c r="C21" t="s">
        <v>13987</v>
      </c>
      <c r="D21" t="s">
        <v>13977</v>
      </c>
      <c r="E21" t="s">
        <v>13929</v>
      </c>
      <c r="G21" t="s">
        <v>8890</v>
      </c>
      <c r="H21" t="s">
        <v>13980</v>
      </c>
      <c r="L21" t="s">
        <v>13986</v>
      </c>
      <c r="M21" t="s">
        <v>13977</v>
      </c>
      <c r="N21" t="s">
        <v>13984</v>
      </c>
      <c r="O21" t="s">
        <v>4351</v>
      </c>
      <c r="P21" t="s">
        <v>13985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tabSelected="1"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10889</v>
      </c>
      <c r="F3" t="s">
        <v>2657</v>
      </c>
      <c r="G3" t="s">
        <v>2662</v>
      </c>
      <c r="H3" t="s">
        <v>4379</v>
      </c>
      <c r="I3" t="s">
        <v>10888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10890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10888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13968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11165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13675</v>
      </c>
    </row>
    <row r="40" spans="1:23">
      <c r="A40" t="s">
        <v>13933</v>
      </c>
      <c r="B40" t="s">
        <v>13933</v>
      </c>
      <c r="C40" t="s">
        <v>13935</v>
      </c>
      <c r="D40" t="s">
        <v>4519</v>
      </c>
      <c r="E40" t="s">
        <v>13937</v>
      </c>
      <c r="F40" t="s">
        <v>2657</v>
      </c>
      <c r="G40" t="s">
        <v>13939</v>
      </c>
      <c r="H40" t="s">
        <v>6745</v>
      </c>
      <c r="I40" t="s">
        <v>13966</v>
      </c>
      <c r="J40" t="s">
        <v>13941</v>
      </c>
      <c r="K40" t="s">
        <v>4519</v>
      </c>
      <c r="L40" t="s">
        <v>13933</v>
      </c>
      <c r="M40" t="s">
        <v>26</v>
      </c>
      <c r="N40" t="s">
        <v>13942</v>
      </c>
      <c r="S40" t="s">
        <v>6669</v>
      </c>
      <c r="T40" t="s">
        <v>13933</v>
      </c>
      <c r="U40" t="s">
        <v>4561</v>
      </c>
      <c r="V40" t="s">
        <v>13944</v>
      </c>
      <c r="W40" t="s">
        <v>4729</v>
      </c>
    </row>
    <row r="41" spans="1:23">
      <c r="A41" t="s">
        <v>13934</v>
      </c>
      <c r="B41" t="s">
        <v>13934</v>
      </c>
      <c r="C41" t="s">
        <v>13936</v>
      </c>
      <c r="D41" t="s">
        <v>4519</v>
      </c>
      <c r="E41" t="s">
        <v>13938</v>
      </c>
      <c r="F41" t="s">
        <v>2657</v>
      </c>
      <c r="G41" t="s">
        <v>13940</v>
      </c>
      <c r="H41" t="s">
        <v>4378</v>
      </c>
      <c r="I41" t="s">
        <v>13967</v>
      </c>
      <c r="J41" t="s">
        <v>13941</v>
      </c>
      <c r="K41" t="s">
        <v>4519</v>
      </c>
      <c r="L41" t="s">
        <v>13934</v>
      </c>
      <c r="M41" t="s">
        <v>26</v>
      </c>
      <c r="N41" t="s">
        <v>13943</v>
      </c>
      <c r="S41" t="s">
        <v>6669</v>
      </c>
      <c r="T41" t="s">
        <v>13934</v>
      </c>
      <c r="U41" t="s">
        <v>4561</v>
      </c>
      <c r="V41" t="s">
        <v>13945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13967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8523</v>
      </c>
      <c r="B46" t="s">
        <v>8523</v>
      </c>
      <c r="C46" t="s">
        <v>8525</v>
      </c>
      <c r="D46" t="s">
        <v>6631</v>
      </c>
      <c r="E46" t="s">
        <v>4555</v>
      </c>
      <c r="F46" t="s">
        <v>2657</v>
      </c>
      <c r="G46" t="s">
        <v>14159</v>
      </c>
      <c r="H46" t="s">
        <v>4378</v>
      </c>
      <c r="I46" t="s">
        <v>4801</v>
      </c>
      <c r="J46" t="s">
        <v>8522</v>
      </c>
      <c r="K46" t="s">
        <v>6631</v>
      </c>
      <c r="L46" t="s">
        <v>8523</v>
      </c>
      <c r="M46" t="s">
        <v>26</v>
      </c>
      <c r="N46" t="s">
        <v>8524</v>
      </c>
    </row>
    <row r="47" spans="1:23">
      <c r="A47" t="s">
        <v>8527</v>
      </c>
      <c r="B47" t="s">
        <v>8527</v>
      </c>
      <c r="C47" t="s">
        <v>8531</v>
      </c>
      <c r="D47" t="s">
        <v>6631</v>
      </c>
      <c r="E47" t="s">
        <v>8529</v>
      </c>
      <c r="F47" t="s">
        <v>2657</v>
      </c>
      <c r="G47" t="s">
        <v>14159</v>
      </c>
      <c r="H47" t="s">
        <v>4378</v>
      </c>
      <c r="I47" t="s">
        <v>8530</v>
      </c>
      <c r="J47" t="s">
        <v>8526</v>
      </c>
      <c r="K47" t="s">
        <v>6631</v>
      </c>
      <c r="L47" t="s">
        <v>8527</v>
      </c>
      <c r="M47" t="s">
        <v>26</v>
      </c>
      <c r="N47" t="s">
        <v>8528</v>
      </c>
    </row>
    <row r="48" spans="1:23">
      <c r="A48" t="s">
        <v>10694</v>
      </c>
      <c r="B48" t="s">
        <v>10694</v>
      </c>
      <c r="C48" t="s">
        <v>10737</v>
      </c>
      <c r="D48" t="s">
        <v>10685</v>
      </c>
      <c r="E48" t="s">
        <v>10693</v>
      </c>
      <c r="F48" t="s">
        <v>10686</v>
      </c>
      <c r="G48" t="s">
        <v>10704</v>
      </c>
      <c r="H48" t="s">
        <v>10709</v>
      </c>
      <c r="I48" t="s">
        <v>10776</v>
      </c>
      <c r="J48" t="s">
        <v>10711</v>
      </c>
      <c r="K48" t="s">
        <v>7944</v>
      </c>
      <c r="L48" t="s">
        <v>10718</v>
      </c>
      <c r="M48" t="s">
        <v>26</v>
      </c>
      <c r="N48" t="s">
        <v>10719</v>
      </c>
      <c r="S48" t="s">
        <v>7944</v>
      </c>
      <c r="T48" t="s">
        <v>10718</v>
      </c>
      <c r="U48" t="s">
        <v>4561</v>
      </c>
      <c r="V48" t="s">
        <v>10765</v>
      </c>
    </row>
    <row r="49" spans="1:22">
      <c r="A49" t="s">
        <v>10695</v>
      </c>
      <c r="B49" t="s">
        <v>10695</v>
      </c>
      <c r="C49" t="s">
        <v>10738</v>
      </c>
      <c r="D49" t="s">
        <v>10685</v>
      </c>
      <c r="E49" t="s">
        <v>10693</v>
      </c>
      <c r="F49" t="s">
        <v>10686</v>
      </c>
      <c r="G49" t="s">
        <v>10704</v>
      </c>
      <c r="H49" t="s">
        <v>10709</v>
      </c>
      <c r="I49" t="s">
        <v>10776</v>
      </c>
      <c r="J49" t="s">
        <v>10712</v>
      </c>
      <c r="K49" t="s">
        <v>7944</v>
      </c>
      <c r="L49" t="s">
        <v>10722</v>
      </c>
      <c r="M49" t="s">
        <v>26</v>
      </c>
      <c r="N49" t="s">
        <v>10723</v>
      </c>
      <c r="O49" t="s">
        <v>7944</v>
      </c>
      <c r="P49" t="s">
        <v>10724</v>
      </c>
      <c r="Q49" t="s">
        <v>26</v>
      </c>
      <c r="R49" t="s">
        <v>10725</v>
      </c>
      <c r="S49" t="s">
        <v>7944</v>
      </c>
      <c r="T49" t="s">
        <v>10722</v>
      </c>
      <c r="U49" t="s">
        <v>4561</v>
      </c>
      <c r="V49" t="s">
        <v>10766</v>
      </c>
    </row>
    <row r="50" spans="1:22">
      <c r="A50" t="s">
        <v>10696</v>
      </c>
      <c r="B50" t="s">
        <v>10696</v>
      </c>
      <c r="C50" t="s">
        <v>10739</v>
      </c>
      <c r="D50" t="s">
        <v>10685</v>
      </c>
      <c r="E50" t="s">
        <v>10693</v>
      </c>
      <c r="F50" t="s">
        <v>10686</v>
      </c>
      <c r="G50" t="s">
        <v>10704</v>
      </c>
      <c r="H50" t="s">
        <v>10709</v>
      </c>
      <c r="I50" t="s">
        <v>10776</v>
      </c>
      <c r="J50" t="s">
        <v>10713</v>
      </c>
      <c r="K50" t="s">
        <v>7944</v>
      </c>
      <c r="L50" t="s">
        <v>10726</v>
      </c>
      <c r="M50" t="s">
        <v>26</v>
      </c>
      <c r="N50" t="s">
        <v>10727</v>
      </c>
      <c r="O50" t="s">
        <v>7944</v>
      </c>
      <c r="P50" t="s">
        <v>10728</v>
      </c>
      <c r="Q50" t="s">
        <v>26</v>
      </c>
      <c r="R50" t="s">
        <v>10729</v>
      </c>
      <c r="S50" t="s">
        <v>7944</v>
      </c>
      <c r="T50" t="s">
        <v>10726</v>
      </c>
      <c r="U50" t="s">
        <v>4561</v>
      </c>
      <c r="V50" t="s">
        <v>10767</v>
      </c>
    </row>
    <row r="51" spans="1:22">
      <c r="A51" t="s">
        <v>10697</v>
      </c>
      <c r="B51" t="s">
        <v>10697</v>
      </c>
      <c r="C51" t="s">
        <v>10740</v>
      </c>
      <c r="D51" t="s">
        <v>10685</v>
      </c>
      <c r="E51" t="s">
        <v>6718</v>
      </c>
      <c r="F51" t="s">
        <v>10686</v>
      </c>
      <c r="G51" t="s">
        <v>10705</v>
      </c>
      <c r="H51" t="s">
        <v>6247</v>
      </c>
      <c r="I51" t="s">
        <v>10775</v>
      </c>
      <c r="J51" t="s">
        <v>10711</v>
      </c>
      <c r="K51" t="s">
        <v>7944</v>
      </c>
    </row>
    <row r="52" spans="1:22">
      <c r="A52" t="s">
        <v>10698</v>
      </c>
      <c r="B52" t="s">
        <v>10698</v>
      </c>
      <c r="C52" t="s">
        <v>10741</v>
      </c>
      <c r="D52" t="s">
        <v>10685</v>
      </c>
      <c r="E52" t="s">
        <v>6718</v>
      </c>
      <c r="F52" t="s">
        <v>10686</v>
      </c>
      <c r="G52" t="s">
        <v>10705</v>
      </c>
      <c r="H52" t="s">
        <v>6247</v>
      </c>
      <c r="I52" t="s">
        <v>10775</v>
      </c>
      <c r="J52" t="s">
        <v>10712</v>
      </c>
      <c r="K52" t="s">
        <v>7944</v>
      </c>
    </row>
    <row r="53" spans="1:22">
      <c r="A53" t="s">
        <v>10699</v>
      </c>
      <c r="B53" t="s">
        <v>10699</v>
      </c>
      <c r="C53" t="s">
        <v>10742</v>
      </c>
      <c r="D53" t="s">
        <v>10685</v>
      </c>
      <c r="E53" t="s">
        <v>6718</v>
      </c>
      <c r="F53" t="s">
        <v>10686</v>
      </c>
      <c r="G53" t="s">
        <v>10705</v>
      </c>
      <c r="H53" t="s">
        <v>6247</v>
      </c>
      <c r="I53" t="s">
        <v>10775</v>
      </c>
      <c r="J53" t="s">
        <v>10713</v>
      </c>
      <c r="K53" t="s">
        <v>7944</v>
      </c>
      <c r="L53" t="s">
        <v>10743</v>
      </c>
      <c r="M53" t="s">
        <v>26</v>
      </c>
      <c r="N53" t="s">
        <v>10744</v>
      </c>
      <c r="O53" t="s">
        <v>7944</v>
      </c>
      <c r="P53" t="s">
        <v>10745</v>
      </c>
      <c r="Q53" t="s">
        <v>26</v>
      </c>
      <c r="R53" t="s">
        <v>10746</v>
      </c>
      <c r="S53" t="s">
        <v>7944</v>
      </c>
      <c r="T53" t="s">
        <v>10743</v>
      </c>
      <c r="U53" t="s">
        <v>4561</v>
      </c>
      <c r="V53" t="s">
        <v>10768</v>
      </c>
    </row>
    <row r="54" spans="1:22">
      <c r="A54" t="s">
        <v>10689</v>
      </c>
      <c r="B54" t="s">
        <v>10689</v>
      </c>
      <c r="C54" t="s">
        <v>10730</v>
      </c>
      <c r="D54" t="s">
        <v>10685</v>
      </c>
      <c r="E54" t="s">
        <v>7950</v>
      </c>
      <c r="F54" t="s">
        <v>10686</v>
      </c>
      <c r="G54" t="s">
        <v>10706</v>
      </c>
      <c r="H54" t="s">
        <v>10709</v>
      </c>
      <c r="I54" t="s">
        <v>10778</v>
      </c>
      <c r="J54" t="s">
        <v>10714</v>
      </c>
      <c r="K54" t="s">
        <v>7944</v>
      </c>
      <c r="L54" t="s">
        <v>10747</v>
      </c>
      <c r="M54" t="s">
        <v>26</v>
      </c>
      <c r="N54" t="s">
        <v>10748</v>
      </c>
      <c r="S54" t="s">
        <v>7944</v>
      </c>
      <c r="T54" t="s">
        <v>10747</v>
      </c>
      <c r="U54" t="s">
        <v>4561</v>
      </c>
      <c r="V54" t="s">
        <v>10769</v>
      </c>
    </row>
    <row r="55" spans="1:22">
      <c r="A55" t="s">
        <v>10688</v>
      </c>
      <c r="B55" t="s">
        <v>10688</v>
      </c>
      <c r="C55" t="s">
        <v>10731</v>
      </c>
      <c r="D55" t="s">
        <v>10685</v>
      </c>
      <c r="E55" t="s">
        <v>7950</v>
      </c>
      <c r="F55" t="s">
        <v>10686</v>
      </c>
      <c r="G55" t="s">
        <v>10706</v>
      </c>
      <c r="H55" t="s">
        <v>10709</v>
      </c>
      <c r="I55" t="s">
        <v>10778</v>
      </c>
      <c r="J55" t="s">
        <v>10715</v>
      </c>
      <c r="K55" t="s">
        <v>7944</v>
      </c>
      <c r="L55" t="s">
        <v>10749</v>
      </c>
      <c r="M55" t="s">
        <v>26</v>
      </c>
      <c r="N55" t="s">
        <v>10750</v>
      </c>
      <c r="O55" t="s">
        <v>7944</v>
      </c>
      <c r="P55" t="s">
        <v>10720</v>
      </c>
      <c r="Q55" t="s">
        <v>26</v>
      </c>
      <c r="R55" t="s">
        <v>10721</v>
      </c>
      <c r="S55" t="s">
        <v>7944</v>
      </c>
      <c r="T55" t="s">
        <v>10749</v>
      </c>
      <c r="U55" t="s">
        <v>4561</v>
      </c>
      <c r="V55" t="s">
        <v>10770</v>
      </c>
    </row>
    <row r="56" spans="1:22">
      <c r="A56" t="s">
        <v>10683</v>
      </c>
      <c r="B56" t="s">
        <v>10683</v>
      </c>
      <c r="C56" t="s">
        <v>10684</v>
      </c>
      <c r="D56" t="s">
        <v>10685</v>
      </c>
      <c r="E56" t="s">
        <v>7950</v>
      </c>
      <c r="F56" t="s">
        <v>10686</v>
      </c>
      <c r="G56" t="s">
        <v>10706</v>
      </c>
      <c r="H56" t="s">
        <v>10709</v>
      </c>
      <c r="I56" t="s">
        <v>10778</v>
      </c>
      <c r="J56" t="s">
        <v>10687</v>
      </c>
      <c r="K56" t="s">
        <v>7944</v>
      </c>
      <c r="L56" t="s">
        <v>10751</v>
      </c>
      <c r="M56" t="s">
        <v>26</v>
      </c>
      <c r="N56" t="s">
        <v>10752</v>
      </c>
      <c r="O56" t="s">
        <v>7944</v>
      </c>
      <c r="P56" t="s">
        <v>10753</v>
      </c>
      <c r="Q56" t="s">
        <v>26</v>
      </c>
      <c r="R56" t="s">
        <v>10754</v>
      </c>
      <c r="S56" t="s">
        <v>7944</v>
      </c>
      <c r="T56" t="s">
        <v>10751</v>
      </c>
      <c r="U56" t="s">
        <v>4561</v>
      </c>
      <c r="V56" t="s">
        <v>10771</v>
      </c>
    </row>
    <row r="57" spans="1:22">
      <c r="A57" t="s">
        <v>10700</v>
      </c>
      <c r="B57" t="s">
        <v>10700</v>
      </c>
      <c r="C57" t="s">
        <v>10732</v>
      </c>
      <c r="D57" t="s">
        <v>10685</v>
      </c>
      <c r="E57" t="s">
        <v>10703</v>
      </c>
      <c r="F57" t="s">
        <v>10686</v>
      </c>
      <c r="G57" t="s">
        <v>10707</v>
      </c>
      <c r="H57" t="s">
        <v>10710</v>
      </c>
      <c r="I57" t="s">
        <v>10777</v>
      </c>
      <c r="J57" t="s">
        <v>10714</v>
      </c>
      <c r="K57" t="s">
        <v>7944</v>
      </c>
    </row>
    <row r="58" spans="1:22">
      <c r="A58" t="s">
        <v>10701</v>
      </c>
      <c r="B58" t="s">
        <v>10701</v>
      </c>
      <c r="C58" t="s">
        <v>10733</v>
      </c>
      <c r="D58" t="s">
        <v>10685</v>
      </c>
      <c r="E58" t="s">
        <v>10703</v>
      </c>
      <c r="F58" t="s">
        <v>10686</v>
      </c>
      <c r="G58" t="s">
        <v>10707</v>
      </c>
      <c r="H58" t="s">
        <v>10710</v>
      </c>
      <c r="I58" t="s">
        <v>10777</v>
      </c>
      <c r="J58" t="s">
        <v>10715</v>
      </c>
      <c r="K58" t="s">
        <v>7944</v>
      </c>
    </row>
    <row r="59" spans="1:22">
      <c r="A59" t="s">
        <v>10702</v>
      </c>
      <c r="B59" t="s">
        <v>10702</v>
      </c>
      <c r="C59" t="s">
        <v>10734</v>
      </c>
      <c r="D59" t="s">
        <v>10685</v>
      </c>
      <c r="E59" t="s">
        <v>10703</v>
      </c>
      <c r="F59" t="s">
        <v>10686</v>
      </c>
      <c r="G59" t="s">
        <v>10707</v>
      </c>
      <c r="H59" t="s">
        <v>10710</v>
      </c>
      <c r="I59" t="s">
        <v>10777</v>
      </c>
      <c r="J59" t="s">
        <v>10687</v>
      </c>
      <c r="K59" t="s">
        <v>7944</v>
      </c>
      <c r="L59" t="s">
        <v>10755</v>
      </c>
      <c r="M59" t="s">
        <v>26</v>
      </c>
      <c r="N59" t="s">
        <v>10756</v>
      </c>
      <c r="O59" t="s">
        <v>7944</v>
      </c>
      <c r="P59" t="s">
        <v>10764</v>
      </c>
      <c r="Q59" t="s">
        <v>26</v>
      </c>
      <c r="R59" t="s">
        <v>10757</v>
      </c>
      <c r="S59" t="s">
        <v>7944</v>
      </c>
      <c r="T59" t="s">
        <v>10764</v>
      </c>
      <c r="U59" t="s">
        <v>4561</v>
      </c>
      <c r="V59" t="s">
        <v>10772</v>
      </c>
    </row>
    <row r="60" spans="1:22">
      <c r="A60" t="s">
        <v>10691</v>
      </c>
      <c r="B60" t="s">
        <v>10691</v>
      </c>
      <c r="C60" t="s">
        <v>10735</v>
      </c>
      <c r="D60" t="s">
        <v>10685</v>
      </c>
      <c r="E60" t="s">
        <v>10690</v>
      </c>
      <c r="F60" t="s">
        <v>10686</v>
      </c>
      <c r="G60" t="s">
        <v>10708</v>
      </c>
      <c r="H60" t="s">
        <v>10709</v>
      </c>
      <c r="I60" t="s">
        <v>10779</v>
      </c>
      <c r="J60" t="s">
        <v>10716</v>
      </c>
      <c r="K60" t="s">
        <v>7944</v>
      </c>
      <c r="L60" t="s">
        <v>10758</v>
      </c>
      <c r="M60" t="s">
        <v>26</v>
      </c>
      <c r="N60" t="s">
        <v>10759</v>
      </c>
      <c r="S60" t="s">
        <v>7944</v>
      </c>
      <c r="T60" t="s">
        <v>10758</v>
      </c>
      <c r="U60" t="s">
        <v>4561</v>
      </c>
      <c r="V60" t="s">
        <v>10773</v>
      </c>
    </row>
    <row r="61" spans="1:22">
      <c r="A61" t="s">
        <v>10692</v>
      </c>
      <c r="B61" t="s">
        <v>10692</v>
      </c>
      <c r="C61" t="s">
        <v>10736</v>
      </c>
      <c r="D61" t="s">
        <v>10685</v>
      </c>
      <c r="E61" t="s">
        <v>10690</v>
      </c>
      <c r="F61" t="s">
        <v>10686</v>
      </c>
      <c r="G61" t="s">
        <v>10708</v>
      </c>
      <c r="H61" t="s">
        <v>10709</v>
      </c>
      <c r="I61" t="s">
        <v>10779</v>
      </c>
      <c r="J61" t="s">
        <v>10717</v>
      </c>
      <c r="K61" t="s">
        <v>4519</v>
      </c>
      <c r="L61" t="s">
        <v>10760</v>
      </c>
      <c r="M61" t="s">
        <v>26</v>
      </c>
      <c r="N61" t="s">
        <v>10761</v>
      </c>
      <c r="O61" t="s">
        <v>7944</v>
      </c>
      <c r="P61" t="s">
        <v>10762</v>
      </c>
      <c r="Q61" t="s">
        <v>26</v>
      </c>
      <c r="R61" t="s">
        <v>10763</v>
      </c>
      <c r="S61" t="s">
        <v>7944</v>
      </c>
      <c r="T61" t="s">
        <v>10762</v>
      </c>
      <c r="U61" t="s">
        <v>4561</v>
      </c>
      <c r="V61" t="s">
        <v>10774</v>
      </c>
    </row>
    <row r="62" spans="1:22">
      <c r="A62" t="s">
        <v>10806</v>
      </c>
      <c r="B62" t="s">
        <v>10806</v>
      </c>
      <c r="C62" t="s">
        <v>10812</v>
      </c>
      <c r="D62" t="s">
        <v>4519</v>
      </c>
      <c r="E62" t="s">
        <v>10815</v>
      </c>
      <c r="F62" t="s">
        <v>2657</v>
      </c>
      <c r="G62" t="s">
        <v>10806</v>
      </c>
      <c r="H62" t="s">
        <v>6247</v>
      </c>
      <c r="I62" t="s">
        <v>10891</v>
      </c>
      <c r="J62" t="s">
        <v>10817</v>
      </c>
      <c r="K62" t="s">
        <v>4519</v>
      </c>
      <c r="L62" t="s">
        <v>12128</v>
      </c>
      <c r="M62" t="s">
        <v>26</v>
      </c>
      <c r="N62" t="s">
        <v>12129</v>
      </c>
      <c r="O62" t="s">
        <v>4519</v>
      </c>
      <c r="P62" t="s">
        <v>12130</v>
      </c>
      <c r="Q62" t="s">
        <v>26</v>
      </c>
      <c r="R62" t="s">
        <v>12131</v>
      </c>
      <c r="S62" t="s">
        <v>4519</v>
      </c>
      <c r="T62" t="s">
        <v>12128</v>
      </c>
      <c r="U62" t="s">
        <v>4561</v>
      </c>
      <c r="V62" t="s">
        <v>12537</v>
      </c>
    </row>
    <row r="63" spans="1:22">
      <c r="A63" t="s">
        <v>10807</v>
      </c>
      <c r="B63" t="s">
        <v>10807</v>
      </c>
      <c r="C63" t="s">
        <v>10812</v>
      </c>
      <c r="D63" t="s">
        <v>4519</v>
      </c>
      <c r="E63" t="s">
        <v>10816</v>
      </c>
      <c r="F63" t="s">
        <v>2657</v>
      </c>
      <c r="G63" t="s">
        <v>10807</v>
      </c>
      <c r="H63" t="s">
        <v>4379</v>
      </c>
      <c r="I63" t="s">
        <v>10892</v>
      </c>
      <c r="J63" t="s">
        <v>10817</v>
      </c>
      <c r="K63" t="s">
        <v>4519</v>
      </c>
      <c r="L63" t="s">
        <v>12132</v>
      </c>
      <c r="M63" t="s">
        <v>26</v>
      </c>
      <c r="N63" t="s">
        <v>12133</v>
      </c>
      <c r="O63" t="s">
        <v>4519</v>
      </c>
      <c r="P63" t="s">
        <v>12134</v>
      </c>
      <c r="Q63" t="s">
        <v>26</v>
      </c>
      <c r="R63" t="s">
        <v>12135</v>
      </c>
      <c r="S63" t="s">
        <v>4519</v>
      </c>
      <c r="T63" t="s">
        <v>12132</v>
      </c>
      <c r="U63" t="s">
        <v>4561</v>
      </c>
      <c r="V63" t="s">
        <v>12538</v>
      </c>
    </row>
    <row r="64" spans="1:22">
      <c r="A64" t="s">
        <v>10808</v>
      </c>
      <c r="B64" t="s">
        <v>10808</v>
      </c>
      <c r="C64" t="s">
        <v>10813</v>
      </c>
      <c r="D64" t="s">
        <v>4519</v>
      </c>
      <c r="E64" t="s">
        <v>10815</v>
      </c>
      <c r="F64" t="s">
        <v>2657</v>
      </c>
      <c r="G64" t="s">
        <v>10808</v>
      </c>
      <c r="H64" t="s">
        <v>6247</v>
      </c>
      <c r="I64" t="s">
        <v>10891</v>
      </c>
      <c r="J64" t="s">
        <v>10818</v>
      </c>
      <c r="K64" t="s">
        <v>4519</v>
      </c>
      <c r="L64" t="s">
        <v>12136</v>
      </c>
      <c r="M64" t="s">
        <v>26</v>
      </c>
      <c r="N64" t="s">
        <v>12137</v>
      </c>
      <c r="O64" t="s">
        <v>4519</v>
      </c>
      <c r="P64" t="s">
        <v>12138</v>
      </c>
      <c r="Q64" t="s">
        <v>26</v>
      </c>
      <c r="R64" t="s">
        <v>12139</v>
      </c>
      <c r="S64" t="s">
        <v>4519</v>
      </c>
      <c r="T64" t="s">
        <v>12136</v>
      </c>
      <c r="U64" t="s">
        <v>4561</v>
      </c>
      <c r="V64" t="s">
        <v>12539</v>
      </c>
    </row>
    <row r="65" spans="1:22">
      <c r="A65" t="s">
        <v>10809</v>
      </c>
      <c r="B65" t="s">
        <v>10809</v>
      </c>
      <c r="C65" t="s">
        <v>10813</v>
      </c>
      <c r="D65" t="s">
        <v>4519</v>
      </c>
      <c r="E65" t="s">
        <v>10816</v>
      </c>
      <c r="F65" t="s">
        <v>2657</v>
      </c>
      <c r="G65" t="s">
        <v>10809</v>
      </c>
      <c r="H65" t="s">
        <v>4379</v>
      </c>
      <c r="I65" t="s">
        <v>10892</v>
      </c>
      <c r="J65" t="s">
        <v>10818</v>
      </c>
      <c r="K65" t="s">
        <v>4519</v>
      </c>
      <c r="L65" t="s">
        <v>12140</v>
      </c>
      <c r="M65" t="s">
        <v>26</v>
      </c>
      <c r="N65" t="s">
        <v>12141</v>
      </c>
      <c r="O65" t="s">
        <v>4519</v>
      </c>
      <c r="P65" t="s">
        <v>12142</v>
      </c>
      <c r="Q65" t="s">
        <v>26</v>
      </c>
      <c r="R65" t="s">
        <v>12143</v>
      </c>
      <c r="S65" t="s">
        <v>4519</v>
      </c>
      <c r="T65" t="s">
        <v>12140</v>
      </c>
      <c r="U65" t="s">
        <v>4561</v>
      </c>
      <c r="V65" t="s">
        <v>12540</v>
      </c>
    </row>
    <row r="66" spans="1:22">
      <c r="A66" t="s">
        <v>10810</v>
      </c>
      <c r="B66" t="s">
        <v>10810</v>
      </c>
      <c r="C66" t="s">
        <v>10814</v>
      </c>
      <c r="D66" t="s">
        <v>4519</v>
      </c>
      <c r="E66" t="s">
        <v>10815</v>
      </c>
      <c r="F66" t="s">
        <v>2657</v>
      </c>
      <c r="G66" t="s">
        <v>10810</v>
      </c>
      <c r="H66" t="s">
        <v>6247</v>
      </c>
      <c r="I66" t="s">
        <v>10891</v>
      </c>
      <c r="J66" t="s">
        <v>10819</v>
      </c>
      <c r="K66" t="s">
        <v>4519</v>
      </c>
      <c r="L66" t="s">
        <v>12144</v>
      </c>
      <c r="M66" t="s">
        <v>26</v>
      </c>
      <c r="N66" t="s">
        <v>12145</v>
      </c>
      <c r="O66" t="s">
        <v>4519</v>
      </c>
      <c r="P66" t="s">
        <v>12146</v>
      </c>
      <c r="Q66" t="s">
        <v>26</v>
      </c>
      <c r="R66" t="s">
        <v>12147</v>
      </c>
      <c r="S66" t="s">
        <v>4519</v>
      </c>
      <c r="T66" t="s">
        <v>12144</v>
      </c>
      <c r="U66" t="s">
        <v>4561</v>
      </c>
      <c r="V66" t="s">
        <v>12541</v>
      </c>
    </row>
    <row r="67" spans="1:22">
      <c r="A67" t="s">
        <v>10811</v>
      </c>
      <c r="B67" t="s">
        <v>10811</v>
      </c>
      <c r="C67" t="s">
        <v>10814</v>
      </c>
      <c r="D67" t="s">
        <v>4519</v>
      </c>
      <c r="E67" t="s">
        <v>10816</v>
      </c>
      <c r="F67" t="s">
        <v>2657</v>
      </c>
      <c r="G67" t="s">
        <v>10811</v>
      </c>
      <c r="H67" t="s">
        <v>4379</v>
      </c>
      <c r="I67" t="s">
        <v>10892</v>
      </c>
      <c r="J67" t="s">
        <v>10819</v>
      </c>
      <c r="K67" t="s">
        <v>4519</v>
      </c>
      <c r="L67" t="s">
        <v>12148</v>
      </c>
      <c r="M67" t="s">
        <v>26</v>
      </c>
      <c r="N67" t="s">
        <v>12149</v>
      </c>
      <c r="O67" t="s">
        <v>4519</v>
      </c>
      <c r="P67" t="s">
        <v>12150</v>
      </c>
      <c r="Q67" t="s">
        <v>26</v>
      </c>
      <c r="R67" t="s">
        <v>12151</v>
      </c>
      <c r="S67" t="s">
        <v>4519</v>
      </c>
      <c r="T67" t="s">
        <v>12148</v>
      </c>
      <c r="U67" t="s">
        <v>4561</v>
      </c>
      <c r="V67" t="s">
        <v>12542</v>
      </c>
    </row>
    <row r="68" spans="1:22">
      <c r="A68" t="s">
        <v>10820</v>
      </c>
      <c r="B68" t="s">
        <v>10820</v>
      </c>
      <c r="C68" t="s">
        <v>10824</v>
      </c>
      <c r="D68" t="s">
        <v>6741</v>
      </c>
      <c r="E68" t="s">
        <v>2658</v>
      </c>
      <c r="F68" t="s">
        <v>2657</v>
      </c>
      <c r="G68" t="s">
        <v>10829</v>
      </c>
      <c r="H68" t="s">
        <v>4378</v>
      </c>
      <c r="I68" t="s">
        <v>4791</v>
      </c>
      <c r="J68" t="s">
        <v>10832</v>
      </c>
      <c r="K68" t="s">
        <v>6741</v>
      </c>
      <c r="L68" t="s">
        <v>10837</v>
      </c>
      <c r="M68" t="s">
        <v>26</v>
      </c>
      <c r="N68" t="s">
        <v>10838</v>
      </c>
      <c r="O68" t="s">
        <v>6741</v>
      </c>
      <c r="P68" t="s">
        <v>10839</v>
      </c>
      <c r="Q68" t="s">
        <v>26</v>
      </c>
      <c r="R68" t="s">
        <v>10840</v>
      </c>
      <c r="S68" t="s">
        <v>6741</v>
      </c>
      <c r="T68" t="s">
        <v>10820</v>
      </c>
      <c r="U68" t="s">
        <v>4561</v>
      </c>
      <c r="V68" t="s">
        <v>10862</v>
      </c>
    </row>
    <row r="69" spans="1:22">
      <c r="A69" t="s">
        <v>10821</v>
      </c>
      <c r="B69" t="s">
        <v>10821</v>
      </c>
      <c r="C69" t="s">
        <v>10825</v>
      </c>
      <c r="D69" t="s">
        <v>6741</v>
      </c>
      <c r="E69" t="s">
        <v>2658</v>
      </c>
      <c r="F69" t="s">
        <v>2657</v>
      </c>
      <c r="G69" t="s">
        <v>10829</v>
      </c>
      <c r="H69" t="s">
        <v>4378</v>
      </c>
      <c r="I69" t="s">
        <v>4791</v>
      </c>
      <c r="J69" t="s">
        <v>10832</v>
      </c>
      <c r="K69" t="s">
        <v>6741</v>
      </c>
      <c r="L69" t="s">
        <v>10858</v>
      </c>
      <c r="M69" t="s">
        <v>26</v>
      </c>
      <c r="N69" t="s">
        <v>10859</v>
      </c>
      <c r="O69" t="s">
        <v>6741</v>
      </c>
      <c r="P69" t="s">
        <v>10860</v>
      </c>
      <c r="Q69" t="s">
        <v>26</v>
      </c>
      <c r="R69" t="s">
        <v>10861</v>
      </c>
      <c r="S69" t="s">
        <v>6741</v>
      </c>
      <c r="T69" t="s">
        <v>10821</v>
      </c>
      <c r="U69" t="s">
        <v>4561</v>
      </c>
      <c r="V69" t="s">
        <v>10863</v>
      </c>
    </row>
    <row r="70" spans="1:22">
      <c r="A70" t="s">
        <v>10822</v>
      </c>
      <c r="B70" t="s">
        <v>10822</v>
      </c>
      <c r="C70" t="s">
        <v>10826</v>
      </c>
      <c r="D70" t="s">
        <v>6741</v>
      </c>
      <c r="E70" t="s">
        <v>4555</v>
      </c>
      <c r="F70" t="s">
        <v>2657</v>
      </c>
      <c r="G70" t="s">
        <v>10830</v>
      </c>
      <c r="H70" t="s">
        <v>4378</v>
      </c>
      <c r="I70" t="s">
        <v>8897</v>
      </c>
      <c r="J70" t="s">
        <v>10832</v>
      </c>
      <c r="K70" t="s">
        <v>6741</v>
      </c>
      <c r="L70" t="s">
        <v>10833</v>
      </c>
      <c r="M70" t="s">
        <v>26</v>
      </c>
      <c r="N70" t="s">
        <v>10834</v>
      </c>
      <c r="S70" t="s">
        <v>6741</v>
      </c>
      <c r="T70" t="s">
        <v>10822</v>
      </c>
      <c r="U70" t="s">
        <v>4561</v>
      </c>
      <c r="V70" t="s">
        <v>10864</v>
      </c>
    </row>
    <row r="71" spans="1:22">
      <c r="A71" t="s">
        <v>10823</v>
      </c>
      <c r="B71" t="s">
        <v>10823</v>
      </c>
      <c r="C71" t="s">
        <v>10827</v>
      </c>
      <c r="D71" t="s">
        <v>6741</v>
      </c>
      <c r="E71" t="s">
        <v>10828</v>
      </c>
      <c r="F71" t="s">
        <v>2657</v>
      </c>
      <c r="G71" t="s">
        <v>10831</v>
      </c>
      <c r="H71" t="s">
        <v>6745</v>
      </c>
      <c r="I71" t="s">
        <v>10841</v>
      </c>
      <c r="J71" t="s">
        <v>10832</v>
      </c>
      <c r="K71" t="s">
        <v>6741</v>
      </c>
      <c r="L71" t="s">
        <v>10835</v>
      </c>
      <c r="M71" t="s">
        <v>26</v>
      </c>
      <c r="N71" t="s">
        <v>10836</v>
      </c>
      <c r="S71" t="s">
        <v>6741</v>
      </c>
      <c r="T71" t="s">
        <v>10823</v>
      </c>
      <c r="U71" t="s">
        <v>4561</v>
      </c>
      <c r="V71" t="s">
        <v>10865</v>
      </c>
    </row>
    <row r="72" spans="1:22">
      <c r="A72" t="s">
        <v>10882</v>
      </c>
      <c r="B72" t="s">
        <v>10882</v>
      </c>
      <c r="C72" t="s">
        <v>10883</v>
      </c>
      <c r="D72" t="s">
        <v>6222</v>
      </c>
      <c r="E72" t="s">
        <v>10889</v>
      </c>
      <c r="F72" t="s">
        <v>2657</v>
      </c>
      <c r="G72" t="s">
        <v>10882</v>
      </c>
      <c r="H72" t="s">
        <v>4379</v>
      </c>
      <c r="I72" t="s">
        <v>10888</v>
      </c>
      <c r="J72" t="s">
        <v>10884</v>
      </c>
      <c r="K72" t="s">
        <v>6222</v>
      </c>
      <c r="L72" t="s">
        <v>10885</v>
      </c>
      <c r="M72" t="s">
        <v>26</v>
      </c>
      <c r="N72" t="s">
        <v>10886</v>
      </c>
      <c r="S72" t="s">
        <v>6222</v>
      </c>
      <c r="T72" t="s">
        <v>10885</v>
      </c>
      <c r="U72" t="s">
        <v>4561</v>
      </c>
      <c r="V72" t="s">
        <v>10887</v>
      </c>
    </row>
    <row r="73" spans="1:22">
      <c r="A73" t="s">
        <v>10983</v>
      </c>
      <c r="B73" t="s">
        <v>10983</v>
      </c>
      <c r="C73" t="s">
        <v>10984</v>
      </c>
      <c r="D73" t="s">
        <v>4519</v>
      </c>
      <c r="F73" t="s">
        <v>2657</v>
      </c>
      <c r="G73" t="s">
        <v>10983</v>
      </c>
      <c r="H73" t="s">
        <v>6247</v>
      </c>
      <c r="I73" t="s">
        <v>10985</v>
      </c>
      <c r="J73" t="s">
        <v>10986</v>
      </c>
      <c r="K73" t="s">
        <v>4519</v>
      </c>
      <c r="L73" t="s">
        <v>10991</v>
      </c>
      <c r="M73" t="s">
        <v>26</v>
      </c>
      <c r="N73" t="s">
        <v>10992</v>
      </c>
      <c r="S73" t="s">
        <v>4519</v>
      </c>
      <c r="T73" t="s">
        <v>10991</v>
      </c>
      <c r="U73" t="s">
        <v>4561</v>
      </c>
      <c r="V73" t="s">
        <v>10995</v>
      </c>
    </row>
    <row r="74" spans="1:22">
      <c r="A74" t="s">
        <v>10987</v>
      </c>
      <c r="B74" t="s">
        <v>10987</v>
      </c>
      <c r="C74" t="s">
        <v>10989</v>
      </c>
      <c r="D74" t="s">
        <v>4519</v>
      </c>
      <c r="F74" t="s">
        <v>2657</v>
      </c>
      <c r="G74" t="s">
        <v>10987</v>
      </c>
      <c r="H74" t="s">
        <v>6247</v>
      </c>
      <c r="I74" t="s">
        <v>10988</v>
      </c>
      <c r="J74" t="s">
        <v>10990</v>
      </c>
      <c r="K74" t="s">
        <v>4519</v>
      </c>
      <c r="L74" t="s">
        <v>10993</v>
      </c>
      <c r="M74" t="s">
        <v>26</v>
      </c>
      <c r="N74" t="s">
        <v>10994</v>
      </c>
      <c r="S74" t="s">
        <v>4519</v>
      </c>
      <c r="T74" t="s">
        <v>10993</v>
      </c>
      <c r="U74" t="s">
        <v>4561</v>
      </c>
      <c r="V74" t="s">
        <v>10996</v>
      </c>
    </row>
    <row r="75" spans="1:22">
      <c r="A75" t="s">
        <v>14068</v>
      </c>
      <c r="B75" t="s">
        <v>14068</v>
      </c>
      <c r="C75" t="s">
        <v>14069</v>
      </c>
      <c r="D75" t="s">
        <v>4519</v>
      </c>
      <c r="E75" t="s">
        <v>4437</v>
      </c>
      <c r="F75" t="s">
        <v>2657</v>
      </c>
      <c r="G75" t="s">
        <v>14068</v>
      </c>
      <c r="H75" t="s">
        <v>4379</v>
      </c>
      <c r="I75" t="s">
        <v>12057</v>
      </c>
      <c r="J75" t="s">
        <v>14070</v>
      </c>
      <c r="K75" t="s">
        <v>4519</v>
      </c>
      <c r="L75" t="s">
        <v>14071</v>
      </c>
      <c r="M75" t="s">
        <v>26</v>
      </c>
      <c r="N75" t="s">
        <v>14072</v>
      </c>
      <c r="O75" t="s">
        <v>4519</v>
      </c>
      <c r="P75" t="s">
        <v>14073</v>
      </c>
      <c r="Q75" t="s">
        <v>26</v>
      </c>
      <c r="R75" t="s">
        <v>14074</v>
      </c>
      <c r="S75" t="s">
        <v>6669</v>
      </c>
      <c r="T75" t="s">
        <v>14071</v>
      </c>
      <c r="U75" t="s">
        <v>4561</v>
      </c>
      <c r="V75" t="s">
        <v>14075</v>
      </c>
    </row>
    <row r="76" spans="1:22">
      <c r="A76" t="s">
        <v>11002</v>
      </c>
      <c r="B76" t="s">
        <v>10997</v>
      </c>
      <c r="C76" t="s">
        <v>11012</v>
      </c>
      <c r="D76" t="s">
        <v>6631</v>
      </c>
      <c r="E76" t="s">
        <v>11022</v>
      </c>
      <c r="F76" t="s">
        <v>2657</v>
      </c>
      <c r="G76" t="s">
        <v>11023</v>
      </c>
      <c r="H76" t="s">
        <v>4379</v>
      </c>
      <c r="I76" t="s">
        <v>4796</v>
      </c>
      <c r="J76" t="s">
        <v>11025</v>
      </c>
      <c r="K76" t="s">
        <v>6631</v>
      </c>
      <c r="L76" t="s">
        <v>11026</v>
      </c>
      <c r="M76" t="s">
        <v>26</v>
      </c>
      <c r="N76" t="s">
        <v>11027</v>
      </c>
      <c r="O76" t="s">
        <v>6631</v>
      </c>
      <c r="P76" t="s">
        <v>11028</v>
      </c>
      <c r="Q76" t="s">
        <v>26</v>
      </c>
      <c r="R76" t="s">
        <v>11029</v>
      </c>
      <c r="S76" t="s">
        <v>11032</v>
      </c>
      <c r="T76" t="s">
        <v>11028</v>
      </c>
      <c r="U76" t="s">
        <v>4561</v>
      </c>
      <c r="V76" t="s">
        <v>11033</v>
      </c>
    </row>
    <row r="77" spans="1:22">
      <c r="A77" t="s">
        <v>11003</v>
      </c>
      <c r="B77" t="s">
        <v>10998</v>
      </c>
      <c r="C77" t="s">
        <v>11015</v>
      </c>
      <c r="D77" t="s">
        <v>6631</v>
      </c>
      <c r="E77" t="s">
        <v>11022</v>
      </c>
      <c r="F77" t="s">
        <v>2657</v>
      </c>
      <c r="G77" t="s">
        <v>11023</v>
      </c>
      <c r="H77" t="s">
        <v>4379</v>
      </c>
      <c r="I77" t="s">
        <v>4796</v>
      </c>
      <c r="J77" t="s">
        <v>11025</v>
      </c>
      <c r="K77" t="s">
        <v>6631</v>
      </c>
      <c r="L77" t="s">
        <v>11035</v>
      </c>
      <c r="M77" t="s">
        <v>26</v>
      </c>
      <c r="N77" t="s">
        <v>11036</v>
      </c>
      <c r="O77" t="s">
        <v>6631</v>
      </c>
      <c r="P77" t="s">
        <v>11037</v>
      </c>
      <c r="Q77" t="s">
        <v>26</v>
      </c>
      <c r="R77" t="s">
        <v>11038</v>
      </c>
      <c r="S77" t="s">
        <v>11032</v>
      </c>
      <c r="T77" t="s">
        <v>11035</v>
      </c>
      <c r="U77" t="s">
        <v>4561</v>
      </c>
      <c r="V77" t="s">
        <v>11039</v>
      </c>
    </row>
    <row r="78" spans="1:22">
      <c r="A78" t="s">
        <v>11004</v>
      </c>
      <c r="B78" t="s">
        <v>10999</v>
      </c>
      <c r="C78" t="s">
        <v>11016</v>
      </c>
      <c r="D78" t="s">
        <v>6631</v>
      </c>
      <c r="E78" t="s">
        <v>11022</v>
      </c>
      <c r="F78" t="s">
        <v>2657</v>
      </c>
      <c r="G78" t="s">
        <v>11023</v>
      </c>
      <c r="H78" t="s">
        <v>4379</v>
      </c>
      <c r="I78" t="s">
        <v>4796</v>
      </c>
      <c r="J78" t="s">
        <v>11025</v>
      </c>
      <c r="K78" t="s">
        <v>6631</v>
      </c>
      <c r="L78" t="s">
        <v>11043</v>
      </c>
      <c r="M78" t="s">
        <v>26</v>
      </c>
      <c r="N78" t="s">
        <v>11044</v>
      </c>
      <c r="O78" t="s">
        <v>6631</v>
      </c>
      <c r="P78" t="s">
        <v>11045</v>
      </c>
      <c r="Q78" t="s">
        <v>26</v>
      </c>
      <c r="R78" t="s">
        <v>11046</v>
      </c>
      <c r="S78" t="s">
        <v>11032</v>
      </c>
      <c r="T78" t="s">
        <v>11045</v>
      </c>
      <c r="U78" t="s">
        <v>4561</v>
      </c>
      <c r="V78" t="s">
        <v>11047</v>
      </c>
    </row>
    <row r="79" spans="1:22">
      <c r="A79" t="s">
        <v>11005</v>
      </c>
      <c r="B79" t="s">
        <v>11000</v>
      </c>
      <c r="C79" t="s">
        <v>11013</v>
      </c>
      <c r="D79" t="s">
        <v>6631</v>
      </c>
      <c r="E79" t="s">
        <v>11022</v>
      </c>
      <c r="F79" t="s">
        <v>2657</v>
      </c>
      <c r="G79" t="s">
        <v>11023</v>
      </c>
      <c r="H79" t="s">
        <v>4379</v>
      </c>
      <c r="I79" t="s">
        <v>4796</v>
      </c>
      <c r="J79" t="s">
        <v>11025</v>
      </c>
      <c r="K79" t="s">
        <v>6631</v>
      </c>
      <c r="L79" t="s">
        <v>11057</v>
      </c>
      <c r="M79" t="s">
        <v>26</v>
      </c>
      <c r="N79" t="s">
        <v>11061</v>
      </c>
      <c r="O79" t="s">
        <v>6631</v>
      </c>
      <c r="P79" t="s">
        <v>11062</v>
      </c>
      <c r="Q79" t="s">
        <v>26</v>
      </c>
      <c r="R79" t="s">
        <v>11063</v>
      </c>
      <c r="S79" t="s">
        <v>11032</v>
      </c>
      <c r="T79" t="s">
        <v>11057</v>
      </c>
      <c r="U79" t="s">
        <v>4561</v>
      </c>
      <c r="V79" t="s">
        <v>11058</v>
      </c>
    </row>
    <row r="80" spans="1:22">
      <c r="A80" t="s">
        <v>11006</v>
      </c>
      <c r="B80" t="s">
        <v>11001</v>
      </c>
      <c r="C80" t="s">
        <v>11014</v>
      </c>
      <c r="D80" t="s">
        <v>6631</v>
      </c>
      <c r="E80" t="s">
        <v>11022</v>
      </c>
      <c r="F80" t="s">
        <v>2657</v>
      </c>
      <c r="G80" t="s">
        <v>11023</v>
      </c>
      <c r="H80" t="s">
        <v>4379</v>
      </c>
      <c r="I80" t="s">
        <v>4796</v>
      </c>
      <c r="J80" t="s">
        <v>11025</v>
      </c>
      <c r="K80" t="s">
        <v>6631</v>
      </c>
      <c r="L80" t="s">
        <v>11059</v>
      </c>
      <c r="M80" t="s">
        <v>26</v>
      </c>
      <c r="N80" t="s">
        <v>11064</v>
      </c>
      <c r="O80" t="s">
        <v>6631</v>
      </c>
      <c r="P80" t="s">
        <v>11065</v>
      </c>
      <c r="Q80" t="s">
        <v>26</v>
      </c>
      <c r="R80" t="s">
        <v>11066</v>
      </c>
      <c r="S80" t="s">
        <v>11032</v>
      </c>
      <c r="T80" t="s">
        <v>11059</v>
      </c>
      <c r="U80" t="s">
        <v>4561</v>
      </c>
      <c r="V80" t="s">
        <v>11060</v>
      </c>
    </row>
    <row r="81" spans="1:22">
      <c r="A81" t="s">
        <v>11007</v>
      </c>
      <c r="B81" t="s">
        <v>10997</v>
      </c>
      <c r="C81" t="s">
        <v>11017</v>
      </c>
      <c r="D81" t="s">
        <v>6631</v>
      </c>
      <c r="E81" t="s">
        <v>8094</v>
      </c>
      <c r="F81" t="s">
        <v>2657</v>
      </c>
      <c r="G81" t="s">
        <v>11024</v>
      </c>
      <c r="H81" t="s">
        <v>7980</v>
      </c>
      <c r="I81" t="s">
        <v>11082</v>
      </c>
      <c r="J81" t="s">
        <v>11025</v>
      </c>
      <c r="K81" t="s">
        <v>6631</v>
      </c>
      <c r="L81" t="s">
        <v>11030</v>
      </c>
      <c r="M81" t="s">
        <v>26</v>
      </c>
      <c r="N81" t="s">
        <v>11031</v>
      </c>
      <c r="S81" t="s">
        <v>11032</v>
      </c>
      <c r="T81" t="s">
        <v>11030</v>
      </c>
      <c r="U81" t="s">
        <v>4561</v>
      </c>
      <c r="V81" t="s">
        <v>11034</v>
      </c>
    </row>
    <row r="82" spans="1:22">
      <c r="A82" t="s">
        <v>11008</v>
      </c>
      <c r="B82" t="s">
        <v>10998</v>
      </c>
      <c r="C82" t="s">
        <v>11018</v>
      </c>
      <c r="D82" t="s">
        <v>6631</v>
      </c>
      <c r="E82" t="s">
        <v>8094</v>
      </c>
      <c r="F82" t="s">
        <v>2657</v>
      </c>
      <c r="G82" t="s">
        <v>11024</v>
      </c>
      <c r="H82" t="s">
        <v>7980</v>
      </c>
      <c r="I82" t="s">
        <v>11082</v>
      </c>
      <c r="J82" t="s">
        <v>11025</v>
      </c>
      <c r="K82" t="s">
        <v>6631</v>
      </c>
      <c r="L82" t="s">
        <v>11040</v>
      </c>
      <c r="M82" t="s">
        <v>26</v>
      </c>
      <c r="N82" t="s">
        <v>11042</v>
      </c>
      <c r="S82" t="s">
        <v>11032</v>
      </c>
      <c r="T82" t="s">
        <v>11040</v>
      </c>
      <c r="U82" t="s">
        <v>4561</v>
      </c>
      <c r="V82" t="s">
        <v>11041</v>
      </c>
    </row>
    <row r="83" spans="1:22">
      <c r="A83" t="s">
        <v>11009</v>
      </c>
      <c r="B83" t="s">
        <v>10999</v>
      </c>
      <c r="C83" t="s">
        <v>11019</v>
      </c>
      <c r="D83" t="s">
        <v>6631</v>
      </c>
      <c r="E83" t="s">
        <v>8094</v>
      </c>
      <c r="F83" t="s">
        <v>2657</v>
      </c>
      <c r="G83" t="s">
        <v>11024</v>
      </c>
      <c r="H83" t="s">
        <v>7980</v>
      </c>
      <c r="I83" t="s">
        <v>11082</v>
      </c>
      <c r="J83" t="s">
        <v>11025</v>
      </c>
      <c r="K83" t="s">
        <v>6631</v>
      </c>
      <c r="L83" t="s">
        <v>11048</v>
      </c>
      <c r="M83" t="s">
        <v>26</v>
      </c>
      <c r="N83" t="s">
        <v>11049</v>
      </c>
      <c r="S83" t="s">
        <v>11032</v>
      </c>
      <c r="T83" t="s">
        <v>11048</v>
      </c>
      <c r="U83" t="s">
        <v>4561</v>
      </c>
      <c r="V83" t="s">
        <v>11050</v>
      </c>
    </row>
    <row r="84" spans="1:22">
      <c r="A84" t="s">
        <v>11010</v>
      </c>
      <c r="B84" t="s">
        <v>11000</v>
      </c>
      <c r="C84" t="s">
        <v>11020</v>
      </c>
      <c r="D84" t="s">
        <v>6631</v>
      </c>
      <c r="E84" t="s">
        <v>8094</v>
      </c>
      <c r="F84" t="s">
        <v>2657</v>
      </c>
      <c r="G84" t="s">
        <v>11024</v>
      </c>
      <c r="H84" t="s">
        <v>7980</v>
      </c>
      <c r="I84" t="s">
        <v>11082</v>
      </c>
      <c r="J84" t="s">
        <v>11025</v>
      </c>
      <c r="K84" t="s">
        <v>6631</v>
      </c>
      <c r="L84" t="s">
        <v>11051</v>
      </c>
      <c r="M84" t="s">
        <v>26</v>
      </c>
      <c r="N84" t="s">
        <v>11055</v>
      </c>
      <c r="S84" t="s">
        <v>11032</v>
      </c>
      <c r="T84" t="s">
        <v>11051</v>
      </c>
      <c r="U84" t="s">
        <v>4561</v>
      </c>
      <c r="V84" t="s">
        <v>11052</v>
      </c>
    </row>
    <row r="85" spans="1:22">
      <c r="A85" t="s">
        <v>11011</v>
      </c>
      <c r="B85" t="s">
        <v>11001</v>
      </c>
      <c r="C85" t="s">
        <v>11021</v>
      </c>
      <c r="D85" t="s">
        <v>6631</v>
      </c>
      <c r="E85" t="s">
        <v>8094</v>
      </c>
      <c r="F85" t="s">
        <v>2657</v>
      </c>
      <c r="G85" t="s">
        <v>11024</v>
      </c>
      <c r="H85" t="s">
        <v>7980</v>
      </c>
      <c r="I85" t="s">
        <v>11082</v>
      </c>
      <c r="J85" t="s">
        <v>11025</v>
      </c>
      <c r="K85" t="s">
        <v>6631</v>
      </c>
      <c r="L85" t="s">
        <v>11053</v>
      </c>
      <c r="M85" t="s">
        <v>26</v>
      </c>
      <c r="N85" t="s">
        <v>11056</v>
      </c>
      <c r="S85" t="s">
        <v>11032</v>
      </c>
      <c r="T85" t="s">
        <v>11053</v>
      </c>
      <c r="U85" t="s">
        <v>4561</v>
      </c>
      <c r="V85" t="s">
        <v>11054</v>
      </c>
    </row>
    <row r="86" spans="1:22">
      <c r="A86" t="s">
        <v>11146</v>
      </c>
      <c r="B86" t="s">
        <v>11072</v>
      </c>
      <c r="C86" t="s">
        <v>11160</v>
      </c>
      <c r="D86" t="s">
        <v>4519</v>
      </c>
      <c r="E86" t="s">
        <v>4555</v>
      </c>
      <c r="F86" t="s">
        <v>7020</v>
      </c>
      <c r="G86" t="s">
        <v>11144</v>
      </c>
      <c r="H86" t="s">
        <v>4378</v>
      </c>
      <c r="I86" t="s">
        <v>8897</v>
      </c>
      <c r="J86" t="s">
        <v>11081</v>
      </c>
      <c r="K86" t="s">
        <v>4519</v>
      </c>
      <c r="L86" t="s">
        <v>11067</v>
      </c>
      <c r="M86" t="s">
        <v>26</v>
      </c>
      <c r="N86" t="s">
        <v>11083</v>
      </c>
      <c r="O86" t="s">
        <v>4519</v>
      </c>
      <c r="P86" t="s">
        <v>11068</v>
      </c>
      <c r="Q86" t="s">
        <v>26</v>
      </c>
      <c r="R86" t="s">
        <v>11084</v>
      </c>
      <c r="S86" t="s">
        <v>4519</v>
      </c>
      <c r="T86" t="s">
        <v>11067</v>
      </c>
      <c r="U86" t="s">
        <v>4561</v>
      </c>
      <c r="V86" t="s">
        <v>11094</v>
      </c>
    </row>
    <row r="87" spans="1:22">
      <c r="A87" t="s">
        <v>11155</v>
      </c>
      <c r="B87" t="s">
        <v>11071</v>
      </c>
      <c r="C87" t="s">
        <v>11160</v>
      </c>
      <c r="D87" t="s">
        <v>4519</v>
      </c>
      <c r="E87" t="s">
        <v>11079</v>
      </c>
      <c r="F87" t="s">
        <v>7020</v>
      </c>
      <c r="G87" t="s">
        <v>11145</v>
      </c>
      <c r="H87" t="s">
        <v>4378</v>
      </c>
      <c r="I87" t="s">
        <v>8530</v>
      </c>
      <c r="J87" t="s">
        <v>11081</v>
      </c>
      <c r="K87" t="s">
        <v>4519</v>
      </c>
      <c r="L87" t="s">
        <v>11085</v>
      </c>
      <c r="M87" t="s">
        <v>26</v>
      </c>
      <c r="N87" t="s">
        <v>11087</v>
      </c>
      <c r="O87" t="s">
        <v>4519</v>
      </c>
      <c r="P87" t="s">
        <v>11069</v>
      </c>
      <c r="Q87" t="s">
        <v>26</v>
      </c>
      <c r="R87" t="s">
        <v>11088</v>
      </c>
      <c r="S87" t="s">
        <v>4519</v>
      </c>
      <c r="T87" t="s">
        <v>11085</v>
      </c>
      <c r="U87" t="s">
        <v>4561</v>
      </c>
      <c r="V87" t="s">
        <v>11095</v>
      </c>
    </row>
    <row r="88" spans="1:22">
      <c r="A88" t="s">
        <v>11150</v>
      </c>
      <c r="B88" t="s">
        <v>11073</v>
      </c>
      <c r="C88" t="s">
        <v>11161</v>
      </c>
      <c r="D88" t="s">
        <v>4519</v>
      </c>
      <c r="E88" t="s">
        <v>6339</v>
      </c>
      <c r="F88" t="s">
        <v>7020</v>
      </c>
      <c r="G88" t="s">
        <v>11147</v>
      </c>
      <c r="H88" t="s">
        <v>4379</v>
      </c>
      <c r="I88" t="s">
        <v>11080</v>
      </c>
      <c r="J88" t="s">
        <v>11081</v>
      </c>
      <c r="K88" t="s">
        <v>4519</v>
      </c>
      <c r="L88" t="s">
        <v>11070</v>
      </c>
      <c r="M88" t="s">
        <v>26</v>
      </c>
      <c r="N88" t="s">
        <v>11089</v>
      </c>
      <c r="O88" t="s">
        <v>4519</v>
      </c>
      <c r="P88" t="s">
        <v>11086</v>
      </c>
      <c r="Q88" t="s">
        <v>26</v>
      </c>
      <c r="R88" t="s">
        <v>11090</v>
      </c>
      <c r="S88" t="s">
        <v>4519</v>
      </c>
      <c r="T88" t="s">
        <v>11070</v>
      </c>
      <c r="U88" t="s">
        <v>4561</v>
      </c>
      <c r="V88" t="s">
        <v>11096</v>
      </c>
    </row>
    <row r="89" spans="1:22">
      <c r="A89" t="s">
        <v>11151</v>
      </c>
      <c r="B89" t="s">
        <v>11077</v>
      </c>
      <c r="C89" t="s">
        <v>11161</v>
      </c>
      <c r="D89" t="s">
        <v>4519</v>
      </c>
      <c r="E89" t="s">
        <v>6240</v>
      </c>
      <c r="F89" t="s">
        <v>7020</v>
      </c>
      <c r="G89" t="s">
        <v>11147</v>
      </c>
      <c r="H89" t="s">
        <v>4379</v>
      </c>
      <c r="I89" t="s">
        <v>4796</v>
      </c>
      <c r="J89" t="s">
        <v>11081</v>
      </c>
      <c r="K89" t="s">
        <v>4519</v>
      </c>
      <c r="L89" t="s">
        <v>11076</v>
      </c>
      <c r="M89" t="s">
        <v>26</v>
      </c>
      <c r="N89" t="s">
        <v>11091</v>
      </c>
      <c r="S89" t="s">
        <v>4519</v>
      </c>
      <c r="T89" t="s">
        <v>11076</v>
      </c>
      <c r="U89" t="s">
        <v>4561</v>
      </c>
      <c r="V89" t="s">
        <v>11097</v>
      </c>
    </row>
    <row r="90" spans="1:22">
      <c r="A90" t="s">
        <v>11152</v>
      </c>
      <c r="B90" t="s">
        <v>11074</v>
      </c>
      <c r="C90" t="s">
        <v>11161</v>
      </c>
      <c r="D90" t="s">
        <v>4519</v>
      </c>
      <c r="E90" t="s">
        <v>11078</v>
      </c>
      <c r="F90" t="s">
        <v>7020</v>
      </c>
      <c r="G90" t="s">
        <v>11148</v>
      </c>
      <c r="H90" t="s">
        <v>4379</v>
      </c>
      <c r="I90" t="s">
        <v>11075</v>
      </c>
      <c r="J90" t="s">
        <v>11081</v>
      </c>
      <c r="K90" t="s">
        <v>4519</v>
      </c>
      <c r="L90" t="s">
        <v>11092</v>
      </c>
      <c r="M90" t="s">
        <v>26</v>
      </c>
      <c r="N90" t="s">
        <v>11093</v>
      </c>
      <c r="S90" t="s">
        <v>4519</v>
      </c>
      <c r="T90" t="s">
        <v>11092</v>
      </c>
      <c r="U90" t="s">
        <v>4561</v>
      </c>
      <c r="V90" t="s">
        <v>11098</v>
      </c>
    </row>
    <row r="91" spans="1:22">
      <c r="A91" t="s">
        <v>11153</v>
      </c>
      <c r="B91" t="s">
        <v>11099</v>
      </c>
      <c r="C91" t="s">
        <v>11162</v>
      </c>
      <c r="D91" t="s">
        <v>4519</v>
      </c>
      <c r="E91" t="s">
        <v>4555</v>
      </c>
      <c r="F91" t="s">
        <v>7020</v>
      </c>
      <c r="G91" t="s">
        <v>11145</v>
      </c>
      <c r="H91" t="s">
        <v>4378</v>
      </c>
      <c r="I91" t="s">
        <v>8897</v>
      </c>
      <c r="J91" t="s">
        <v>11113</v>
      </c>
      <c r="K91" t="s">
        <v>4519</v>
      </c>
      <c r="L91" t="s">
        <v>11105</v>
      </c>
      <c r="M91" t="s">
        <v>26</v>
      </c>
      <c r="N91" t="s">
        <v>11116</v>
      </c>
      <c r="O91" t="s">
        <v>4519</v>
      </c>
      <c r="P91" t="s">
        <v>11118</v>
      </c>
      <c r="Q91" t="s">
        <v>26</v>
      </c>
      <c r="R91" t="s">
        <v>11117</v>
      </c>
      <c r="S91" t="s">
        <v>4519</v>
      </c>
      <c r="T91" t="s">
        <v>11105</v>
      </c>
      <c r="U91" t="s">
        <v>4561</v>
      </c>
      <c r="V91" t="s">
        <v>11129</v>
      </c>
    </row>
    <row r="92" spans="1:22">
      <c r="A92" t="s">
        <v>11154</v>
      </c>
      <c r="B92" t="s">
        <v>11100</v>
      </c>
      <c r="C92" t="s">
        <v>11162</v>
      </c>
      <c r="D92" t="s">
        <v>4519</v>
      </c>
      <c r="E92" t="s">
        <v>11079</v>
      </c>
      <c r="F92" t="s">
        <v>7020</v>
      </c>
      <c r="G92" t="s">
        <v>11145</v>
      </c>
      <c r="H92" t="s">
        <v>4378</v>
      </c>
      <c r="I92" t="s">
        <v>8530</v>
      </c>
      <c r="J92" t="s">
        <v>11113</v>
      </c>
      <c r="K92" t="s">
        <v>4519</v>
      </c>
      <c r="L92" t="s">
        <v>11106</v>
      </c>
      <c r="M92" t="s">
        <v>26</v>
      </c>
      <c r="N92" t="s">
        <v>11119</v>
      </c>
      <c r="S92" t="s">
        <v>4519</v>
      </c>
      <c r="T92" t="s">
        <v>11106</v>
      </c>
      <c r="U92" t="s">
        <v>4561</v>
      </c>
      <c r="V92" t="s">
        <v>11128</v>
      </c>
    </row>
    <row r="93" spans="1:22">
      <c r="A93" t="s">
        <v>11156</v>
      </c>
      <c r="B93" t="s">
        <v>11101</v>
      </c>
      <c r="C93" t="s">
        <v>11162</v>
      </c>
      <c r="D93" t="s">
        <v>4519</v>
      </c>
      <c r="E93" t="s">
        <v>11111</v>
      </c>
      <c r="F93" t="s">
        <v>7020</v>
      </c>
      <c r="G93" t="s">
        <v>11145</v>
      </c>
      <c r="H93" t="s">
        <v>4378</v>
      </c>
      <c r="I93" t="s">
        <v>11114</v>
      </c>
      <c r="J93" t="s">
        <v>11113</v>
      </c>
      <c r="K93" t="s">
        <v>4519</v>
      </c>
      <c r="L93" t="s">
        <v>11107</v>
      </c>
      <c r="M93" t="s">
        <v>26</v>
      </c>
      <c r="N93" t="s">
        <v>11120</v>
      </c>
      <c r="S93" t="s">
        <v>4519</v>
      </c>
      <c r="T93" t="s">
        <v>11107</v>
      </c>
      <c r="U93" t="s">
        <v>4561</v>
      </c>
      <c r="V93" t="s">
        <v>11127</v>
      </c>
    </row>
    <row r="94" spans="1:22">
      <c r="A94" t="s">
        <v>11157</v>
      </c>
      <c r="B94" t="s">
        <v>11102</v>
      </c>
      <c r="C94" t="s">
        <v>11163</v>
      </c>
      <c r="D94" t="s">
        <v>4519</v>
      </c>
      <c r="E94" t="s">
        <v>6339</v>
      </c>
      <c r="F94" t="s">
        <v>7020</v>
      </c>
      <c r="G94" t="s">
        <v>11147</v>
      </c>
      <c r="H94" t="s">
        <v>4379</v>
      </c>
      <c r="I94" t="s">
        <v>11080</v>
      </c>
      <c r="J94" t="s">
        <v>11113</v>
      </c>
      <c r="K94" t="s">
        <v>4519</v>
      </c>
      <c r="L94" t="s">
        <v>11108</v>
      </c>
      <c r="M94" t="s">
        <v>26</v>
      </c>
      <c r="N94" t="s">
        <v>11121</v>
      </c>
      <c r="S94" t="s">
        <v>4519</v>
      </c>
      <c r="T94" t="s">
        <v>11108</v>
      </c>
      <c r="U94" t="s">
        <v>4561</v>
      </c>
      <c r="V94" t="s">
        <v>11126</v>
      </c>
    </row>
    <row r="95" spans="1:22">
      <c r="A95" t="s">
        <v>11158</v>
      </c>
      <c r="B95" t="s">
        <v>11103</v>
      </c>
      <c r="C95" t="s">
        <v>11163</v>
      </c>
      <c r="D95" t="s">
        <v>4519</v>
      </c>
      <c r="E95" t="s">
        <v>11112</v>
      </c>
      <c r="F95" t="s">
        <v>7020</v>
      </c>
      <c r="G95" t="s">
        <v>11147</v>
      </c>
      <c r="H95" t="s">
        <v>6247</v>
      </c>
      <c r="I95" t="s">
        <v>11115</v>
      </c>
      <c r="J95" t="s">
        <v>11113</v>
      </c>
      <c r="K95" t="s">
        <v>4519</v>
      </c>
      <c r="L95" t="s">
        <v>11109</v>
      </c>
      <c r="M95" t="s">
        <v>26</v>
      </c>
      <c r="N95" t="s">
        <v>11122</v>
      </c>
      <c r="S95" t="s">
        <v>4519</v>
      </c>
      <c r="T95" t="s">
        <v>11109</v>
      </c>
      <c r="U95" t="s">
        <v>4561</v>
      </c>
      <c r="V95" t="s">
        <v>11125</v>
      </c>
    </row>
    <row r="96" spans="1:22">
      <c r="A96" t="s">
        <v>11159</v>
      </c>
      <c r="B96" t="s">
        <v>11104</v>
      </c>
      <c r="C96" t="s">
        <v>11164</v>
      </c>
      <c r="D96" t="s">
        <v>4519</v>
      </c>
      <c r="E96" t="s">
        <v>11078</v>
      </c>
      <c r="F96" t="s">
        <v>7020</v>
      </c>
      <c r="G96" t="s">
        <v>11149</v>
      </c>
      <c r="H96" t="s">
        <v>4379</v>
      </c>
      <c r="I96" t="s">
        <v>11075</v>
      </c>
      <c r="J96" t="s">
        <v>11113</v>
      </c>
      <c r="K96" t="s">
        <v>4519</v>
      </c>
      <c r="L96" t="s">
        <v>11110</v>
      </c>
      <c r="M96" t="s">
        <v>26</v>
      </c>
      <c r="N96" t="s">
        <v>11123</v>
      </c>
      <c r="S96" t="s">
        <v>4519</v>
      </c>
      <c r="T96" t="s">
        <v>11110</v>
      </c>
      <c r="U96" t="s">
        <v>4561</v>
      </c>
      <c r="V96" t="s">
        <v>11124</v>
      </c>
    </row>
    <row r="97" spans="1:22">
      <c r="A97" t="s">
        <v>11173</v>
      </c>
      <c r="B97" t="s">
        <v>11173</v>
      </c>
      <c r="C97" t="s">
        <v>11247</v>
      </c>
      <c r="D97" t="s">
        <v>4519</v>
      </c>
      <c r="E97" t="s">
        <v>11179</v>
      </c>
      <c r="F97" t="s">
        <v>2657</v>
      </c>
      <c r="G97" t="s">
        <v>11174</v>
      </c>
      <c r="H97" t="s">
        <v>4379</v>
      </c>
      <c r="I97" t="s">
        <v>10888</v>
      </c>
      <c r="J97" t="s">
        <v>11180</v>
      </c>
      <c r="K97" t="s">
        <v>4519</v>
      </c>
      <c r="L97" t="s">
        <v>11181</v>
      </c>
      <c r="M97" t="s">
        <v>26</v>
      </c>
      <c r="N97" t="s">
        <v>11178</v>
      </c>
      <c r="S97" t="s">
        <v>4519</v>
      </c>
      <c r="T97" t="s">
        <v>11181</v>
      </c>
      <c r="U97" t="s">
        <v>4561</v>
      </c>
      <c r="V97" t="s">
        <v>11188</v>
      </c>
    </row>
    <row r="98" spans="1:22">
      <c r="A98" t="s">
        <v>11175</v>
      </c>
      <c r="B98" t="s">
        <v>11175</v>
      </c>
      <c r="C98" t="s">
        <v>11248</v>
      </c>
      <c r="D98" t="s">
        <v>4519</v>
      </c>
      <c r="E98" t="s">
        <v>11179</v>
      </c>
      <c r="F98" t="s">
        <v>2657</v>
      </c>
      <c r="G98" t="s">
        <v>11174</v>
      </c>
      <c r="H98" t="s">
        <v>4379</v>
      </c>
      <c r="I98" t="s">
        <v>10888</v>
      </c>
      <c r="J98" t="s">
        <v>11180</v>
      </c>
      <c r="K98" t="s">
        <v>4519</v>
      </c>
      <c r="L98" t="s">
        <v>11183</v>
      </c>
      <c r="M98" t="s">
        <v>26</v>
      </c>
      <c r="N98" t="s">
        <v>11182</v>
      </c>
      <c r="S98" t="s">
        <v>4519</v>
      </c>
      <c r="T98" t="s">
        <v>11183</v>
      </c>
      <c r="U98" t="s">
        <v>4561</v>
      </c>
      <c r="V98" t="s">
        <v>11189</v>
      </c>
    </row>
    <row r="99" spans="1:22">
      <c r="A99" t="s">
        <v>11176</v>
      </c>
      <c r="B99" t="s">
        <v>11176</v>
      </c>
      <c r="C99" t="s">
        <v>11249</v>
      </c>
      <c r="D99" t="s">
        <v>4519</v>
      </c>
      <c r="E99" t="s">
        <v>11179</v>
      </c>
      <c r="F99" t="s">
        <v>2657</v>
      </c>
      <c r="G99" t="s">
        <v>11174</v>
      </c>
      <c r="H99" t="s">
        <v>4379</v>
      </c>
      <c r="I99" t="s">
        <v>10888</v>
      </c>
      <c r="J99" t="s">
        <v>11180</v>
      </c>
      <c r="K99" t="s">
        <v>4519</v>
      </c>
      <c r="L99" t="s">
        <v>11187</v>
      </c>
      <c r="M99" t="s">
        <v>26</v>
      </c>
      <c r="N99" t="s">
        <v>11186</v>
      </c>
      <c r="S99" t="s">
        <v>4519</v>
      </c>
      <c r="T99" t="s">
        <v>11187</v>
      </c>
      <c r="U99" t="s">
        <v>4561</v>
      </c>
      <c r="V99" t="s">
        <v>11190</v>
      </c>
    </row>
    <row r="100" spans="1:22">
      <c r="A100" t="s">
        <v>11177</v>
      </c>
      <c r="B100" t="s">
        <v>11177</v>
      </c>
      <c r="C100" t="s">
        <v>11250</v>
      </c>
      <c r="D100" t="s">
        <v>4519</v>
      </c>
      <c r="E100" t="s">
        <v>11179</v>
      </c>
      <c r="F100" t="s">
        <v>2657</v>
      </c>
      <c r="G100" t="s">
        <v>11174</v>
      </c>
      <c r="H100" t="s">
        <v>4379</v>
      </c>
      <c r="I100" t="s">
        <v>10888</v>
      </c>
      <c r="J100" t="s">
        <v>11180</v>
      </c>
      <c r="K100" t="s">
        <v>4519</v>
      </c>
      <c r="L100" t="s">
        <v>11185</v>
      </c>
      <c r="M100" t="s">
        <v>26</v>
      </c>
      <c r="N100" t="s">
        <v>11184</v>
      </c>
      <c r="S100" t="s">
        <v>4519</v>
      </c>
      <c r="T100" t="s">
        <v>11185</v>
      </c>
      <c r="U100" t="s">
        <v>4561</v>
      </c>
      <c r="V100" t="s">
        <v>11191</v>
      </c>
    </row>
    <row r="101" spans="1:22">
      <c r="A101" t="s">
        <v>11242</v>
      </c>
      <c r="B101" t="s">
        <v>11242</v>
      </c>
      <c r="C101" t="s">
        <v>11246</v>
      </c>
      <c r="D101" t="s">
        <v>4519</v>
      </c>
      <c r="E101" t="s">
        <v>4374</v>
      </c>
      <c r="F101" t="s">
        <v>2657</v>
      </c>
      <c r="G101" t="s">
        <v>11243</v>
      </c>
      <c r="H101" t="s">
        <v>4378</v>
      </c>
      <c r="I101" t="s">
        <v>4791</v>
      </c>
      <c r="J101" t="s">
        <v>11239</v>
      </c>
      <c r="K101" t="s">
        <v>4519</v>
      </c>
      <c r="L101" t="s">
        <v>11240</v>
      </c>
      <c r="M101" t="s">
        <v>26</v>
      </c>
      <c r="N101" t="s">
        <v>11244</v>
      </c>
      <c r="S101" t="s">
        <v>4519</v>
      </c>
      <c r="T101" t="s">
        <v>11240</v>
      </c>
      <c r="U101" t="s">
        <v>4561</v>
      </c>
      <c r="V101" t="s">
        <v>11251</v>
      </c>
    </row>
    <row r="102" spans="1:22">
      <c r="A102" t="s">
        <v>11243</v>
      </c>
      <c r="B102" t="s">
        <v>11243</v>
      </c>
      <c r="C102" t="s">
        <v>11246</v>
      </c>
      <c r="D102" t="s">
        <v>4519</v>
      </c>
      <c r="E102" t="s">
        <v>4374</v>
      </c>
      <c r="F102" t="s">
        <v>2657</v>
      </c>
      <c r="G102" t="s">
        <v>11243</v>
      </c>
      <c r="H102" t="s">
        <v>4378</v>
      </c>
      <c r="I102" t="s">
        <v>4791</v>
      </c>
      <c r="J102" t="s">
        <v>11239</v>
      </c>
      <c r="K102" t="s">
        <v>4519</v>
      </c>
      <c r="L102" t="s">
        <v>11241</v>
      </c>
      <c r="M102" t="s">
        <v>26</v>
      </c>
      <c r="N102" t="s">
        <v>11245</v>
      </c>
      <c r="S102" t="s">
        <v>4519</v>
      </c>
      <c r="T102" t="s">
        <v>11241</v>
      </c>
      <c r="U102" t="s">
        <v>4561</v>
      </c>
      <c r="V102" t="s">
        <v>11252</v>
      </c>
    </row>
    <row r="103" spans="1:22">
      <c r="A103" t="s">
        <v>12039</v>
      </c>
      <c r="B103" t="s">
        <v>12039</v>
      </c>
      <c r="C103" t="s">
        <v>12090</v>
      </c>
      <c r="D103" t="s">
        <v>12094</v>
      </c>
      <c r="E103" t="s">
        <v>12096</v>
      </c>
      <c r="F103" t="s">
        <v>2657</v>
      </c>
      <c r="G103" t="s">
        <v>12051</v>
      </c>
      <c r="H103" t="s">
        <v>4379</v>
      </c>
      <c r="I103" t="s">
        <v>6551</v>
      </c>
      <c r="J103" t="s">
        <v>12055</v>
      </c>
      <c r="K103" t="s">
        <v>6271</v>
      </c>
      <c r="L103" t="s">
        <v>12059</v>
      </c>
      <c r="M103" t="s">
        <v>26</v>
      </c>
      <c r="N103" t="s">
        <v>12060</v>
      </c>
    </row>
    <row r="104" spans="1:22">
      <c r="A104" t="s">
        <v>12040</v>
      </c>
      <c r="B104" t="s">
        <v>12040</v>
      </c>
      <c r="C104" t="s">
        <v>12090</v>
      </c>
      <c r="D104" t="s">
        <v>12094</v>
      </c>
      <c r="E104" t="s">
        <v>12097</v>
      </c>
      <c r="F104" t="s">
        <v>2657</v>
      </c>
      <c r="G104" t="s">
        <v>12051</v>
      </c>
      <c r="H104" t="s">
        <v>4379</v>
      </c>
      <c r="I104" t="s">
        <v>12058</v>
      </c>
      <c r="J104" t="s">
        <v>12055</v>
      </c>
      <c r="K104" t="s">
        <v>6271</v>
      </c>
      <c r="L104" t="s">
        <v>12065</v>
      </c>
      <c r="M104" t="s">
        <v>26</v>
      </c>
      <c r="N104" t="s">
        <v>12066</v>
      </c>
      <c r="O104" t="s">
        <v>4519</v>
      </c>
      <c r="P104" t="s">
        <v>12067</v>
      </c>
      <c r="Q104" t="s">
        <v>26</v>
      </c>
      <c r="R104" t="s">
        <v>12068</v>
      </c>
      <c r="S104" t="s">
        <v>13509</v>
      </c>
      <c r="T104" t="s">
        <v>12065</v>
      </c>
      <c r="U104" t="s">
        <v>4561</v>
      </c>
      <c r="V104" t="s">
        <v>13516</v>
      </c>
    </row>
    <row r="105" spans="1:22">
      <c r="A105" t="s">
        <v>12041</v>
      </c>
      <c r="B105" t="s">
        <v>12041</v>
      </c>
      <c r="C105" t="s">
        <v>12090</v>
      </c>
      <c r="D105" t="s">
        <v>12094</v>
      </c>
      <c r="E105" t="s">
        <v>12098</v>
      </c>
      <c r="F105" t="s">
        <v>2657</v>
      </c>
      <c r="G105" t="s">
        <v>12051</v>
      </c>
      <c r="H105" t="s">
        <v>4379</v>
      </c>
      <c r="I105" t="s">
        <v>12057</v>
      </c>
      <c r="J105" t="s">
        <v>12055</v>
      </c>
      <c r="K105" t="s">
        <v>6271</v>
      </c>
      <c r="L105" t="s">
        <v>12071</v>
      </c>
      <c r="M105" t="s">
        <v>26</v>
      </c>
      <c r="N105" t="s">
        <v>12072</v>
      </c>
      <c r="O105" t="s">
        <v>4519</v>
      </c>
      <c r="P105" t="s">
        <v>12073</v>
      </c>
      <c r="Q105" t="s">
        <v>26</v>
      </c>
      <c r="R105" t="s">
        <v>12074</v>
      </c>
      <c r="S105" t="s">
        <v>13509</v>
      </c>
      <c r="T105" t="s">
        <v>12071</v>
      </c>
      <c r="U105" t="s">
        <v>4561</v>
      </c>
      <c r="V105" t="s">
        <v>13517</v>
      </c>
    </row>
    <row r="106" spans="1:22">
      <c r="A106" t="s">
        <v>12042</v>
      </c>
      <c r="B106" t="s">
        <v>12042</v>
      </c>
      <c r="C106" t="s">
        <v>12090</v>
      </c>
      <c r="D106" t="s">
        <v>12094</v>
      </c>
      <c r="E106" t="s">
        <v>12099</v>
      </c>
      <c r="F106" t="s">
        <v>2657</v>
      </c>
      <c r="G106" t="s">
        <v>12052</v>
      </c>
      <c r="H106" t="s">
        <v>4379</v>
      </c>
      <c r="I106" t="s">
        <v>10892</v>
      </c>
      <c r="J106" t="s">
        <v>12055</v>
      </c>
    </row>
    <row r="107" spans="1:22">
      <c r="A107" t="s">
        <v>12044</v>
      </c>
      <c r="B107" t="s">
        <v>12044</v>
      </c>
      <c r="C107" t="s">
        <v>12090</v>
      </c>
      <c r="D107" t="s">
        <v>12094</v>
      </c>
      <c r="E107" t="s">
        <v>12101</v>
      </c>
      <c r="F107" t="s">
        <v>2657</v>
      </c>
      <c r="G107" t="s">
        <v>12053</v>
      </c>
      <c r="H107" t="s">
        <v>6247</v>
      </c>
      <c r="I107" t="s">
        <v>12054</v>
      </c>
      <c r="J107" t="s">
        <v>12055</v>
      </c>
      <c r="K107" t="s">
        <v>6271</v>
      </c>
      <c r="L107" t="s">
        <v>12102</v>
      </c>
      <c r="M107" t="s">
        <v>26</v>
      </c>
      <c r="N107" t="s">
        <v>12103</v>
      </c>
      <c r="S107" t="s">
        <v>13509</v>
      </c>
      <c r="T107" t="s">
        <v>12102</v>
      </c>
      <c r="U107" t="s">
        <v>4561</v>
      </c>
      <c r="V107" t="s">
        <v>13518</v>
      </c>
    </row>
    <row r="108" spans="1:22">
      <c r="A108" t="s">
        <v>12043</v>
      </c>
      <c r="B108" t="s">
        <v>12043</v>
      </c>
      <c r="C108" t="s">
        <v>12090</v>
      </c>
      <c r="D108" t="s">
        <v>12094</v>
      </c>
      <c r="E108" t="s">
        <v>12100</v>
      </c>
      <c r="F108" t="s">
        <v>2657</v>
      </c>
      <c r="G108" t="s">
        <v>12053</v>
      </c>
      <c r="H108" t="s">
        <v>6247</v>
      </c>
      <c r="I108" t="s">
        <v>12056</v>
      </c>
      <c r="J108" t="s">
        <v>12055</v>
      </c>
    </row>
    <row r="109" spans="1:22">
      <c r="A109" t="s">
        <v>12045</v>
      </c>
      <c r="B109" t="s">
        <v>12045</v>
      </c>
      <c r="C109" t="s">
        <v>12091</v>
      </c>
      <c r="D109" t="s">
        <v>12094</v>
      </c>
      <c r="E109" t="s">
        <v>12096</v>
      </c>
      <c r="F109" t="s">
        <v>2657</v>
      </c>
      <c r="G109" t="s">
        <v>12051</v>
      </c>
      <c r="H109" t="s">
        <v>4379</v>
      </c>
      <c r="I109" t="s">
        <v>6551</v>
      </c>
      <c r="J109" t="s">
        <v>12055</v>
      </c>
      <c r="K109" t="s">
        <v>6271</v>
      </c>
      <c r="L109" t="s">
        <v>12061</v>
      </c>
      <c r="M109" t="s">
        <v>26</v>
      </c>
      <c r="N109" t="s">
        <v>12062</v>
      </c>
      <c r="O109" t="s">
        <v>4519</v>
      </c>
      <c r="P109" t="s">
        <v>12063</v>
      </c>
      <c r="Q109" t="s">
        <v>26</v>
      </c>
      <c r="R109" t="s">
        <v>12064</v>
      </c>
      <c r="S109" t="s">
        <v>13509</v>
      </c>
      <c r="T109" t="s">
        <v>12061</v>
      </c>
      <c r="U109" t="s">
        <v>4561</v>
      </c>
      <c r="V109" t="s">
        <v>13511</v>
      </c>
    </row>
    <row r="110" spans="1:22">
      <c r="A110" t="s">
        <v>12046</v>
      </c>
      <c r="B110" t="s">
        <v>12046</v>
      </c>
      <c r="C110" t="s">
        <v>12091</v>
      </c>
      <c r="D110" t="s">
        <v>12094</v>
      </c>
      <c r="E110" t="s">
        <v>12097</v>
      </c>
      <c r="F110" t="s">
        <v>2657</v>
      </c>
      <c r="G110" t="s">
        <v>12051</v>
      </c>
      <c r="H110" t="s">
        <v>4379</v>
      </c>
      <c r="I110" t="s">
        <v>12058</v>
      </c>
      <c r="J110" t="s">
        <v>12055</v>
      </c>
      <c r="K110" t="s">
        <v>6271</v>
      </c>
      <c r="L110" t="s">
        <v>12069</v>
      </c>
      <c r="M110" t="s">
        <v>26</v>
      </c>
      <c r="N110" t="s">
        <v>12070</v>
      </c>
      <c r="S110" t="s">
        <v>13509</v>
      </c>
      <c r="T110" t="s">
        <v>12069</v>
      </c>
      <c r="U110" t="s">
        <v>4561</v>
      </c>
      <c r="V110" t="s">
        <v>13512</v>
      </c>
    </row>
    <row r="111" spans="1:22">
      <c r="A111" t="s">
        <v>12047</v>
      </c>
      <c r="B111" t="s">
        <v>12047</v>
      </c>
      <c r="C111" t="s">
        <v>12091</v>
      </c>
      <c r="D111" t="s">
        <v>12094</v>
      </c>
      <c r="E111" t="s">
        <v>12098</v>
      </c>
      <c r="F111" t="s">
        <v>2657</v>
      </c>
      <c r="G111" t="s">
        <v>12051</v>
      </c>
      <c r="H111" t="s">
        <v>4379</v>
      </c>
      <c r="I111" t="s">
        <v>12057</v>
      </c>
      <c r="J111" t="s">
        <v>12055</v>
      </c>
      <c r="K111" t="s">
        <v>6271</v>
      </c>
      <c r="L111" t="s">
        <v>12075</v>
      </c>
      <c r="M111" t="s">
        <v>26</v>
      </c>
      <c r="N111" t="s">
        <v>12076</v>
      </c>
      <c r="S111" t="s">
        <v>13509</v>
      </c>
      <c r="T111" t="s">
        <v>12075</v>
      </c>
      <c r="U111" t="s">
        <v>4561</v>
      </c>
      <c r="V111" t="s">
        <v>13510</v>
      </c>
    </row>
    <row r="112" spans="1:22">
      <c r="A112" t="s">
        <v>12048</v>
      </c>
      <c r="B112" t="s">
        <v>12048</v>
      </c>
      <c r="C112" t="s">
        <v>12091</v>
      </c>
      <c r="D112" t="s">
        <v>12094</v>
      </c>
      <c r="E112" t="s">
        <v>12099</v>
      </c>
      <c r="F112" t="s">
        <v>2657</v>
      </c>
      <c r="G112" t="s">
        <v>12052</v>
      </c>
      <c r="H112" t="s">
        <v>4379</v>
      </c>
      <c r="I112" t="s">
        <v>10892</v>
      </c>
      <c r="J112" t="s">
        <v>12055</v>
      </c>
    </row>
    <row r="113" spans="1:22">
      <c r="A113" t="s">
        <v>12049</v>
      </c>
      <c r="B113" t="s">
        <v>12049</v>
      </c>
      <c r="C113" t="s">
        <v>12091</v>
      </c>
      <c r="D113" t="s">
        <v>12094</v>
      </c>
      <c r="E113" t="s">
        <v>12101</v>
      </c>
      <c r="F113" t="s">
        <v>2657</v>
      </c>
      <c r="G113" t="s">
        <v>12053</v>
      </c>
      <c r="H113" t="s">
        <v>6247</v>
      </c>
      <c r="I113" t="s">
        <v>12054</v>
      </c>
      <c r="J113" t="s">
        <v>12055</v>
      </c>
      <c r="K113" t="s">
        <v>6271</v>
      </c>
      <c r="L113" t="s">
        <v>12104</v>
      </c>
      <c r="M113" t="s">
        <v>26</v>
      </c>
      <c r="N113" t="s">
        <v>12105</v>
      </c>
      <c r="O113" t="s">
        <v>4519</v>
      </c>
      <c r="P113" t="s">
        <v>12106</v>
      </c>
      <c r="Q113" t="s">
        <v>26</v>
      </c>
      <c r="R113" t="s">
        <v>12107</v>
      </c>
      <c r="S113" t="s">
        <v>13509</v>
      </c>
      <c r="T113" t="s">
        <v>12104</v>
      </c>
      <c r="U113" t="s">
        <v>4561</v>
      </c>
      <c r="V113" t="s">
        <v>13513</v>
      </c>
    </row>
    <row r="114" spans="1:22">
      <c r="A114" t="s">
        <v>12050</v>
      </c>
      <c r="B114" t="s">
        <v>12050</v>
      </c>
      <c r="C114" t="s">
        <v>12091</v>
      </c>
      <c r="D114" t="s">
        <v>12094</v>
      </c>
      <c r="E114" t="s">
        <v>12100</v>
      </c>
      <c r="F114" t="s">
        <v>2657</v>
      </c>
      <c r="G114" t="s">
        <v>12053</v>
      </c>
      <c r="H114" t="s">
        <v>6247</v>
      </c>
      <c r="I114" t="s">
        <v>12056</v>
      </c>
      <c r="J114" t="s">
        <v>12055</v>
      </c>
      <c r="K114" t="s">
        <v>6271</v>
      </c>
      <c r="L114" t="s">
        <v>12108</v>
      </c>
      <c r="M114" t="s">
        <v>26</v>
      </c>
      <c r="N114" t="s">
        <v>12109</v>
      </c>
      <c r="O114" t="s">
        <v>4519</v>
      </c>
      <c r="P114" t="s">
        <v>12110</v>
      </c>
      <c r="Q114" t="s">
        <v>26</v>
      </c>
      <c r="R114" t="s">
        <v>12111</v>
      </c>
      <c r="S114" t="s">
        <v>13509</v>
      </c>
      <c r="T114" t="s">
        <v>12108</v>
      </c>
      <c r="U114" t="s">
        <v>4561</v>
      </c>
      <c r="V114" t="s">
        <v>13514</v>
      </c>
    </row>
    <row r="115" spans="1:22">
      <c r="A115" t="s">
        <v>12077</v>
      </c>
      <c r="B115" t="s">
        <v>12079</v>
      </c>
      <c r="C115" t="s">
        <v>12092</v>
      </c>
      <c r="D115" t="s">
        <v>12095</v>
      </c>
      <c r="E115" t="s">
        <v>12098</v>
      </c>
      <c r="F115" t="s">
        <v>2657</v>
      </c>
      <c r="G115" t="s">
        <v>12051</v>
      </c>
      <c r="H115" t="s">
        <v>4379</v>
      </c>
      <c r="I115" t="s">
        <v>12057</v>
      </c>
      <c r="J115" t="s">
        <v>12081</v>
      </c>
      <c r="K115" t="s">
        <v>6271</v>
      </c>
      <c r="L115" t="s">
        <v>12086</v>
      </c>
      <c r="M115" t="s">
        <v>26</v>
      </c>
      <c r="N115" t="s">
        <v>12087</v>
      </c>
    </row>
    <row r="116" spans="1:22">
      <c r="A116" t="s">
        <v>12082</v>
      </c>
      <c r="B116" t="s">
        <v>12084</v>
      </c>
      <c r="C116" t="s">
        <v>12092</v>
      </c>
      <c r="D116" t="s">
        <v>12095</v>
      </c>
      <c r="E116" t="s">
        <v>12100</v>
      </c>
      <c r="F116" t="s">
        <v>2657</v>
      </c>
      <c r="G116" t="s">
        <v>12053</v>
      </c>
      <c r="H116" t="s">
        <v>6247</v>
      </c>
      <c r="I116" t="s">
        <v>12056</v>
      </c>
      <c r="J116" t="s">
        <v>12081</v>
      </c>
      <c r="K116" t="s">
        <v>6271</v>
      </c>
      <c r="L116" t="s">
        <v>12112</v>
      </c>
      <c r="M116" t="s">
        <v>26</v>
      </c>
      <c r="N116" t="s">
        <v>12113</v>
      </c>
    </row>
    <row r="117" spans="1:22">
      <c r="A117" t="s">
        <v>12078</v>
      </c>
      <c r="B117" t="s">
        <v>12080</v>
      </c>
      <c r="C117" t="s">
        <v>12093</v>
      </c>
      <c r="D117" t="s">
        <v>12095</v>
      </c>
      <c r="E117" t="s">
        <v>12098</v>
      </c>
      <c r="F117" t="s">
        <v>2657</v>
      </c>
      <c r="G117" t="s">
        <v>12051</v>
      </c>
      <c r="H117" t="s">
        <v>4379</v>
      </c>
      <c r="I117" t="s">
        <v>12057</v>
      </c>
      <c r="J117" t="s">
        <v>12081</v>
      </c>
      <c r="K117" t="s">
        <v>6271</v>
      </c>
      <c r="L117" t="s">
        <v>12088</v>
      </c>
      <c r="M117" t="s">
        <v>26</v>
      </c>
      <c r="N117" t="s">
        <v>12089</v>
      </c>
      <c r="S117" t="s">
        <v>13509</v>
      </c>
      <c r="T117" t="s">
        <v>12088</v>
      </c>
      <c r="U117" t="s">
        <v>4561</v>
      </c>
      <c r="V117" t="s">
        <v>13515</v>
      </c>
    </row>
    <row r="118" spans="1:22">
      <c r="A118" t="s">
        <v>12083</v>
      </c>
      <c r="B118" t="s">
        <v>12085</v>
      </c>
      <c r="C118" t="s">
        <v>12093</v>
      </c>
      <c r="D118" t="s">
        <v>12095</v>
      </c>
      <c r="E118" t="s">
        <v>12100</v>
      </c>
      <c r="F118" t="s">
        <v>7020</v>
      </c>
      <c r="G118" t="s">
        <v>12053</v>
      </c>
      <c r="H118" t="s">
        <v>6247</v>
      </c>
      <c r="I118" t="s">
        <v>12056</v>
      </c>
      <c r="J118" t="s">
        <v>12081</v>
      </c>
      <c r="K118" t="s">
        <v>6271</v>
      </c>
      <c r="L118" t="s">
        <v>12114</v>
      </c>
      <c r="M118" t="s">
        <v>26</v>
      </c>
      <c r="N118" t="s">
        <v>12115</v>
      </c>
    </row>
    <row r="119" spans="1:22">
      <c r="A119" t="s">
        <v>12488</v>
      </c>
      <c r="B119" t="s">
        <v>12488</v>
      </c>
      <c r="C119" t="s">
        <v>12495</v>
      </c>
      <c r="D119" t="s">
        <v>4519</v>
      </c>
      <c r="E119" t="s">
        <v>11022</v>
      </c>
      <c r="F119" t="s">
        <v>7020</v>
      </c>
      <c r="G119" t="s">
        <v>12498</v>
      </c>
      <c r="H119" t="s">
        <v>4379</v>
      </c>
      <c r="I119" t="s">
        <v>4796</v>
      </c>
      <c r="J119" t="s">
        <v>12501</v>
      </c>
      <c r="K119" t="s">
        <v>4519</v>
      </c>
      <c r="L119" t="s">
        <v>12502</v>
      </c>
      <c r="M119" t="s">
        <v>26</v>
      </c>
      <c r="N119" t="s">
        <v>12503</v>
      </c>
      <c r="O119" t="s">
        <v>4519</v>
      </c>
      <c r="P119" t="s">
        <v>12504</v>
      </c>
      <c r="Q119" t="s">
        <v>26</v>
      </c>
      <c r="R119" t="s">
        <v>12505</v>
      </c>
      <c r="S119" t="s">
        <v>4519</v>
      </c>
      <c r="T119" t="s">
        <v>12502</v>
      </c>
      <c r="U119" t="s">
        <v>4561</v>
      </c>
      <c r="V119" t="s">
        <v>12506</v>
      </c>
    </row>
    <row r="120" spans="1:22">
      <c r="A120" t="s">
        <v>12489</v>
      </c>
      <c r="B120" t="s">
        <v>12489</v>
      </c>
      <c r="C120" t="s">
        <v>12495</v>
      </c>
      <c r="D120" t="s">
        <v>4519</v>
      </c>
      <c r="E120" t="s">
        <v>4555</v>
      </c>
      <c r="F120" t="s">
        <v>7020</v>
      </c>
      <c r="G120" t="s">
        <v>11144</v>
      </c>
      <c r="H120" t="s">
        <v>4378</v>
      </c>
      <c r="I120" t="s">
        <v>8897</v>
      </c>
      <c r="J120" t="s">
        <v>12501</v>
      </c>
      <c r="K120" t="s">
        <v>4519</v>
      </c>
      <c r="L120" t="s">
        <v>12507</v>
      </c>
      <c r="M120" t="s">
        <v>26</v>
      </c>
      <c r="N120" t="s">
        <v>12508</v>
      </c>
      <c r="O120" t="s">
        <v>4519</v>
      </c>
      <c r="P120" t="s">
        <v>12509</v>
      </c>
      <c r="Q120" t="s">
        <v>26</v>
      </c>
      <c r="R120" t="s">
        <v>12510</v>
      </c>
      <c r="S120" t="s">
        <v>4519</v>
      </c>
      <c r="T120" t="s">
        <v>12507</v>
      </c>
      <c r="U120" t="s">
        <v>4561</v>
      </c>
      <c r="V120" t="s">
        <v>12511</v>
      </c>
    </row>
    <row r="121" spans="1:22">
      <c r="A121" t="s">
        <v>12492</v>
      </c>
      <c r="B121" t="s">
        <v>12492</v>
      </c>
      <c r="C121" t="s">
        <v>12495</v>
      </c>
      <c r="D121" t="s">
        <v>4519</v>
      </c>
      <c r="E121" t="s">
        <v>6339</v>
      </c>
      <c r="F121" t="s">
        <v>7020</v>
      </c>
      <c r="G121" t="s">
        <v>12498</v>
      </c>
      <c r="H121" t="s">
        <v>4379</v>
      </c>
      <c r="I121" t="s">
        <v>11080</v>
      </c>
      <c r="J121" t="s">
        <v>12501</v>
      </c>
      <c r="K121" t="s">
        <v>4519</v>
      </c>
      <c r="L121" t="s">
        <v>12512</v>
      </c>
      <c r="M121" t="s">
        <v>26</v>
      </c>
      <c r="N121" t="s">
        <v>12513</v>
      </c>
      <c r="O121" t="s">
        <v>4519</v>
      </c>
      <c r="P121" t="s">
        <v>12514</v>
      </c>
      <c r="Q121" t="s">
        <v>26</v>
      </c>
      <c r="R121" t="s">
        <v>12515</v>
      </c>
      <c r="S121" t="s">
        <v>4519</v>
      </c>
      <c r="T121" t="s">
        <v>12512</v>
      </c>
      <c r="U121" t="s">
        <v>4561</v>
      </c>
      <c r="V121" t="s">
        <v>12516</v>
      </c>
    </row>
    <row r="122" spans="1:22">
      <c r="A122" t="s">
        <v>12490</v>
      </c>
      <c r="B122" t="s">
        <v>12490</v>
      </c>
      <c r="C122" t="s">
        <v>12496</v>
      </c>
      <c r="D122" t="s">
        <v>4519</v>
      </c>
      <c r="E122" t="s">
        <v>11022</v>
      </c>
      <c r="F122" t="s">
        <v>7020</v>
      </c>
      <c r="G122" t="s">
        <v>11147</v>
      </c>
      <c r="H122" t="s">
        <v>4379</v>
      </c>
      <c r="I122" t="s">
        <v>4796</v>
      </c>
      <c r="J122" t="s">
        <v>12501</v>
      </c>
      <c r="K122" t="s">
        <v>4519</v>
      </c>
      <c r="L122" t="s">
        <v>12517</v>
      </c>
      <c r="M122" t="s">
        <v>26</v>
      </c>
      <c r="N122" t="s">
        <v>12518</v>
      </c>
      <c r="O122" t="s">
        <v>4519</v>
      </c>
      <c r="P122" t="s">
        <v>12519</v>
      </c>
      <c r="Q122" t="s">
        <v>26</v>
      </c>
      <c r="R122" t="s">
        <v>12520</v>
      </c>
      <c r="S122" t="s">
        <v>4519</v>
      </c>
      <c r="T122" t="s">
        <v>12517</v>
      </c>
      <c r="U122" t="s">
        <v>4561</v>
      </c>
      <c r="V122" t="s">
        <v>12521</v>
      </c>
    </row>
    <row r="123" spans="1:22">
      <c r="A123" t="s">
        <v>12493</v>
      </c>
      <c r="B123" t="s">
        <v>12493</v>
      </c>
      <c r="C123" t="s">
        <v>12496</v>
      </c>
      <c r="D123" t="s">
        <v>4519</v>
      </c>
      <c r="E123" t="s">
        <v>6339</v>
      </c>
      <c r="F123" t="s">
        <v>7020</v>
      </c>
      <c r="G123" t="s">
        <v>11147</v>
      </c>
      <c r="H123" t="s">
        <v>4379</v>
      </c>
      <c r="I123" t="s">
        <v>11080</v>
      </c>
      <c r="J123" t="s">
        <v>12501</v>
      </c>
      <c r="K123" t="s">
        <v>4519</v>
      </c>
      <c r="L123" t="s">
        <v>12522</v>
      </c>
      <c r="M123" t="s">
        <v>26</v>
      </c>
      <c r="N123" t="s">
        <v>12523</v>
      </c>
      <c r="O123" t="s">
        <v>4519</v>
      </c>
      <c r="P123" t="s">
        <v>12524</v>
      </c>
      <c r="Q123" t="s">
        <v>26</v>
      </c>
      <c r="R123" t="s">
        <v>12525</v>
      </c>
      <c r="S123" t="s">
        <v>4519</v>
      </c>
      <c r="T123" t="s">
        <v>12522</v>
      </c>
      <c r="U123" t="s">
        <v>4561</v>
      </c>
      <c r="V123" t="s">
        <v>12526</v>
      </c>
    </row>
    <row r="124" spans="1:22">
      <c r="A124" t="s">
        <v>12491</v>
      </c>
      <c r="B124" t="s">
        <v>12491</v>
      </c>
      <c r="C124" t="s">
        <v>12497</v>
      </c>
      <c r="D124" t="s">
        <v>4519</v>
      </c>
      <c r="E124" t="s">
        <v>12499</v>
      </c>
      <c r="F124" t="s">
        <v>7020</v>
      </c>
      <c r="G124" t="s">
        <v>11148</v>
      </c>
      <c r="H124" t="s">
        <v>4379</v>
      </c>
      <c r="I124" t="s">
        <v>12500</v>
      </c>
      <c r="J124" t="s">
        <v>12501</v>
      </c>
      <c r="K124" t="s">
        <v>4519</v>
      </c>
      <c r="L124" t="s">
        <v>12527</v>
      </c>
      <c r="M124" t="s">
        <v>26</v>
      </c>
      <c r="N124" t="s">
        <v>12528</v>
      </c>
      <c r="O124" t="s">
        <v>4519</v>
      </c>
      <c r="P124" t="s">
        <v>12529</v>
      </c>
      <c r="Q124" t="s">
        <v>26</v>
      </c>
      <c r="R124" t="s">
        <v>12530</v>
      </c>
      <c r="S124" t="s">
        <v>4519</v>
      </c>
      <c r="T124" t="s">
        <v>12527</v>
      </c>
      <c r="U124" t="s">
        <v>4561</v>
      </c>
      <c r="V124" t="s">
        <v>12531</v>
      </c>
    </row>
    <row r="125" spans="1:22">
      <c r="A125" t="s">
        <v>12494</v>
      </c>
      <c r="B125" t="s">
        <v>12494</v>
      </c>
      <c r="C125" t="s">
        <v>12497</v>
      </c>
      <c r="D125" t="s">
        <v>4519</v>
      </c>
      <c r="E125" t="s">
        <v>11078</v>
      </c>
      <c r="F125" t="s">
        <v>7020</v>
      </c>
      <c r="G125" t="s">
        <v>11148</v>
      </c>
      <c r="H125" t="s">
        <v>4379</v>
      </c>
      <c r="I125" t="s">
        <v>11075</v>
      </c>
      <c r="J125" t="s">
        <v>12501</v>
      </c>
      <c r="K125" t="s">
        <v>4519</v>
      </c>
      <c r="L125" t="s">
        <v>12532</v>
      </c>
      <c r="M125" t="s">
        <v>26</v>
      </c>
      <c r="N125" t="s">
        <v>12533</v>
      </c>
      <c r="O125" t="s">
        <v>4519</v>
      </c>
      <c r="P125" t="s">
        <v>12534</v>
      </c>
      <c r="Q125" t="s">
        <v>26</v>
      </c>
      <c r="R125" t="s">
        <v>12535</v>
      </c>
      <c r="S125" t="s">
        <v>4519</v>
      </c>
      <c r="T125" t="s">
        <v>12532</v>
      </c>
      <c r="U125" t="s">
        <v>4561</v>
      </c>
      <c r="V125" t="s">
        <v>12536</v>
      </c>
    </row>
    <row r="126" spans="1:22">
      <c r="A126" t="s">
        <v>13028</v>
      </c>
      <c r="B126" t="s">
        <v>13028</v>
      </c>
      <c r="C126" t="s">
        <v>13030</v>
      </c>
      <c r="D126" t="s">
        <v>6250</v>
      </c>
      <c r="E126" t="s">
        <v>13021</v>
      </c>
      <c r="F126" t="s">
        <v>2657</v>
      </c>
      <c r="G126" t="s">
        <v>13022</v>
      </c>
      <c r="H126" t="s">
        <v>4379</v>
      </c>
      <c r="I126" t="s">
        <v>4795</v>
      </c>
      <c r="J126" t="s">
        <v>13018</v>
      </c>
      <c r="K126" t="s">
        <v>6250</v>
      </c>
      <c r="L126" t="s">
        <v>13026</v>
      </c>
      <c r="M126" t="s">
        <v>26</v>
      </c>
      <c r="N126" t="s">
        <v>13032</v>
      </c>
      <c r="O126" t="s">
        <v>6250</v>
      </c>
      <c r="P126" t="s">
        <v>13028</v>
      </c>
      <c r="Q126" t="s">
        <v>26</v>
      </c>
      <c r="R126" t="s">
        <v>13024</v>
      </c>
      <c r="S126" t="s">
        <v>6250</v>
      </c>
      <c r="T126" t="s">
        <v>13028</v>
      </c>
      <c r="U126" t="s">
        <v>4561</v>
      </c>
      <c r="V126" t="s">
        <v>13034</v>
      </c>
    </row>
    <row r="127" spans="1:22">
      <c r="A127" t="s">
        <v>13029</v>
      </c>
      <c r="B127" t="s">
        <v>13029</v>
      </c>
      <c r="C127" t="s">
        <v>13030</v>
      </c>
      <c r="D127" t="s">
        <v>6250</v>
      </c>
      <c r="E127" t="s">
        <v>6240</v>
      </c>
      <c r="F127" t="s">
        <v>2657</v>
      </c>
      <c r="G127" t="s">
        <v>13022</v>
      </c>
      <c r="H127" t="s">
        <v>4379</v>
      </c>
      <c r="I127" t="s">
        <v>4795</v>
      </c>
      <c r="J127" t="s">
        <v>13018</v>
      </c>
      <c r="K127" t="s">
        <v>6250</v>
      </c>
      <c r="L127" t="s">
        <v>13027</v>
      </c>
      <c r="M127" t="s">
        <v>26</v>
      </c>
      <c r="N127" t="s">
        <v>13033</v>
      </c>
      <c r="O127" t="s">
        <v>6250</v>
      </c>
      <c r="P127" t="s">
        <v>13029</v>
      </c>
      <c r="Q127" t="s">
        <v>26</v>
      </c>
      <c r="R127" t="s">
        <v>13025</v>
      </c>
      <c r="S127" t="s">
        <v>6250</v>
      </c>
      <c r="T127" t="s">
        <v>13027</v>
      </c>
      <c r="U127" t="s">
        <v>4561</v>
      </c>
      <c r="V127" t="s">
        <v>13035</v>
      </c>
    </row>
    <row r="128" spans="1:22">
      <c r="A128" t="s">
        <v>13020</v>
      </c>
      <c r="B128" t="s">
        <v>13020</v>
      </c>
      <c r="C128" t="s">
        <v>13031</v>
      </c>
      <c r="D128" t="s">
        <v>6250</v>
      </c>
      <c r="E128" t="s">
        <v>6240</v>
      </c>
      <c r="F128" t="s">
        <v>2657</v>
      </c>
      <c r="G128" t="s">
        <v>13022</v>
      </c>
      <c r="H128" s="11" t="s">
        <v>13023</v>
      </c>
      <c r="I128" s="11"/>
      <c r="J128" t="s">
        <v>13018</v>
      </c>
      <c r="K128" t="s">
        <v>6250</v>
      </c>
      <c r="L128" t="s">
        <v>13020</v>
      </c>
      <c r="M128" t="s">
        <v>26</v>
      </c>
      <c r="N128" t="s">
        <v>13019</v>
      </c>
    </row>
    <row r="129" spans="1:23">
      <c r="A129" t="s">
        <v>13037</v>
      </c>
      <c r="B129" t="s">
        <v>13037</v>
      </c>
      <c r="C129" t="s">
        <v>13038</v>
      </c>
      <c r="D129" t="s">
        <v>6271</v>
      </c>
      <c r="E129" t="s">
        <v>13039</v>
      </c>
      <c r="F129" t="s">
        <v>2657</v>
      </c>
      <c r="G129" t="s">
        <v>13062</v>
      </c>
      <c r="H129" t="s">
        <v>6247</v>
      </c>
      <c r="I129" t="s">
        <v>13063</v>
      </c>
      <c r="J129" t="s">
        <v>13040</v>
      </c>
      <c r="K129" t="s">
        <v>6271</v>
      </c>
      <c r="L129" t="s">
        <v>13036</v>
      </c>
      <c r="M129" t="s">
        <v>26</v>
      </c>
      <c r="N129" t="s">
        <v>13041</v>
      </c>
      <c r="S129" t="s">
        <v>6271</v>
      </c>
      <c r="T129" t="s">
        <v>13036</v>
      </c>
      <c r="U129" t="s">
        <v>4561</v>
      </c>
      <c r="V129" t="s">
        <v>13042</v>
      </c>
    </row>
    <row r="130" spans="1:23">
      <c r="A130" t="s">
        <v>13325</v>
      </c>
      <c r="B130" t="s">
        <v>13325</v>
      </c>
      <c r="C130" t="s">
        <v>13329</v>
      </c>
      <c r="D130" t="s">
        <v>10685</v>
      </c>
      <c r="E130" t="s">
        <v>10816</v>
      </c>
      <c r="F130" t="s">
        <v>10686</v>
      </c>
      <c r="G130" t="s">
        <v>13326</v>
      </c>
      <c r="H130" t="s">
        <v>4379</v>
      </c>
      <c r="I130" t="s">
        <v>10892</v>
      </c>
      <c r="J130" t="s">
        <v>13327</v>
      </c>
      <c r="K130" t="s">
        <v>7944</v>
      </c>
      <c r="L130" t="s">
        <v>13369</v>
      </c>
      <c r="M130" t="s">
        <v>26</v>
      </c>
      <c r="N130" t="s">
        <v>13328</v>
      </c>
      <c r="S130" t="s">
        <v>7944</v>
      </c>
      <c r="T130" t="s">
        <v>13330</v>
      </c>
      <c r="U130" t="s">
        <v>4561</v>
      </c>
      <c r="V130" t="s">
        <v>13331</v>
      </c>
    </row>
    <row r="131" spans="1:23">
      <c r="A131" t="s">
        <v>13366</v>
      </c>
      <c r="B131" t="s">
        <v>13366</v>
      </c>
      <c r="C131" t="s">
        <v>13329</v>
      </c>
      <c r="D131" t="s">
        <v>10685</v>
      </c>
      <c r="E131" t="s">
        <v>10816</v>
      </c>
      <c r="F131" t="s">
        <v>10686</v>
      </c>
      <c r="G131" t="s">
        <v>13326</v>
      </c>
      <c r="H131" t="s">
        <v>4379</v>
      </c>
      <c r="I131" t="s">
        <v>10892</v>
      </c>
      <c r="J131" t="s">
        <v>13367</v>
      </c>
      <c r="K131" t="s">
        <v>7944</v>
      </c>
      <c r="L131" t="s">
        <v>13368</v>
      </c>
      <c r="M131" t="s">
        <v>26</v>
      </c>
      <c r="N131" t="s">
        <v>13370</v>
      </c>
      <c r="S131" t="s">
        <v>7944</v>
      </c>
      <c r="T131" t="s">
        <v>13371</v>
      </c>
      <c r="U131" t="s">
        <v>4561</v>
      </c>
      <c r="V131" t="s">
        <v>13372</v>
      </c>
    </row>
    <row r="132" spans="1:23">
      <c r="A132" t="s">
        <v>13332</v>
      </c>
      <c r="B132" t="s">
        <v>13332</v>
      </c>
      <c r="C132" t="s">
        <v>13335</v>
      </c>
      <c r="D132" t="s">
        <v>4519</v>
      </c>
      <c r="E132" t="s">
        <v>13336</v>
      </c>
      <c r="F132" t="s">
        <v>2657</v>
      </c>
      <c r="G132" t="s">
        <v>13332</v>
      </c>
      <c r="H132" t="s">
        <v>6247</v>
      </c>
      <c r="I132" t="s">
        <v>13338</v>
      </c>
      <c r="J132" t="s">
        <v>13337</v>
      </c>
      <c r="K132" t="s">
        <v>4519</v>
      </c>
      <c r="L132" t="s">
        <v>13333</v>
      </c>
      <c r="M132" t="s">
        <v>26</v>
      </c>
      <c r="N132" t="s">
        <v>13334</v>
      </c>
      <c r="S132" t="s">
        <v>4519</v>
      </c>
      <c r="T132" t="s">
        <v>13333</v>
      </c>
      <c r="U132" t="s">
        <v>4561</v>
      </c>
      <c r="V132" t="s">
        <v>13519</v>
      </c>
    </row>
    <row r="133" spans="1:23" ht="16.5">
      <c r="A133" t="s">
        <v>13520</v>
      </c>
      <c r="B133" t="s">
        <v>13520</v>
      </c>
      <c r="C133" t="s">
        <v>13521</v>
      </c>
      <c r="D133" t="s">
        <v>13522</v>
      </c>
      <c r="E133" t="s">
        <v>6240</v>
      </c>
      <c r="F133" t="s">
        <v>2657</v>
      </c>
      <c r="G133" t="s">
        <v>13523</v>
      </c>
      <c r="H133" t="s">
        <v>4379</v>
      </c>
      <c r="I133" t="s">
        <v>4796</v>
      </c>
      <c r="J133" t="s">
        <v>13524</v>
      </c>
      <c r="K133" t="s">
        <v>13522</v>
      </c>
      <c r="L133" t="s">
        <v>13520</v>
      </c>
      <c r="M133" t="s">
        <v>26</v>
      </c>
      <c r="N133" t="s">
        <v>13525</v>
      </c>
      <c r="S133" t="s">
        <v>13522</v>
      </c>
      <c r="T133" t="s">
        <v>13520</v>
      </c>
      <c r="U133" t="s">
        <v>4561</v>
      </c>
      <c r="V133" s="9" t="s">
        <v>13526</v>
      </c>
    </row>
    <row r="134" spans="1:23">
      <c r="A134" t="s">
        <v>13715</v>
      </c>
      <c r="B134" t="s">
        <v>13715</v>
      </c>
      <c r="C134" t="s">
        <v>13757</v>
      </c>
      <c r="D134" t="s">
        <v>10685</v>
      </c>
      <c r="E134" t="s">
        <v>7950</v>
      </c>
      <c r="F134" t="s">
        <v>10686</v>
      </c>
      <c r="G134" t="s">
        <v>13744</v>
      </c>
      <c r="H134" t="s">
        <v>10709</v>
      </c>
      <c r="I134" t="s">
        <v>10778</v>
      </c>
      <c r="J134" s="26" t="s">
        <v>13785</v>
      </c>
      <c r="S134" t="s">
        <v>7944</v>
      </c>
      <c r="T134" t="s">
        <v>13838</v>
      </c>
      <c r="U134" t="s">
        <v>4561</v>
      </c>
      <c r="V134" t="s">
        <v>13839</v>
      </c>
      <c r="W134" t="s">
        <v>4729</v>
      </c>
    </row>
    <row r="135" spans="1:23">
      <c r="A135" t="s">
        <v>13716</v>
      </c>
      <c r="B135" t="s">
        <v>13716</v>
      </c>
      <c r="C135" t="s">
        <v>13766</v>
      </c>
      <c r="D135" t="s">
        <v>10685</v>
      </c>
      <c r="E135" t="s">
        <v>7950</v>
      </c>
      <c r="F135" t="s">
        <v>10686</v>
      </c>
      <c r="G135" t="s">
        <v>13744</v>
      </c>
      <c r="H135" t="s">
        <v>10709</v>
      </c>
      <c r="I135" t="s">
        <v>10778</v>
      </c>
      <c r="J135" s="26" t="s">
        <v>13786</v>
      </c>
      <c r="S135" t="s">
        <v>7944</v>
      </c>
      <c r="T135" t="s">
        <v>13840</v>
      </c>
      <c r="U135" t="s">
        <v>4561</v>
      </c>
      <c r="V135" t="s">
        <v>13841</v>
      </c>
      <c r="W135" t="s">
        <v>4729</v>
      </c>
    </row>
    <row r="136" spans="1:23">
      <c r="A136" t="s">
        <v>13717</v>
      </c>
      <c r="B136" t="s">
        <v>13717</v>
      </c>
      <c r="C136" t="s">
        <v>13775</v>
      </c>
      <c r="D136" t="s">
        <v>10685</v>
      </c>
      <c r="E136" t="s">
        <v>7950</v>
      </c>
      <c r="F136" t="s">
        <v>10686</v>
      </c>
      <c r="G136" t="s">
        <v>13744</v>
      </c>
      <c r="H136" t="s">
        <v>10709</v>
      </c>
      <c r="I136" t="s">
        <v>10778</v>
      </c>
      <c r="J136" s="26" t="s">
        <v>13787</v>
      </c>
      <c r="K136" t="s">
        <v>7944</v>
      </c>
      <c r="L136" t="s">
        <v>13802</v>
      </c>
      <c r="M136" t="s">
        <v>26</v>
      </c>
      <c r="N136" t="s">
        <v>13803</v>
      </c>
      <c r="O136" t="s">
        <v>7944</v>
      </c>
      <c r="P136" t="s">
        <v>13804</v>
      </c>
      <c r="Q136" t="s">
        <v>26</v>
      </c>
      <c r="R136" t="s">
        <v>13805</v>
      </c>
      <c r="S136" t="s">
        <v>7944</v>
      </c>
      <c r="T136" t="s">
        <v>13802</v>
      </c>
      <c r="U136" t="s">
        <v>4561</v>
      </c>
      <c r="V136" t="s">
        <v>13842</v>
      </c>
      <c r="W136" t="s">
        <v>4729</v>
      </c>
    </row>
    <row r="137" spans="1:23">
      <c r="A137" t="s">
        <v>13721</v>
      </c>
      <c r="B137" t="s">
        <v>13721</v>
      </c>
      <c r="C137" t="s">
        <v>13758</v>
      </c>
      <c r="D137" t="s">
        <v>10685</v>
      </c>
      <c r="E137" t="s">
        <v>10690</v>
      </c>
      <c r="F137" t="s">
        <v>10686</v>
      </c>
      <c r="G137" t="s">
        <v>13751</v>
      </c>
      <c r="H137" t="s">
        <v>10709</v>
      </c>
      <c r="I137" t="s">
        <v>10779</v>
      </c>
      <c r="J137" s="26" t="s">
        <v>13788</v>
      </c>
      <c r="K137" t="s">
        <v>7944</v>
      </c>
      <c r="L137" t="s">
        <v>13808</v>
      </c>
      <c r="M137" t="s">
        <v>26</v>
      </c>
      <c r="N137" t="s">
        <v>13809</v>
      </c>
      <c r="O137" t="s">
        <v>7944</v>
      </c>
      <c r="P137" t="s">
        <v>13810</v>
      </c>
      <c r="Q137" t="s">
        <v>26</v>
      </c>
      <c r="R137" t="s">
        <v>13811</v>
      </c>
      <c r="S137" t="s">
        <v>7944</v>
      </c>
      <c r="T137" t="s">
        <v>13808</v>
      </c>
      <c r="U137" t="s">
        <v>4561</v>
      </c>
      <c r="V137" t="s">
        <v>13843</v>
      </c>
      <c r="W137" t="s">
        <v>4729</v>
      </c>
    </row>
    <row r="138" spans="1:23">
      <c r="A138" t="s">
        <v>13722</v>
      </c>
      <c r="B138" t="s">
        <v>13722</v>
      </c>
      <c r="C138" t="s">
        <v>13767</v>
      </c>
      <c r="D138" t="s">
        <v>10685</v>
      </c>
      <c r="E138" t="s">
        <v>10690</v>
      </c>
      <c r="F138" t="s">
        <v>10686</v>
      </c>
      <c r="G138" t="s">
        <v>13751</v>
      </c>
      <c r="H138" t="s">
        <v>10709</v>
      </c>
      <c r="I138" t="s">
        <v>10779</v>
      </c>
      <c r="J138" s="26" t="s">
        <v>13789</v>
      </c>
      <c r="K138" t="s">
        <v>7944</v>
      </c>
      <c r="L138" t="s">
        <v>13812</v>
      </c>
      <c r="M138" t="s">
        <v>26</v>
      </c>
      <c r="N138" t="s">
        <v>13813</v>
      </c>
      <c r="O138" t="s">
        <v>7944</v>
      </c>
      <c r="P138" t="s">
        <v>13814</v>
      </c>
      <c r="Q138" t="s">
        <v>26</v>
      </c>
      <c r="R138" t="s">
        <v>13815</v>
      </c>
      <c r="S138" t="s">
        <v>7944</v>
      </c>
      <c r="T138" t="s">
        <v>13812</v>
      </c>
      <c r="U138" t="s">
        <v>4561</v>
      </c>
      <c r="V138" t="s">
        <v>13844</v>
      </c>
      <c r="W138" t="s">
        <v>4729</v>
      </c>
    </row>
    <row r="139" spans="1:23">
      <c r="A139" t="s">
        <v>13723</v>
      </c>
      <c r="B139" t="s">
        <v>13723</v>
      </c>
      <c r="C139" t="s">
        <v>13776</v>
      </c>
      <c r="D139" t="s">
        <v>10685</v>
      </c>
      <c r="E139" t="s">
        <v>10690</v>
      </c>
      <c r="F139" t="s">
        <v>10686</v>
      </c>
      <c r="G139" t="s">
        <v>13751</v>
      </c>
      <c r="H139" t="s">
        <v>10709</v>
      </c>
      <c r="I139" t="s">
        <v>10779</v>
      </c>
      <c r="J139" s="26" t="s">
        <v>13784</v>
      </c>
      <c r="K139" t="s">
        <v>7944</v>
      </c>
      <c r="L139" t="s">
        <v>13816</v>
      </c>
      <c r="M139" t="s">
        <v>26</v>
      </c>
      <c r="N139" t="s">
        <v>13817</v>
      </c>
      <c r="O139" t="s">
        <v>7944</v>
      </c>
      <c r="P139" t="s">
        <v>13818</v>
      </c>
      <c r="Q139" t="s">
        <v>26</v>
      </c>
      <c r="R139" t="s">
        <v>13819</v>
      </c>
      <c r="S139" t="s">
        <v>7944</v>
      </c>
      <c r="T139" t="s">
        <v>13816</v>
      </c>
      <c r="U139" t="s">
        <v>4561</v>
      </c>
      <c r="V139" t="s">
        <v>13845</v>
      </c>
      <c r="W139" t="s">
        <v>4729</v>
      </c>
    </row>
    <row r="140" spans="1:23">
      <c r="A140" t="s">
        <v>13724</v>
      </c>
      <c r="B140" t="s">
        <v>13724</v>
      </c>
      <c r="C140" t="s">
        <v>13759</v>
      </c>
      <c r="D140" t="s">
        <v>10685</v>
      </c>
      <c r="E140" t="s">
        <v>13748</v>
      </c>
      <c r="F140" t="s">
        <v>10686</v>
      </c>
      <c r="G140" t="s">
        <v>13752</v>
      </c>
      <c r="H140" t="s">
        <v>10709</v>
      </c>
      <c r="I140" t="s">
        <v>13869</v>
      </c>
      <c r="J140" s="26" t="s">
        <v>13790</v>
      </c>
      <c r="S140" t="s">
        <v>7944</v>
      </c>
      <c r="T140" t="s">
        <v>13846</v>
      </c>
      <c r="U140" t="s">
        <v>4561</v>
      </c>
      <c r="V140" t="s">
        <v>13847</v>
      </c>
      <c r="W140" t="s">
        <v>4729</v>
      </c>
    </row>
    <row r="141" spans="1:23">
      <c r="A141" t="s">
        <v>13725</v>
      </c>
      <c r="B141" t="s">
        <v>13725</v>
      </c>
      <c r="C141" t="s">
        <v>13768</v>
      </c>
      <c r="D141" t="s">
        <v>10685</v>
      </c>
      <c r="E141" t="s">
        <v>13748</v>
      </c>
      <c r="F141" t="s">
        <v>10686</v>
      </c>
      <c r="G141" t="s">
        <v>13752</v>
      </c>
      <c r="H141" t="s">
        <v>10709</v>
      </c>
      <c r="I141" t="s">
        <v>13869</v>
      </c>
      <c r="J141" s="26" t="s">
        <v>13791</v>
      </c>
      <c r="S141" t="s">
        <v>7944</v>
      </c>
      <c r="T141" t="s">
        <v>13848</v>
      </c>
      <c r="U141" t="s">
        <v>4561</v>
      </c>
      <c r="V141" t="s">
        <v>13849</v>
      </c>
      <c r="W141" t="s">
        <v>4729</v>
      </c>
    </row>
    <row r="142" spans="1:23">
      <c r="A142" t="s">
        <v>13726</v>
      </c>
      <c r="B142" t="s">
        <v>13726</v>
      </c>
      <c r="C142" t="s">
        <v>13777</v>
      </c>
      <c r="D142" t="s">
        <v>10685</v>
      </c>
      <c r="E142" t="s">
        <v>13748</v>
      </c>
      <c r="F142" t="s">
        <v>10686</v>
      </c>
      <c r="G142" t="s">
        <v>13752</v>
      </c>
      <c r="H142" t="s">
        <v>10709</v>
      </c>
      <c r="I142" t="s">
        <v>13869</v>
      </c>
      <c r="J142" s="26" t="s">
        <v>13792</v>
      </c>
      <c r="K142" t="s">
        <v>7944</v>
      </c>
      <c r="L142" t="s">
        <v>13820</v>
      </c>
      <c r="M142" t="s">
        <v>26</v>
      </c>
      <c r="N142" t="s">
        <v>13821</v>
      </c>
      <c r="O142" t="s">
        <v>7944</v>
      </c>
      <c r="P142" t="s">
        <v>13822</v>
      </c>
      <c r="Q142" t="s">
        <v>26</v>
      </c>
      <c r="R142" t="s">
        <v>13823</v>
      </c>
      <c r="S142" t="s">
        <v>7944</v>
      </c>
      <c r="T142" t="s">
        <v>13820</v>
      </c>
      <c r="U142" t="s">
        <v>4561</v>
      </c>
      <c r="V142" t="s">
        <v>13850</v>
      </c>
      <c r="W142" t="s">
        <v>4729</v>
      </c>
    </row>
    <row r="143" spans="1:23">
      <c r="A143" t="s">
        <v>13727</v>
      </c>
      <c r="B143" t="s">
        <v>13727</v>
      </c>
      <c r="C143" t="s">
        <v>13760</v>
      </c>
      <c r="D143" t="s">
        <v>10685</v>
      </c>
      <c r="E143" t="s">
        <v>13749</v>
      </c>
      <c r="F143" t="s">
        <v>10686</v>
      </c>
      <c r="G143" t="s">
        <v>13753</v>
      </c>
      <c r="H143" t="s">
        <v>10709</v>
      </c>
      <c r="I143" t="s">
        <v>13870</v>
      </c>
      <c r="J143" s="26" t="s">
        <v>13793</v>
      </c>
      <c r="K143" t="s">
        <v>7944</v>
      </c>
      <c r="L143" t="s">
        <v>13824</v>
      </c>
      <c r="M143" t="s">
        <v>26</v>
      </c>
      <c r="N143" t="s">
        <v>13825</v>
      </c>
      <c r="S143" t="s">
        <v>7944</v>
      </c>
      <c r="T143" t="s">
        <v>13824</v>
      </c>
      <c r="U143" t="s">
        <v>4561</v>
      </c>
      <c r="V143" t="s">
        <v>13851</v>
      </c>
      <c r="W143" t="s">
        <v>4729</v>
      </c>
    </row>
    <row r="144" spans="1:23">
      <c r="A144" t="s">
        <v>13728</v>
      </c>
      <c r="B144" t="s">
        <v>13728</v>
      </c>
      <c r="C144" t="s">
        <v>13769</v>
      </c>
      <c r="D144" t="s">
        <v>10685</v>
      </c>
      <c r="E144" t="s">
        <v>13749</v>
      </c>
      <c r="F144" t="s">
        <v>10686</v>
      </c>
      <c r="G144" t="s">
        <v>13753</v>
      </c>
      <c r="H144" t="s">
        <v>10709</v>
      </c>
      <c r="I144" t="s">
        <v>13870</v>
      </c>
      <c r="J144" s="26" t="s">
        <v>13794</v>
      </c>
      <c r="S144" t="s">
        <v>7944</v>
      </c>
      <c r="T144" t="s">
        <v>13852</v>
      </c>
      <c r="U144" t="s">
        <v>4561</v>
      </c>
      <c r="V144" t="s">
        <v>13853</v>
      </c>
      <c r="W144" t="s">
        <v>4729</v>
      </c>
    </row>
    <row r="145" spans="1:23">
      <c r="A145" t="s">
        <v>13729</v>
      </c>
      <c r="B145" t="s">
        <v>13729</v>
      </c>
      <c r="C145" t="s">
        <v>13778</v>
      </c>
      <c r="D145" t="s">
        <v>10685</v>
      </c>
      <c r="E145" t="s">
        <v>13749</v>
      </c>
      <c r="F145" t="s">
        <v>10686</v>
      </c>
      <c r="G145" t="s">
        <v>13753</v>
      </c>
      <c r="H145" t="s">
        <v>10709</v>
      </c>
      <c r="I145" t="s">
        <v>13870</v>
      </c>
      <c r="J145" s="26" t="s">
        <v>13795</v>
      </c>
      <c r="K145" t="s">
        <v>7944</v>
      </c>
      <c r="L145" t="s">
        <v>13826</v>
      </c>
      <c r="M145" t="s">
        <v>26</v>
      </c>
      <c r="N145" t="s">
        <v>13827</v>
      </c>
      <c r="O145" t="s">
        <v>7944</v>
      </c>
      <c r="P145" t="s">
        <v>13828</v>
      </c>
      <c r="Q145" t="s">
        <v>26</v>
      </c>
      <c r="R145" t="s">
        <v>13829</v>
      </c>
      <c r="S145" t="s">
        <v>7944</v>
      </c>
      <c r="T145" t="s">
        <v>13854</v>
      </c>
      <c r="U145" t="s">
        <v>4561</v>
      </c>
      <c r="V145" t="s">
        <v>13855</v>
      </c>
      <c r="W145" t="s">
        <v>4729</v>
      </c>
    </row>
    <row r="146" spans="1:23">
      <c r="A146" t="s">
        <v>13730</v>
      </c>
      <c r="B146" t="s">
        <v>13730</v>
      </c>
      <c r="C146" t="s">
        <v>13761</v>
      </c>
      <c r="D146" t="s">
        <v>10685</v>
      </c>
      <c r="E146" t="s">
        <v>13750</v>
      </c>
      <c r="F146" t="s">
        <v>10686</v>
      </c>
      <c r="G146" t="s">
        <v>13754</v>
      </c>
      <c r="H146" t="s">
        <v>10709</v>
      </c>
      <c r="I146" t="s">
        <v>13871</v>
      </c>
      <c r="J146" s="26" t="s">
        <v>13796</v>
      </c>
      <c r="K146" t="s">
        <v>7944</v>
      </c>
      <c r="L146" t="s">
        <v>13832</v>
      </c>
      <c r="M146" t="s">
        <v>26</v>
      </c>
      <c r="N146" t="s">
        <v>13833</v>
      </c>
      <c r="S146" t="s">
        <v>7944</v>
      </c>
      <c r="T146" t="s">
        <v>13832</v>
      </c>
      <c r="U146" t="s">
        <v>4561</v>
      </c>
      <c r="V146" t="s">
        <v>13856</v>
      </c>
      <c r="W146" t="s">
        <v>4729</v>
      </c>
    </row>
    <row r="147" spans="1:23">
      <c r="A147" t="s">
        <v>13731</v>
      </c>
      <c r="B147" t="s">
        <v>13731</v>
      </c>
      <c r="C147" t="s">
        <v>13770</v>
      </c>
      <c r="D147" t="s">
        <v>10685</v>
      </c>
      <c r="E147" t="s">
        <v>13750</v>
      </c>
      <c r="F147" t="s">
        <v>10686</v>
      </c>
      <c r="G147" t="s">
        <v>13754</v>
      </c>
      <c r="H147" t="s">
        <v>10709</v>
      </c>
      <c r="I147" t="s">
        <v>13871</v>
      </c>
      <c r="J147" s="26" t="s">
        <v>13797</v>
      </c>
      <c r="S147" t="s">
        <v>7944</v>
      </c>
      <c r="T147" t="s">
        <v>13857</v>
      </c>
      <c r="U147" t="s">
        <v>4561</v>
      </c>
      <c r="V147" t="s">
        <v>13858</v>
      </c>
      <c r="W147" t="s">
        <v>4729</v>
      </c>
    </row>
    <row r="148" spans="1:23">
      <c r="A148" t="s">
        <v>13732</v>
      </c>
      <c r="B148" t="s">
        <v>13732</v>
      </c>
      <c r="C148" t="s">
        <v>13779</v>
      </c>
      <c r="D148" t="s">
        <v>10685</v>
      </c>
      <c r="E148" t="s">
        <v>13750</v>
      </c>
      <c r="F148" t="s">
        <v>10686</v>
      </c>
      <c r="G148" t="s">
        <v>13754</v>
      </c>
      <c r="H148" t="s">
        <v>10709</v>
      </c>
      <c r="I148" t="s">
        <v>13871</v>
      </c>
      <c r="J148" s="26" t="s">
        <v>13798</v>
      </c>
      <c r="K148" t="s">
        <v>7944</v>
      </c>
      <c r="L148" t="s">
        <v>13834</v>
      </c>
      <c r="M148" t="s">
        <v>26</v>
      </c>
      <c r="N148" t="s">
        <v>13835</v>
      </c>
      <c r="O148" t="s">
        <v>7944</v>
      </c>
      <c r="P148" t="s">
        <v>13836</v>
      </c>
      <c r="Q148" t="s">
        <v>26</v>
      </c>
      <c r="R148" t="s">
        <v>13837</v>
      </c>
      <c r="S148" t="s">
        <v>7944</v>
      </c>
      <c r="T148" t="s">
        <v>13834</v>
      </c>
      <c r="U148" t="s">
        <v>4561</v>
      </c>
      <c r="V148" t="s">
        <v>13859</v>
      </c>
      <c r="W148" t="s">
        <v>4729</v>
      </c>
    </row>
    <row r="149" spans="1:23">
      <c r="A149" t="s">
        <v>13718</v>
      </c>
      <c r="B149" t="s">
        <v>13718</v>
      </c>
      <c r="C149" t="s">
        <v>13762</v>
      </c>
      <c r="D149" t="s">
        <v>10685</v>
      </c>
      <c r="E149" t="s">
        <v>7952</v>
      </c>
      <c r="F149" t="s">
        <v>10686</v>
      </c>
      <c r="G149" t="s">
        <v>13745</v>
      </c>
      <c r="H149" t="s">
        <v>6247</v>
      </c>
      <c r="I149" t="s">
        <v>13868</v>
      </c>
      <c r="J149" s="26" t="s">
        <v>13785</v>
      </c>
      <c r="S149" t="s">
        <v>7944</v>
      </c>
      <c r="T149" t="s">
        <v>13860</v>
      </c>
      <c r="U149" t="s">
        <v>4561</v>
      </c>
      <c r="V149" t="s">
        <v>13861</v>
      </c>
      <c r="W149" t="s">
        <v>4729</v>
      </c>
    </row>
    <row r="150" spans="1:23">
      <c r="A150" t="s">
        <v>13719</v>
      </c>
      <c r="B150" t="s">
        <v>13719</v>
      </c>
      <c r="C150" t="s">
        <v>13771</v>
      </c>
      <c r="D150" t="s">
        <v>10685</v>
      </c>
      <c r="E150" t="s">
        <v>7952</v>
      </c>
      <c r="F150" t="s">
        <v>10686</v>
      </c>
      <c r="G150" t="s">
        <v>13745</v>
      </c>
      <c r="H150" t="s">
        <v>6247</v>
      </c>
      <c r="I150" t="s">
        <v>13868</v>
      </c>
      <c r="J150" s="26" t="s">
        <v>13786</v>
      </c>
      <c r="S150" t="s">
        <v>7944</v>
      </c>
      <c r="T150" t="s">
        <v>13862</v>
      </c>
      <c r="U150" t="s">
        <v>4561</v>
      </c>
      <c r="V150" t="s">
        <v>13863</v>
      </c>
      <c r="W150" t="s">
        <v>4729</v>
      </c>
    </row>
    <row r="151" spans="1:23">
      <c r="A151" t="s">
        <v>13720</v>
      </c>
      <c r="B151" t="s">
        <v>13720</v>
      </c>
      <c r="C151" t="s">
        <v>13780</v>
      </c>
      <c r="D151" t="s">
        <v>10685</v>
      </c>
      <c r="E151" t="s">
        <v>7952</v>
      </c>
      <c r="F151" t="s">
        <v>10686</v>
      </c>
      <c r="G151" t="s">
        <v>13745</v>
      </c>
      <c r="H151" t="s">
        <v>6247</v>
      </c>
      <c r="I151" t="s">
        <v>13868</v>
      </c>
      <c r="J151" s="26" t="s">
        <v>13787</v>
      </c>
      <c r="K151" t="s">
        <v>7944</v>
      </c>
      <c r="L151" t="s">
        <v>13806</v>
      </c>
      <c r="M151" t="s">
        <v>26</v>
      </c>
      <c r="N151" t="s">
        <v>13807</v>
      </c>
      <c r="S151" t="s">
        <v>7944</v>
      </c>
      <c r="T151" t="s">
        <v>13806</v>
      </c>
      <c r="U151" t="s">
        <v>4561</v>
      </c>
      <c r="V151" t="s">
        <v>13864</v>
      </c>
      <c r="W151" t="s">
        <v>4729</v>
      </c>
    </row>
    <row r="152" spans="1:23">
      <c r="A152" t="s">
        <v>13733</v>
      </c>
      <c r="B152" t="s">
        <v>13733</v>
      </c>
      <c r="C152" t="s">
        <v>13763</v>
      </c>
      <c r="D152" t="s">
        <v>10685</v>
      </c>
      <c r="E152" t="s">
        <v>13755</v>
      </c>
      <c r="F152" t="s">
        <v>10686</v>
      </c>
      <c r="G152" t="s">
        <v>13756</v>
      </c>
      <c r="H152" t="s">
        <v>10710</v>
      </c>
      <c r="I152" t="s">
        <v>13874</v>
      </c>
      <c r="J152" s="26" t="s">
        <v>13790</v>
      </c>
      <c r="W152" t="s">
        <v>4729</v>
      </c>
    </row>
    <row r="153" spans="1:23">
      <c r="A153" t="s">
        <v>13734</v>
      </c>
      <c r="B153" t="s">
        <v>13734</v>
      </c>
      <c r="C153" t="s">
        <v>13772</v>
      </c>
      <c r="D153" t="s">
        <v>10685</v>
      </c>
      <c r="E153" t="s">
        <v>13755</v>
      </c>
      <c r="F153" t="s">
        <v>10686</v>
      </c>
      <c r="G153" t="s">
        <v>13756</v>
      </c>
      <c r="H153" t="s">
        <v>10710</v>
      </c>
      <c r="I153" t="s">
        <v>13874</v>
      </c>
      <c r="J153" s="26" t="s">
        <v>13791</v>
      </c>
      <c r="W153" t="s">
        <v>4729</v>
      </c>
    </row>
    <row r="154" spans="1:23">
      <c r="A154" t="s">
        <v>13735</v>
      </c>
      <c r="B154" t="s">
        <v>13735</v>
      </c>
      <c r="C154" t="s">
        <v>13781</v>
      </c>
      <c r="D154" t="s">
        <v>10685</v>
      </c>
      <c r="E154" t="s">
        <v>13755</v>
      </c>
      <c r="F154" t="s">
        <v>10686</v>
      </c>
      <c r="G154" t="s">
        <v>13756</v>
      </c>
      <c r="H154" t="s">
        <v>10710</v>
      </c>
      <c r="I154" t="s">
        <v>13874</v>
      </c>
      <c r="J154" s="26" t="s">
        <v>13792</v>
      </c>
      <c r="S154" t="s">
        <v>7944</v>
      </c>
      <c r="T154" t="s">
        <v>13865</v>
      </c>
      <c r="U154" t="s">
        <v>4561</v>
      </c>
      <c r="V154" t="s">
        <v>13866</v>
      </c>
      <c r="W154" t="s">
        <v>4729</v>
      </c>
    </row>
    <row r="155" spans="1:23">
      <c r="A155" t="s">
        <v>13739</v>
      </c>
      <c r="B155" t="s">
        <v>13739</v>
      </c>
      <c r="C155" t="s">
        <v>13764</v>
      </c>
      <c r="D155" t="s">
        <v>10685</v>
      </c>
      <c r="E155" t="s">
        <v>13742</v>
      </c>
      <c r="F155" t="s">
        <v>10686</v>
      </c>
      <c r="G155" t="s">
        <v>13746</v>
      </c>
      <c r="H155" t="s">
        <v>10710</v>
      </c>
      <c r="I155" t="s">
        <v>13872</v>
      </c>
      <c r="J155" s="26" t="s">
        <v>13793</v>
      </c>
      <c r="W155" t="s">
        <v>4729</v>
      </c>
    </row>
    <row r="156" spans="1:23">
      <c r="A156" t="s">
        <v>13740</v>
      </c>
      <c r="B156" t="s">
        <v>13740</v>
      </c>
      <c r="C156" t="s">
        <v>13773</v>
      </c>
      <c r="D156" t="s">
        <v>10685</v>
      </c>
      <c r="E156" t="s">
        <v>13742</v>
      </c>
      <c r="F156" t="s">
        <v>10686</v>
      </c>
      <c r="G156" t="s">
        <v>13746</v>
      </c>
      <c r="H156" t="s">
        <v>10710</v>
      </c>
      <c r="I156" t="s">
        <v>13872</v>
      </c>
      <c r="J156" s="26" t="s">
        <v>13794</v>
      </c>
      <c r="W156" t="s">
        <v>4729</v>
      </c>
    </row>
    <row r="157" spans="1:23">
      <c r="A157" t="s">
        <v>13741</v>
      </c>
      <c r="B157" t="s">
        <v>13741</v>
      </c>
      <c r="C157" t="s">
        <v>13782</v>
      </c>
      <c r="D157" t="s">
        <v>10685</v>
      </c>
      <c r="E157" t="s">
        <v>13742</v>
      </c>
      <c r="F157" t="s">
        <v>10686</v>
      </c>
      <c r="G157" t="s">
        <v>13746</v>
      </c>
      <c r="H157" t="s">
        <v>10710</v>
      </c>
      <c r="I157" t="s">
        <v>13872</v>
      </c>
      <c r="J157" s="26" t="s">
        <v>13795</v>
      </c>
      <c r="K157" t="s">
        <v>7944</v>
      </c>
      <c r="L157" t="s">
        <v>13830</v>
      </c>
      <c r="M157" t="s">
        <v>26</v>
      </c>
      <c r="N157" t="s">
        <v>13831</v>
      </c>
      <c r="S157" t="s">
        <v>7944</v>
      </c>
      <c r="T157" t="s">
        <v>13830</v>
      </c>
      <c r="U157" t="s">
        <v>4561</v>
      </c>
      <c r="V157" t="s">
        <v>13867</v>
      </c>
      <c r="W157" t="s">
        <v>4729</v>
      </c>
    </row>
    <row r="158" spans="1:23">
      <c r="A158" t="s">
        <v>13736</v>
      </c>
      <c r="B158" t="s">
        <v>13736</v>
      </c>
      <c r="C158" t="s">
        <v>13765</v>
      </c>
      <c r="D158" t="s">
        <v>10685</v>
      </c>
      <c r="E158" t="s">
        <v>13743</v>
      </c>
      <c r="F158" t="s">
        <v>10686</v>
      </c>
      <c r="G158" t="s">
        <v>13747</v>
      </c>
      <c r="H158" t="s">
        <v>10710</v>
      </c>
      <c r="I158" t="s">
        <v>13873</v>
      </c>
      <c r="J158" s="26" t="s">
        <v>13799</v>
      </c>
      <c r="W158" t="s">
        <v>4729</v>
      </c>
    </row>
    <row r="159" spans="1:23">
      <c r="A159" t="s">
        <v>13737</v>
      </c>
      <c r="B159" t="s">
        <v>13737</v>
      </c>
      <c r="C159" t="s">
        <v>13774</v>
      </c>
      <c r="D159" t="s">
        <v>10685</v>
      </c>
      <c r="E159" t="s">
        <v>13743</v>
      </c>
      <c r="F159" t="s">
        <v>10686</v>
      </c>
      <c r="G159" t="s">
        <v>13747</v>
      </c>
      <c r="H159" t="s">
        <v>10710</v>
      </c>
      <c r="I159" t="s">
        <v>13873</v>
      </c>
      <c r="J159" s="26" t="s">
        <v>13800</v>
      </c>
      <c r="W159" t="s">
        <v>4729</v>
      </c>
    </row>
    <row r="160" spans="1:23">
      <c r="A160" t="s">
        <v>13738</v>
      </c>
      <c r="B160" t="s">
        <v>13738</v>
      </c>
      <c r="C160" t="s">
        <v>13783</v>
      </c>
      <c r="D160" t="s">
        <v>10685</v>
      </c>
      <c r="E160" t="s">
        <v>13743</v>
      </c>
      <c r="F160" t="s">
        <v>10686</v>
      </c>
      <c r="G160" t="s">
        <v>13747</v>
      </c>
      <c r="H160" t="s">
        <v>10710</v>
      </c>
      <c r="I160" t="s">
        <v>13873</v>
      </c>
      <c r="J160" s="26" t="s">
        <v>13801</v>
      </c>
      <c r="W160" t="s">
        <v>4729</v>
      </c>
    </row>
    <row r="161" spans="1:23">
      <c r="A161" t="s">
        <v>13912</v>
      </c>
      <c r="B161" t="s">
        <v>13912</v>
      </c>
      <c r="C161" t="s">
        <v>13913</v>
      </c>
      <c r="D161" t="s">
        <v>6345</v>
      </c>
      <c r="E161" t="s">
        <v>8094</v>
      </c>
      <c r="F161" t="s">
        <v>2657</v>
      </c>
      <c r="G161" t="s">
        <v>13914</v>
      </c>
      <c r="H161" t="s">
        <v>7980</v>
      </c>
      <c r="I161" t="s">
        <v>13915</v>
      </c>
      <c r="J161" t="s">
        <v>13916</v>
      </c>
      <c r="K161" t="s">
        <v>13917</v>
      </c>
      <c r="L161" t="s">
        <v>13919</v>
      </c>
      <c r="M161" t="s">
        <v>26</v>
      </c>
      <c r="N161" t="s">
        <v>13920</v>
      </c>
      <c r="O161" t="s">
        <v>13917</v>
      </c>
      <c r="P161" t="s">
        <v>13912</v>
      </c>
      <c r="Q161" t="s">
        <v>26</v>
      </c>
      <c r="R161" t="s">
        <v>13918</v>
      </c>
      <c r="S161" t="s">
        <v>6345</v>
      </c>
      <c r="T161" t="s">
        <v>13912</v>
      </c>
      <c r="U161" t="s">
        <v>4561</v>
      </c>
      <c r="V161" t="s">
        <v>13921</v>
      </c>
      <c r="W161" t="s">
        <v>4729</v>
      </c>
    </row>
    <row r="162" spans="1:23">
      <c r="A162" t="s">
        <v>13946</v>
      </c>
      <c r="B162" t="s">
        <v>13946</v>
      </c>
      <c r="C162" t="s">
        <v>13947</v>
      </c>
      <c r="D162" t="s">
        <v>4519</v>
      </c>
      <c r="E162" t="s">
        <v>13948</v>
      </c>
      <c r="F162" t="s">
        <v>2657</v>
      </c>
      <c r="G162" t="s">
        <v>13962</v>
      </c>
      <c r="H162" t="s">
        <v>4378</v>
      </c>
      <c r="I162" t="s">
        <v>13968</v>
      </c>
      <c r="J162" t="s">
        <v>13950</v>
      </c>
      <c r="K162" t="s">
        <v>4519</v>
      </c>
      <c r="L162" t="s">
        <v>13946</v>
      </c>
      <c r="M162" t="s">
        <v>26</v>
      </c>
      <c r="N162" t="s">
        <v>13952</v>
      </c>
      <c r="S162" t="s">
        <v>6669</v>
      </c>
      <c r="T162" t="s">
        <v>13946</v>
      </c>
      <c r="U162" t="s">
        <v>4561</v>
      </c>
      <c r="V162" t="s">
        <v>13954</v>
      </c>
      <c r="W162" t="s">
        <v>4729</v>
      </c>
    </row>
    <row r="163" spans="1:23">
      <c r="A163" t="s">
        <v>13949</v>
      </c>
      <c r="B163" t="s">
        <v>13949</v>
      </c>
      <c r="C163" t="s">
        <v>13947</v>
      </c>
      <c r="D163" t="s">
        <v>4519</v>
      </c>
      <c r="E163" t="s">
        <v>13951</v>
      </c>
      <c r="F163" t="s">
        <v>2657</v>
      </c>
      <c r="G163" t="s">
        <v>13963</v>
      </c>
      <c r="H163" t="s">
        <v>10710</v>
      </c>
      <c r="I163" t="s">
        <v>13969</v>
      </c>
      <c r="J163" t="s">
        <v>13950</v>
      </c>
      <c r="K163" t="s">
        <v>4519</v>
      </c>
      <c r="L163" t="s">
        <v>13949</v>
      </c>
      <c r="M163" t="s">
        <v>26</v>
      </c>
      <c r="N163" t="s">
        <v>13953</v>
      </c>
    </row>
    <row r="164" spans="1:23">
      <c r="A164" t="s">
        <v>13956</v>
      </c>
      <c r="B164" t="s">
        <v>13956</v>
      </c>
      <c r="C164" t="s">
        <v>13958</v>
      </c>
      <c r="D164" t="s">
        <v>4519</v>
      </c>
      <c r="E164" t="s">
        <v>13948</v>
      </c>
      <c r="F164" t="s">
        <v>2657</v>
      </c>
      <c r="G164" t="s">
        <v>13964</v>
      </c>
      <c r="H164" t="s">
        <v>4378</v>
      </c>
      <c r="I164" t="s">
        <v>13968</v>
      </c>
      <c r="J164" t="s">
        <v>13955</v>
      </c>
      <c r="K164" t="s">
        <v>4519</v>
      </c>
      <c r="L164" t="s">
        <v>13956</v>
      </c>
      <c r="M164" t="s">
        <v>26</v>
      </c>
      <c r="N164" t="s">
        <v>13959</v>
      </c>
      <c r="S164" t="s">
        <v>6669</v>
      </c>
      <c r="T164" t="s">
        <v>13956</v>
      </c>
      <c r="U164" t="s">
        <v>4561</v>
      </c>
      <c r="V164" t="s">
        <v>13961</v>
      </c>
      <c r="W164" t="s">
        <v>4729</v>
      </c>
    </row>
    <row r="165" spans="1:23">
      <c r="A165" t="s">
        <v>13957</v>
      </c>
      <c r="B165" t="s">
        <v>13957</v>
      </c>
      <c r="C165" t="s">
        <v>13958</v>
      </c>
      <c r="D165" t="s">
        <v>4519</v>
      </c>
      <c r="E165" t="s">
        <v>13951</v>
      </c>
      <c r="F165" t="s">
        <v>2657</v>
      </c>
      <c r="G165" t="s">
        <v>13965</v>
      </c>
      <c r="H165" t="s">
        <v>10710</v>
      </c>
      <c r="I165" t="s">
        <v>13969</v>
      </c>
      <c r="J165" t="s">
        <v>13955</v>
      </c>
      <c r="K165" t="s">
        <v>4519</v>
      </c>
      <c r="L165" t="s">
        <v>13957</v>
      </c>
      <c r="M165" t="s">
        <v>26</v>
      </c>
      <c r="N165" t="s">
        <v>13960</v>
      </c>
    </row>
    <row r="166" spans="1:23">
      <c r="A166" t="s">
        <v>14051</v>
      </c>
      <c r="B166" t="s">
        <v>14051</v>
      </c>
      <c r="C166" t="s">
        <v>14053</v>
      </c>
      <c r="D166" t="s">
        <v>4519</v>
      </c>
      <c r="E166" t="s">
        <v>14054</v>
      </c>
      <c r="F166" t="s">
        <v>2657</v>
      </c>
      <c r="G166" t="s">
        <v>14051</v>
      </c>
      <c r="H166" t="s">
        <v>4379</v>
      </c>
      <c r="I166" t="s">
        <v>14067</v>
      </c>
      <c r="J166" t="s">
        <v>14055</v>
      </c>
      <c r="K166" t="s">
        <v>4519</v>
      </c>
      <c r="L166" t="s">
        <v>14056</v>
      </c>
      <c r="M166" t="s">
        <v>26</v>
      </c>
      <c r="N166" t="s">
        <v>14057</v>
      </c>
      <c r="O166" t="s">
        <v>4519</v>
      </c>
      <c r="P166" t="s">
        <v>14058</v>
      </c>
      <c r="Q166" t="s">
        <v>26</v>
      </c>
      <c r="R166" t="s">
        <v>14059</v>
      </c>
      <c r="S166" t="s">
        <v>6669</v>
      </c>
      <c r="T166" t="s">
        <v>14056</v>
      </c>
      <c r="U166" t="s">
        <v>4561</v>
      </c>
      <c r="V166" t="s">
        <v>14060</v>
      </c>
      <c r="W166" t="s">
        <v>4729</v>
      </c>
    </row>
    <row r="167" spans="1:23">
      <c r="A167" t="s">
        <v>14052</v>
      </c>
      <c r="B167" t="s">
        <v>14052</v>
      </c>
      <c r="C167" t="s">
        <v>14053</v>
      </c>
      <c r="D167" t="s">
        <v>4519</v>
      </c>
      <c r="E167" t="s">
        <v>6252</v>
      </c>
      <c r="F167" t="s">
        <v>2657</v>
      </c>
      <c r="G167" t="s">
        <v>14052</v>
      </c>
      <c r="H167" t="s">
        <v>6247</v>
      </c>
      <c r="I167" t="s">
        <v>14066</v>
      </c>
      <c r="J167" t="s">
        <v>14055</v>
      </c>
      <c r="K167" t="s">
        <v>4519</v>
      </c>
      <c r="L167" t="s">
        <v>14061</v>
      </c>
      <c r="M167" t="s">
        <v>26</v>
      </c>
      <c r="N167" t="s">
        <v>14062</v>
      </c>
      <c r="O167" t="s">
        <v>4519</v>
      </c>
      <c r="P167" t="s">
        <v>14063</v>
      </c>
      <c r="Q167" t="s">
        <v>26</v>
      </c>
      <c r="R167" t="s">
        <v>14064</v>
      </c>
      <c r="S167" t="s">
        <v>6669</v>
      </c>
      <c r="T167" t="s">
        <v>14061</v>
      </c>
      <c r="U167" t="s">
        <v>4561</v>
      </c>
      <c r="V167" t="s">
        <v>14065</v>
      </c>
      <c r="W167" t="s">
        <v>4729</v>
      </c>
    </row>
    <row r="168" spans="1:23">
      <c r="A168" t="s">
        <v>14138</v>
      </c>
      <c r="B168" t="s">
        <v>14138</v>
      </c>
      <c r="C168" t="s">
        <v>14139</v>
      </c>
      <c r="D168" t="s">
        <v>4519</v>
      </c>
      <c r="E168" t="s">
        <v>14140</v>
      </c>
      <c r="F168" t="s">
        <v>2657</v>
      </c>
      <c r="G168" t="s">
        <v>14138</v>
      </c>
      <c r="H168" t="s">
        <v>6247</v>
      </c>
      <c r="I168" t="s">
        <v>14145</v>
      </c>
      <c r="J168" t="s">
        <v>14141</v>
      </c>
      <c r="K168" t="s">
        <v>4519</v>
      </c>
      <c r="L168" t="s">
        <v>14142</v>
      </c>
      <c r="M168" t="s">
        <v>26</v>
      </c>
      <c r="N168" t="s">
        <v>14143</v>
      </c>
      <c r="S168" t="s">
        <v>6669</v>
      </c>
      <c r="T168" t="s">
        <v>14142</v>
      </c>
      <c r="U168" t="s">
        <v>4561</v>
      </c>
      <c r="V168" t="s">
        <v>14144</v>
      </c>
      <c r="W168" t="s">
        <v>4729</v>
      </c>
    </row>
    <row r="169" spans="1:23">
      <c r="A169" t="s">
        <v>14161</v>
      </c>
      <c r="B169" t="s">
        <v>14161</v>
      </c>
      <c r="C169" t="s">
        <v>14178</v>
      </c>
      <c r="D169" t="s">
        <v>4519</v>
      </c>
      <c r="E169" t="s">
        <v>4555</v>
      </c>
      <c r="F169" t="s">
        <v>2657</v>
      </c>
      <c r="G169" t="s">
        <v>14160</v>
      </c>
      <c r="H169" t="s">
        <v>4378</v>
      </c>
      <c r="I169" t="s">
        <v>4801</v>
      </c>
      <c r="J169" t="s">
        <v>14177</v>
      </c>
      <c r="K169" t="s">
        <v>4519</v>
      </c>
      <c r="L169" t="s">
        <v>14183</v>
      </c>
      <c r="M169" t="s">
        <v>26</v>
      </c>
      <c r="N169" t="s">
        <v>14184</v>
      </c>
      <c r="O169" t="s">
        <v>4519</v>
      </c>
      <c r="P169" t="s">
        <v>14185</v>
      </c>
      <c r="Q169" t="s">
        <v>26</v>
      </c>
      <c r="R169" t="s">
        <v>14186</v>
      </c>
      <c r="S169" t="s">
        <v>6669</v>
      </c>
      <c r="T169" t="s">
        <v>14183</v>
      </c>
      <c r="U169" t="s">
        <v>4561</v>
      </c>
      <c r="V169" t="s">
        <v>14187</v>
      </c>
      <c r="W169" t="s">
        <v>4729</v>
      </c>
    </row>
    <row r="170" spans="1:23">
      <c r="A170" t="s">
        <v>14168</v>
      </c>
      <c r="B170" t="s">
        <v>14168</v>
      </c>
      <c r="C170" t="s">
        <v>14178</v>
      </c>
      <c r="D170" t="s">
        <v>4519</v>
      </c>
      <c r="E170" t="s">
        <v>4555</v>
      </c>
      <c r="F170" t="s">
        <v>2657</v>
      </c>
      <c r="G170" t="s">
        <v>14160</v>
      </c>
      <c r="H170" t="s">
        <v>4378</v>
      </c>
      <c r="I170" t="s">
        <v>4801</v>
      </c>
      <c r="J170" t="s">
        <v>14177</v>
      </c>
      <c r="K170" t="s">
        <v>4519</v>
      </c>
      <c r="L170" t="s">
        <v>14188</v>
      </c>
      <c r="M170" t="s">
        <v>26</v>
      </c>
      <c r="N170" t="s">
        <v>14189</v>
      </c>
      <c r="O170" t="s">
        <v>4519</v>
      </c>
      <c r="P170" t="s">
        <v>14190</v>
      </c>
      <c r="Q170" t="s">
        <v>26</v>
      </c>
      <c r="R170" t="s">
        <v>14191</v>
      </c>
      <c r="S170" t="s">
        <v>6669</v>
      </c>
      <c r="T170" t="s">
        <v>14188</v>
      </c>
      <c r="U170" t="s">
        <v>4561</v>
      </c>
      <c r="V170" t="s">
        <v>14192</v>
      </c>
      <c r="W170" t="s">
        <v>4729</v>
      </c>
    </row>
    <row r="171" spans="1:23">
      <c r="A171" t="s">
        <v>14162</v>
      </c>
      <c r="B171" t="s">
        <v>14162</v>
      </c>
      <c r="C171" t="s">
        <v>14179</v>
      </c>
      <c r="D171" t="s">
        <v>4519</v>
      </c>
      <c r="E171" t="s">
        <v>4555</v>
      </c>
      <c r="F171" t="s">
        <v>2657</v>
      </c>
      <c r="G171" t="s">
        <v>14160</v>
      </c>
      <c r="H171" t="s">
        <v>4378</v>
      </c>
      <c r="I171" t="s">
        <v>4801</v>
      </c>
      <c r="J171" t="s">
        <v>14177</v>
      </c>
      <c r="K171" t="s">
        <v>4519</v>
      </c>
      <c r="L171" t="s">
        <v>14193</v>
      </c>
      <c r="M171" t="s">
        <v>26</v>
      </c>
      <c r="N171" t="s">
        <v>14194</v>
      </c>
      <c r="O171" t="s">
        <v>4519</v>
      </c>
      <c r="P171" t="s">
        <v>14195</v>
      </c>
      <c r="Q171" t="s">
        <v>26</v>
      </c>
      <c r="R171" t="s">
        <v>14196</v>
      </c>
      <c r="S171" t="s">
        <v>6669</v>
      </c>
      <c r="T171" t="s">
        <v>14193</v>
      </c>
      <c r="U171" t="s">
        <v>4561</v>
      </c>
      <c r="V171" t="s">
        <v>14197</v>
      </c>
      <c r="W171" t="s">
        <v>4729</v>
      </c>
    </row>
    <row r="172" spans="1:23">
      <c r="A172" t="s">
        <v>14169</v>
      </c>
      <c r="B172" t="s">
        <v>14169</v>
      </c>
      <c r="C172" t="s">
        <v>14179</v>
      </c>
      <c r="D172" t="s">
        <v>4519</v>
      </c>
      <c r="E172" t="s">
        <v>4555</v>
      </c>
      <c r="F172" t="s">
        <v>2657</v>
      </c>
      <c r="G172" t="s">
        <v>14160</v>
      </c>
      <c r="H172" t="s">
        <v>4378</v>
      </c>
      <c r="I172" t="s">
        <v>4801</v>
      </c>
      <c r="J172" t="s">
        <v>14177</v>
      </c>
      <c r="K172" t="s">
        <v>4519</v>
      </c>
      <c r="L172" t="s">
        <v>14198</v>
      </c>
      <c r="M172" t="s">
        <v>26</v>
      </c>
      <c r="N172" t="s">
        <v>14199</v>
      </c>
      <c r="O172" t="s">
        <v>4519</v>
      </c>
      <c r="P172" t="s">
        <v>14200</v>
      </c>
      <c r="Q172" t="s">
        <v>26</v>
      </c>
      <c r="R172" t="s">
        <v>14201</v>
      </c>
      <c r="S172" t="s">
        <v>6669</v>
      </c>
      <c r="T172" t="s">
        <v>14198</v>
      </c>
      <c r="U172" t="s">
        <v>4561</v>
      </c>
      <c r="V172" t="s">
        <v>14202</v>
      </c>
      <c r="W172" t="s">
        <v>4729</v>
      </c>
    </row>
    <row r="173" spans="1:23">
      <c r="A173" t="s">
        <v>14163</v>
      </c>
      <c r="B173" t="s">
        <v>14163</v>
      </c>
      <c r="C173" t="s">
        <v>14180</v>
      </c>
      <c r="D173" t="s">
        <v>4519</v>
      </c>
      <c r="E173" t="s">
        <v>4555</v>
      </c>
      <c r="F173" t="s">
        <v>2657</v>
      </c>
      <c r="G173" t="s">
        <v>14160</v>
      </c>
      <c r="H173" t="s">
        <v>4378</v>
      </c>
      <c r="I173" t="s">
        <v>4801</v>
      </c>
      <c r="J173" t="s">
        <v>14177</v>
      </c>
      <c r="K173" t="s">
        <v>4519</v>
      </c>
      <c r="L173" t="s">
        <v>14203</v>
      </c>
      <c r="M173" t="s">
        <v>26</v>
      </c>
      <c r="N173" t="s">
        <v>14204</v>
      </c>
      <c r="O173" t="s">
        <v>4519</v>
      </c>
      <c r="P173" t="s">
        <v>14205</v>
      </c>
      <c r="Q173" t="s">
        <v>26</v>
      </c>
      <c r="R173" t="s">
        <v>14206</v>
      </c>
      <c r="S173" t="s">
        <v>6669</v>
      </c>
      <c r="T173" t="s">
        <v>14203</v>
      </c>
      <c r="U173" t="s">
        <v>4561</v>
      </c>
      <c r="V173" t="s">
        <v>14207</v>
      </c>
      <c r="W173" t="s">
        <v>4729</v>
      </c>
    </row>
    <row r="174" spans="1:23">
      <c r="A174" t="s">
        <v>14170</v>
      </c>
      <c r="B174" t="s">
        <v>14170</v>
      </c>
      <c r="C174" t="s">
        <v>14180</v>
      </c>
      <c r="D174" t="s">
        <v>4519</v>
      </c>
      <c r="E174" t="s">
        <v>4555</v>
      </c>
      <c r="F174" t="s">
        <v>2657</v>
      </c>
      <c r="G174" t="s">
        <v>14160</v>
      </c>
      <c r="H174" t="s">
        <v>4378</v>
      </c>
      <c r="I174" t="s">
        <v>4801</v>
      </c>
      <c r="J174" t="s">
        <v>14177</v>
      </c>
      <c r="K174" t="s">
        <v>4519</v>
      </c>
      <c r="L174" t="s">
        <v>14208</v>
      </c>
      <c r="M174" t="s">
        <v>26</v>
      </c>
      <c r="N174" t="s">
        <v>14209</v>
      </c>
      <c r="O174" t="s">
        <v>4519</v>
      </c>
      <c r="P174" t="s">
        <v>14210</v>
      </c>
      <c r="Q174" t="s">
        <v>26</v>
      </c>
      <c r="R174" t="s">
        <v>14211</v>
      </c>
      <c r="S174" t="s">
        <v>6669</v>
      </c>
      <c r="T174" t="s">
        <v>14208</v>
      </c>
      <c r="U174" t="s">
        <v>4561</v>
      </c>
      <c r="V174" t="s">
        <v>14212</v>
      </c>
      <c r="W174" t="s">
        <v>4729</v>
      </c>
    </row>
    <row r="175" spans="1:23">
      <c r="A175" t="s">
        <v>14164</v>
      </c>
      <c r="B175" t="s">
        <v>14164</v>
      </c>
      <c r="C175" t="s">
        <v>14181</v>
      </c>
      <c r="D175" t="s">
        <v>4519</v>
      </c>
      <c r="E175" t="s">
        <v>4555</v>
      </c>
      <c r="F175" t="s">
        <v>2657</v>
      </c>
      <c r="G175" t="s">
        <v>14160</v>
      </c>
      <c r="H175" t="s">
        <v>4378</v>
      </c>
      <c r="I175" t="s">
        <v>4801</v>
      </c>
      <c r="J175" t="s">
        <v>14177</v>
      </c>
      <c r="K175" t="s">
        <v>4519</v>
      </c>
      <c r="L175" t="s">
        <v>14213</v>
      </c>
      <c r="M175" t="s">
        <v>26</v>
      </c>
      <c r="N175" t="s">
        <v>14214</v>
      </c>
      <c r="O175" t="s">
        <v>4519</v>
      </c>
      <c r="P175" t="s">
        <v>14215</v>
      </c>
      <c r="Q175" t="s">
        <v>26</v>
      </c>
      <c r="R175" t="s">
        <v>14216</v>
      </c>
      <c r="S175" t="s">
        <v>6669</v>
      </c>
      <c r="T175" t="s">
        <v>14213</v>
      </c>
      <c r="U175" t="s">
        <v>4561</v>
      </c>
      <c r="V175" t="s">
        <v>14217</v>
      </c>
      <c r="W175" t="s">
        <v>4729</v>
      </c>
    </row>
    <row r="176" spans="1:23">
      <c r="A176" t="s">
        <v>14171</v>
      </c>
      <c r="B176" t="s">
        <v>14171</v>
      </c>
      <c r="C176" t="s">
        <v>14181</v>
      </c>
      <c r="D176" t="s">
        <v>4519</v>
      </c>
      <c r="E176" t="s">
        <v>4555</v>
      </c>
      <c r="F176" t="s">
        <v>2657</v>
      </c>
      <c r="G176" t="s">
        <v>14160</v>
      </c>
      <c r="H176" t="s">
        <v>4378</v>
      </c>
      <c r="I176" t="s">
        <v>4801</v>
      </c>
      <c r="J176" t="s">
        <v>14177</v>
      </c>
      <c r="K176" t="s">
        <v>4519</v>
      </c>
      <c r="L176" t="s">
        <v>14218</v>
      </c>
      <c r="M176" t="s">
        <v>26</v>
      </c>
      <c r="N176" t="s">
        <v>14219</v>
      </c>
      <c r="O176" t="s">
        <v>4519</v>
      </c>
      <c r="P176" t="s">
        <v>14220</v>
      </c>
      <c r="Q176" t="s">
        <v>26</v>
      </c>
      <c r="R176" t="s">
        <v>14221</v>
      </c>
      <c r="S176" t="s">
        <v>6669</v>
      </c>
      <c r="T176" t="s">
        <v>14218</v>
      </c>
      <c r="U176" t="s">
        <v>4561</v>
      </c>
      <c r="V176" t="s">
        <v>14222</v>
      </c>
      <c r="W176" t="s">
        <v>4729</v>
      </c>
    </row>
    <row r="177" spans="1:23">
      <c r="A177" t="s">
        <v>14165</v>
      </c>
      <c r="B177" t="s">
        <v>14165</v>
      </c>
      <c r="C177" t="s">
        <v>14182</v>
      </c>
      <c r="D177" t="s">
        <v>4519</v>
      </c>
      <c r="E177" t="s">
        <v>4555</v>
      </c>
      <c r="F177" t="s">
        <v>2657</v>
      </c>
      <c r="G177" t="s">
        <v>14160</v>
      </c>
      <c r="H177" t="s">
        <v>4378</v>
      </c>
      <c r="I177" t="s">
        <v>4801</v>
      </c>
      <c r="J177" t="s">
        <v>14177</v>
      </c>
      <c r="K177" t="s">
        <v>4519</v>
      </c>
      <c r="L177" t="s">
        <v>14223</v>
      </c>
      <c r="M177" t="s">
        <v>26</v>
      </c>
      <c r="N177" t="s">
        <v>14224</v>
      </c>
      <c r="O177" t="s">
        <v>4519</v>
      </c>
      <c r="P177" t="s">
        <v>14225</v>
      </c>
      <c r="Q177" t="s">
        <v>26</v>
      </c>
      <c r="R177" t="s">
        <v>14226</v>
      </c>
      <c r="S177" t="s">
        <v>6669</v>
      </c>
      <c r="T177" t="s">
        <v>14223</v>
      </c>
      <c r="U177" t="s">
        <v>4561</v>
      </c>
      <c r="V177" t="s">
        <v>14227</v>
      </c>
      <c r="W177" t="s">
        <v>4729</v>
      </c>
    </row>
    <row r="178" spans="1:23">
      <c r="A178" t="s">
        <v>14172</v>
      </c>
      <c r="B178" t="s">
        <v>14172</v>
      </c>
      <c r="C178" t="s">
        <v>14179</v>
      </c>
      <c r="D178" t="s">
        <v>4519</v>
      </c>
      <c r="E178" t="s">
        <v>4555</v>
      </c>
      <c r="F178" t="s">
        <v>2657</v>
      </c>
      <c r="G178" t="s">
        <v>14160</v>
      </c>
      <c r="H178" t="s">
        <v>4378</v>
      </c>
      <c r="I178" t="s">
        <v>4801</v>
      </c>
      <c r="J178" t="s">
        <v>14177</v>
      </c>
      <c r="K178" t="s">
        <v>4519</v>
      </c>
      <c r="L178" t="s">
        <v>14228</v>
      </c>
      <c r="M178" t="s">
        <v>26</v>
      </c>
      <c r="N178" t="s">
        <v>14229</v>
      </c>
      <c r="O178" t="s">
        <v>4519</v>
      </c>
      <c r="P178" t="s">
        <v>14230</v>
      </c>
      <c r="Q178" t="s">
        <v>26</v>
      </c>
      <c r="R178" t="s">
        <v>14231</v>
      </c>
      <c r="S178" t="s">
        <v>6669</v>
      </c>
      <c r="T178" t="s">
        <v>14228</v>
      </c>
      <c r="U178" t="s">
        <v>4561</v>
      </c>
      <c r="V178" t="s">
        <v>14232</v>
      </c>
      <c r="W178" t="s">
        <v>4729</v>
      </c>
    </row>
    <row r="179" spans="1:23">
      <c r="A179" t="s">
        <v>14166</v>
      </c>
      <c r="B179" t="s">
        <v>14166</v>
      </c>
      <c r="C179" t="s">
        <v>14179</v>
      </c>
      <c r="D179" t="s">
        <v>4519</v>
      </c>
      <c r="E179" t="s">
        <v>4555</v>
      </c>
      <c r="F179" t="s">
        <v>2657</v>
      </c>
      <c r="G179" t="s">
        <v>14160</v>
      </c>
      <c r="H179" t="s">
        <v>4378</v>
      </c>
      <c r="I179" t="s">
        <v>4801</v>
      </c>
      <c r="J179" t="s">
        <v>14177</v>
      </c>
      <c r="K179" t="s">
        <v>4519</v>
      </c>
      <c r="L179" t="s">
        <v>14233</v>
      </c>
      <c r="M179" t="s">
        <v>26</v>
      </c>
      <c r="N179" t="s">
        <v>14234</v>
      </c>
      <c r="O179" t="s">
        <v>4519</v>
      </c>
      <c r="P179" t="s">
        <v>14235</v>
      </c>
      <c r="Q179" t="s">
        <v>26</v>
      </c>
      <c r="R179" t="s">
        <v>14236</v>
      </c>
      <c r="S179" t="s">
        <v>6669</v>
      </c>
      <c r="T179" t="s">
        <v>14233</v>
      </c>
      <c r="U179" t="s">
        <v>4561</v>
      </c>
      <c r="V179" t="s">
        <v>14237</v>
      </c>
      <c r="W179" t="s">
        <v>4729</v>
      </c>
    </row>
    <row r="180" spans="1:23">
      <c r="A180" t="s">
        <v>14173</v>
      </c>
      <c r="B180" t="s">
        <v>14173</v>
      </c>
      <c r="C180" t="s">
        <v>14179</v>
      </c>
      <c r="D180" t="s">
        <v>4519</v>
      </c>
      <c r="E180" t="s">
        <v>4555</v>
      </c>
      <c r="F180" t="s">
        <v>2657</v>
      </c>
      <c r="G180" t="s">
        <v>14160</v>
      </c>
      <c r="H180" t="s">
        <v>4378</v>
      </c>
      <c r="I180" t="s">
        <v>4801</v>
      </c>
      <c r="J180" t="s">
        <v>14177</v>
      </c>
      <c r="K180" t="s">
        <v>4519</v>
      </c>
      <c r="L180" t="s">
        <v>14238</v>
      </c>
      <c r="M180" t="s">
        <v>26</v>
      </c>
      <c r="N180" t="s">
        <v>14239</v>
      </c>
      <c r="O180" t="s">
        <v>4519</v>
      </c>
      <c r="P180" t="s">
        <v>14240</v>
      </c>
      <c r="Q180" t="s">
        <v>26</v>
      </c>
      <c r="R180" t="s">
        <v>14241</v>
      </c>
      <c r="S180" t="s">
        <v>6669</v>
      </c>
      <c r="T180" t="s">
        <v>14238</v>
      </c>
      <c r="U180" t="s">
        <v>4561</v>
      </c>
      <c r="V180" t="s">
        <v>14242</v>
      </c>
      <c r="W180" t="s">
        <v>4729</v>
      </c>
    </row>
    <row r="181" spans="1:23">
      <c r="A181" t="s">
        <v>14167</v>
      </c>
      <c r="B181" t="s">
        <v>14167</v>
      </c>
      <c r="C181" t="s">
        <v>14179</v>
      </c>
      <c r="D181" t="s">
        <v>4519</v>
      </c>
      <c r="E181" t="s">
        <v>4555</v>
      </c>
      <c r="F181" t="s">
        <v>2657</v>
      </c>
      <c r="G181" t="s">
        <v>14160</v>
      </c>
      <c r="H181" t="s">
        <v>4378</v>
      </c>
      <c r="I181" t="s">
        <v>4801</v>
      </c>
      <c r="J181" t="s">
        <v>14177</v>
      </c>
      <c r="K181" t="s">
        <v>4519</v>
      </c>
      <c r="L181" t="s">
        <v>14243</v>
      </c>
      <c r="M181" t="s">
        <v>26</v>
      </c>
      <c r="N181" t="s">
        <v>14244</v>
      </c>
      <c r="O181" t="s">
        <v>4519</v>
      </c>
      <c r="P181" t="s">
        <v>14245</v>
      </c>
      <c r="Q181" t="s">
        <v>26</v>
      </c>
      <c r="R181" t="s">
        <v>14246</v>
      </c>
      <c r="S181" t="s">
        <v>6669</v>
      </c>
      <c r="T181" t="s">
        <v>14243</v>
      </c>
      <c r="U181" t="s">
        <v>4561</v>
      </c>
      <c r="V181" t="s">
        <v>14247</v>
      </c>
      <c r="W181" t="s">
        <v>4729</v>
      </c>
    </row>
    <row r="182" spans="1:23">
      <c r="A182" t="s">
        <v>14174</v>
      </c>
      <c r="B182" t="s">
        <v>14174</v>
      </c>
      <c r="C182" t="s">
        <v>14179</v>
      </c>
      <c r="D182" t="s">
        <v>4519</v>
      </c>
      <c r="E182" t="s">
        <v>4555</v>
      </c>
      <c r="F182" t="s">
        <v>2657</v>
      </c>
      <c r="G182" t="s">
        <v>14160</v>
      </c>
      <c r="H182" t="s">
        <v>4378</v>
      </c>
      <c r="I182" t="s">
        <v>4801</v>
      </c>
      <c r="J182" t="s">
        <v>14177</v>
      </c>
      <c r="K182" t="s">
        <v>4519</v>
      </c>
      <c r="L182" t="s">
        <v>14248</v>
      </c>
      <c r="M182" t="s">
        <v>26</v>
      </c>
      <c r="N182" t="s">
        <v>14249</v>
      </c>
      <c r="O182" t="s">
        <v>4519</v>
      </c>
      <c r="P182" t="s">
        <v>14250</v>
      </c>
      <c r="Q182" t="s">
        <v>26</v>
      </c>
      <c r="R182" t="s">
        <v>14251</v>
      </c>
      <c r="S182" t="s">
        <v>6669</v>
      </c>
      <c r="T182" t="s">
        <v>14248</v>
      </c>
      <c r="U182" t="s">
        <v>4561</v>
      </c>
      <c r="V182" t="s">
        <v>14252</v>
      </c>
      <c r="W182" t="s">
        <v>4729</v>
      </c>
    </row>
    <row r="183" spans="1:23">
      <c r="A183" t="s">
        <v>14175</v>
      </c>
      <c r="B183" t="s">
        <v>14175</v>
      </c>
      <c r="C183" t="s">
        <v>14179</v>
      </c>
      <c r="D183" t="s">
        <v>4519</v>
      </c>
      <c r="E183" t="s">
        <v>4555</v>
      </c>
      <c r="F183" t="s">
        <v>2657</v>
      </c>
      <c r="G183" t="s">
        <v>14160</v>
      </c>
      <c r="H183" t="s">
        <v>4378</v>
      </c>
      <c r="I183" t="s">
        <v>4801</v>
      </c>
      <c r="J183" t="s">
        <v>14177</v>
      </c>
      <c r="K183" t="s">
        <v>4519</v>
      </c>
      <c r="L183" t="s">
        <v>14253</v>
      </c>
      <c r="M183" t="s">
        <v>26</v>
      </c>
      <c r="N183" t="s">
        <v>14254</v>
      </c>
      <c r="O183" t="s">
        <v>4519</v>
      </c>
      <c r="P183" t="s">
        <v>14255</v>
      </c>
      <c r="Q183" t="s">
        <v>26</v>
      </c>
      <c r="R183" t="s">
        <v>14256</v>
      </c>
      <c r="S183" t="s">
        <v>6669</v>
      </c>
      <c r="T183" t="s">
        <v>14253</v>
      </c>
      <c r="U183" t="s">
        <v>4561</v>
      </c>
      <c r="V183" t="s">
        <v>14257</v>
      </c>
      <c r="W183" t="s">
        <v>4729</v>
      </c>
    </row>
    <row r="184" spans="1:23">
      <c r="A184" t="s">
        <v>14176</v>
      </c>
      <c r="B184" t="s">
        <v>14176</v>
      </c>
      <c r="C184" t="s">
        <v>14179</v>
      </c>
      <c r="D184" t="s">
        <v>4519</v>
      </c>
      <c r="E184" t="s">
        <v>4555</v>
      </c>
      <c r="F184" t="s">
        <v>2657</v>
      </c>
      <c r="G184" t="s">
        <v>14160</v>
      </c>
      <c r="H184" t="s">
        <v>4378</v>
      </c>
      <c r="I184" t="s">
        <v>4801</v>
      </c>
      <c r="J184" t="s">
        <v>14177</v>
      </c>
      <c r="K184" t="s">
        <v>4519</v>
      </c>
      <c r="L184" t="s">
        <v>14258</v>
      </c>
      <c r="M184" t="s">
        <v>26</v>
      </c>
      <c r="N184" t="s">
        <v>14259</v>
      </c>
      <c r="O184" t="s">
        <v>4519</v>
      </c>
      <c r="P184" t="s">
        <v>14260</v>
      </c>
      <c r="Q184" t="s">
        <v>26</v>
      </c>
      <c r="R184" t="s">
        <v>14261</v>
      </c>
      <c r="S184" t="s">
        <v>6669</v>
      </c>
      <c r="T184" t="s">
        <v>14262</v>
      </c>
      <c r="U184" t="s">
        <v>4561</v>
      </c>
      <c r="V184" t="s">
        <v>14263</v>
      </c>
      <c r="W184" t="s">
        <v>4729</v>
      </c>
    </row>
    <row r="185" spans="1:23">
      <c r="A185" t="s">
        <v>14264</v>
      </c>
      <c r="B185" t="s">
        <v>14264</v>
      </c>
      <c r="C185" t="s">
        <v>14265</v>
      </c>
      <c r="D185" t="s">
        <v>14266</v>
      </c>
      <c r="E185" t="s">
        <v>4374</v>
      </c>
      <c r="F185" t="s">
        <v>2657</v>
      </c>
      <c r="G185" t="s">
        <v>14267</v>
      </c>
      <c r="H185" t="s">
        <v>4378</v>
      </c>
      <c r="I185" t="s">
        <v>4800</v>
      </c>
      <c r="J185" t="s">
        <v>14268</v>
      </c>
      <c r="K185" t="s">
        <v>14269</v>
      </c>
      <c r="L185" t="s">
        <v>14264</v>
      </c>
      <c r="M185" t="s">
        <v>26</v>
      </c>
      <c r="N185" t="s">
        <v>14270</v>
      </c>
      <c r="S185" t="s">
        <v>14271</v>
      </c>
      <c r="T185" t="s">
        <v>14264</v>
      </c>
      <c r="U185" t="s">
        <v>4561</v>
      </c>
      <c r="V185" t="s">
        <v>14272</v>
      </c>
      <c r="W185" t="s">
        <v>4730</v>
      </c>
    </row>
    <row r="186" spans="1:23">
      <c r="A186" t="s">
        <v>14273</v>
      </c>
      <c r="B186" t="s">
        <v>14273</v>
      </c>
      <c r="C186" t="s">
        <v>14274</v>
      </c>
      <c r="D186" t="s">
        <v>14275</v>
      </c>
      <c r="E186" t="s">
        <v>14276</v>
      </c>
      <c r="F186" t="s">
        <v>2657</v>
      </c>
      <c r="G186" t="s">
        <v>14305</v>
      </c>
      <c r="J186" t="s">
        <v>14277</v>
      </c>
      <c r="S186" t="s">
        <v>14278</v>
      </c>
      <c r="T186" t="s">
        <v>14273</v>
      </c>
      <c r="U186" t="s">
        <v>4561</v>
      </c>
      <c r="V186" t="s">
        <v>14279</v>
      </c>
      <c r="W186" t="s">
        <v>4730</v>
      </c>
    </row>
    <row r="187" spans="1:23">
      <c r="A187" t="s">
        <v>14280</v>
      </c>
      <c r="B187" t="s">
        <v>14280</v>
      </c>
      <c r="C187" t="s">
        <v>14306</v>
      </c>
      <c r="D187" t="s">
        <v>14282</v>
      </c>
      <c r="E187" t="s">
        <v>14276</v>
      </c>
      <c r="F187" t="s">
        <v>2657</v>
      </c>
      <c r="G187" t="s">
        <v>14304</v>
      </c>
      <c r="J187" t="s">
        <v>14281</v>
      </c>
      <c r="S187" t="s">
        <v>14282</v>
      </c>
      <c r="T187" t="s">
        <v>14280</v>
      </c>
      <c r="U187" t="s">
        <v>4561</v>
      </c>
      <c r="V187" t="s">
        <v>14283</v>
      </c>
      <c r="W187" t="s">
        <v>4730</v>
      </c>
    </row>
    <row r="188" spans="1:23">
      <c r="A188" t="s">
        <v>14284</v>
      </c>
      <c r="B188" t="s">
        <v>14284</v>
      </c>
      <c r="C188" t="s">
        <v>14302</v>
      </c>
      <c r="D188" t="s">
        <v>14289</v>
      </c>
      <c r="E188" t="s">
        <v>14285</v>
      </c>
      <c r="F188" t="s">
        <v>2657</v>
      </c>
      <c r="G188" t="s">
        <v>14301</v>
      </c>
      <c r="H188" t="s">
        <v>4378</v>
      </c>
      <c r="I188" t="s">
        <v>12571</v>
      </c>
      <c r="J188" t="s">
        <v>14286</v>
      </c>
      <c r="S188" t="s">
        <v>14287</v>
      </c>
      <c r="T188" t="s">
        <v>14284</v>
      </c>
      <c r="U188" t="s">
        <v>4561</v>
      </c>
      <c r="V188" t="s">
        <v>14288</v>
      </c>
      <c r="W188" t="s">
        <v>4730</v>
      </c>
    </row>
    <row r="189" spans="1:23">
      <c r="A189" t="s">
        <v>14290</v>
      </c>
      <c r="B189" t="s">
        <v>14290</v>
      </c>
      <c r="C189" t="s">
        <v>14303</v>
      </c>
      <c r="D189" t="s">
        <v>14289</v>
      </c>
      <c r="E189" t="s">
        <v>14285</v>
      </c>
      <c r="F189" t="s">
        <v>2657</v>
      </c>
      <c r="G189" t="s">
        <v>14301</v>
      </c>
      <c r="H189" t="s">
        <v>4378</v>
      </c>
      <c r="I189" t="s">
        <v>12571</v>
      </c>
      <c r="J189" t="s">
        <v>14291</v>
      </c>
      <c r="S189" t="s">
        <v>14287</v>
      </c>
      <c r="T189" t="s">
        <v>14290</v>
      </c>
      <c r="U189" t="s">
        <v>4561</v>
      </c>
      <c r="V189" t="s">
        <v>14292</v>
      </c>
      <c r="W189" t="s">
        <v>4730</v>
      </c>
    </row>
    <row r="190" spans="1:23">
      <c r="A190" t="s">
        <v>14293</v>
      </c>
      <c r="B190" t="s">
        <v>14293</v>
      </c>
      <c r="C190" t="s">
        <v>14300</v>
      </c>
      <c r="D190" t="s">
        <v>10685</v>
      </c>
      <c r="E190" t="s">
        <v>14294</v>
      </c>
      <c r="F190" t="s">
        <v>2657</v>
      </c>
      <c r="G190" t="s">
        <v>14299</v>
      </c>
      <c r="H190" t="s">
        <v>6708</v>
      </c>
      <c r="I190" t="s">
        <v>6978</v>
      </c>
      <c r="J190" t="s">
        <v>14295</v>
      </c>
      <c r="K190" t="s">
        <v>7944</v>
      </c>
      <c r="L190" t="s">
        <v>14293</v>
      </c>
      <c r="M190" t="s">
        <v>26</v>
      </c>
      <c r="N190" t="s">
        <v>14296</v>
      </c>
      <c r="S190" t="s">
        <v>14297</v>
      </c>
      <c r="T190" t="s">
        <v>14293</v>
      </c>
      <c r="U190" t="s">
        <v>4561</v>
      </c>
      <c r="V190" t="s">
        <v>14298</v>
      </c>
      <c r="W190" t="s">
        <v>4730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0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12875</v>
      </c>
      <c r="D2" t="s">
        <v>4312</v>
      </c>
      <c r="F2" t="s">
        <v>11259</v>
      </c>
      <c r="G2" t="s">
        <v>6445</v>
      </c>
      <c r="H2" t="s">
        <v>4316</v>
      </c>
      <c r="I2" t="s">
        <v>12876</v>
      </c>
    </row>
    <row r="3" spans="1:23">
      <c r="A3" t="s">
        <v>12829</v>
      </c>
      <c r="B3" t="s">
        <v>12829</v>
      </c>
      <c r="C3" t="s">
        <v>12830</v>
      </c>
      <c r="D3" t="s">
        <v>4312</v>
      </c>
      <c r="F3" t="s">
        <v>11259</v>
      </c>
      <c r="G3" t="s">
        <v>12828</v>
      </c>
      <c r="H3" t="s">
        <v>4316</v>
      </c>
      <c r="I3" t="s">
        <v>12831</v>
      </c>
    </row>
    <row r="4" spans="1:23">
      <c r="A4" t="s">
        <v>12835</v>
      </c>
      <c r="B4" t="s">
        <v>12832</v>
      </c>
      <c r="C4" t="s">
        <v>12834</v>
      </c>
      <c r="D4" t="s">
        <v>4312</v>
      </c>
      <c r="F4" t="s">
        <v>11259</v>
      </c>
      <c r="G4" t="s">
        <v>12833</v>
      </c>
      <c r="H4" t="s">
        <v>4316</v>
      </c>
      <c r="I4" t="s">
        <v>12836</v>
      </c>
    </row>
    <row r="5" spans="1:23">
      <c r="A5" t="s">
        <v>12837</v>
      </c>
      <c r="B5" t="s">
        <v>12832</v>
      </c>
      <c r="C5" t="s">
        <v>12839</v>
      </c>
      <c r="D5" t="s">
        <v>4312</v>
      </c>
      <c r="F5" t="s">
        <v>11259</v>
      </c>
      <c r="G5" t="s">
        <v>12833</v>
      </c>
      <c r="H5" t="s">
        <v>4316</v>
      </c>
      <c r="I5" t="s">
        <v>12841</v>
      </c>
    </row>
    <row r="6" spans="1:23">
      <c r="A6" t="s">
        <v>12838</v>
      </c>
      <c r="B6" t="s">
        <v>12832</v>
      </c>
      <c r="C6" t="s">
        <v>12840</v>
      </c>
      <c r="D6" t="s">
        <v>4312</v>
      </c>
      <c r="F6" t="s">
        <v>11259</v>
      </c>
      <c r="G6" t="s">
        <v>12833</v>
      </c>
      <c r="H6" t="s">
        <v>4316</v>
      </c>
      <c r="I6" t="s">
        <v>12842</v>
      </c>
    </row>
    <row r="7" spans="1:23">
      <c r="A7" t="s">
        <v>12843</v>
      </c>
      <c r="B7" t="s">
        <v>12832</v>
      </c>
      <c r="C7" t="s">
        <v>12844</v>
      </c>
      <c r="D7" t="s">
        <v>4312</v>
      </c>
      <c r="F7" t="s">
        <v>11259</v>
      </c>
      <c r="G7" t="s">
        <v>12833</v>
      </c>
      <c r="H7" t="s">
        <v>4316</v>
      </c>
      <c r="I7" t="s">
        <v>12845</v>
      </c>
    </row>
    <row r="8" spans="1:23">
      <c r="A8" t="s">
        <v>12846</v>
      </c>
      <c r="B8" t="s">
        <v>12832</v>
      </c>
      <c r="C8" t="s">
        <v>12847</v>
      </c>
      <c r="D8" t="s">
        <v>4312</v>
      </c>
      <c r="F8" t="s">
        <v>11259</v>
      </c>
      <c r="G8" t="s">
        <v>12833</v>
      </c>
      <c r="H8" t="s">
        <v>4316</v>
      </c>
      <c r="I8" t="s">
        <v>12848</v>
      </c>
    </row>
    <row r="9" spans="1:23">
      <c r="A9" t="s">
        <v>12849</v>
      </c>
      <c r="B9" t="s">
        <v>12832</v>
      </c>
      <c r="C9" t="s">
        <v>12850</v>
      </c>
      <c r="D9" t="s">
        <v>4312</v>
      </c>
      <c r="F9" t="s">
        <v>11259</v>
      </c>
      <c r="G9" t="s">
        <v>12833</v>
      </c>
      <c r="H9" t="s">
        <v>4316</v>
      </c>
      <c r="I9" t="s">
        <v>12851</v>
      </c>
    </row>
    <row r="10" spans="1:23">
      <c r="A10" t="s">
        <v>12852</v>
      </c>
      <c r="B10" t="s">
        <v>12832</v>
      </c>
      <c r="C10" t="s">
        <v>12853</v>
      </c>
      <c r="D10" t="s">
        <v>4312</v>
      </c>
      <c r="F10" t="s">
        <v>11259</v>
      </c>
      <c r="G10" t="s">
        <v>12833</v>
      </c>
      <c r="H10" t="s">
        <v>4316</v>
      </c>
      <c r="I10" t="s">
        <v>12854</v>
      </c>
    </row>
    <row r="11" spans="1:23">
      <c r="A11" t="s">
        <v>12855</v>
      </c>
      <c r="B11" t="s">
        <v>12832</v>
      </c>
      <c r="C11" t="s">
        <v>12856</v>
      </c>
      <c r="D11" t="s">
        <v>4312</v>
      </c>
      <c r="F11" t="s">
        <v>11259</v>
      </c>
      <c r="G11" t="s">
        <v>12833</v>
      </c>
      <c r="H11" t="s">
        <v>4316</v>
      </c>
      <c r="I11" t="s">
        <v>12857</v>
      </c>
    </row>
    <row r="12" spans="1:23">
      <c r="A12" t="s">
        <v>12858</v>
      </c>
      <c r="B12" t="s">
        <v>12832</v>
      </c>
      <c r="C12" t="s">
        <v>12859</v>
      </c>
      <c r="D12" t="s">
        <v>4312</v>
      </c>
      <c r="F12" t="s">
        <v>11259</v>
      </c>
      <c r="G12" t="s">
        <v>12833</v>
      </c>
      <c r="H12" t="s">
        <v>4316</v>
      </c>
      <c r="I12" t="s">
        <v>12860</v>
      </c>
    </row>
    <row r="13" spans="1:23">
      <c r="A13" t="s">
        <v>12861</v>
      </c>
      <c r="B13" t="s">
        <v>12832</v>
      </c>
      <c r="C13" t="s">
        <v>12862</v>
      </c>
      <c r="D13" t="s">
        <v>4312</v>
      </c>
      <c r="F13" t="s">
        <v>11259</v>
      </c>
      <c r="G13" t="s">
        <v>12833</v>
      </c>
      <c r="H13" t="s">
        <v>4316</v>
      </c>
      <c r="I13" t="s">
        <v>12863</v>
      </c>
    </row>
    <row r="14" spans="1:23">
      <c r="A14" t="s">
        <v>12864</v>
      </c>
      <c r="B14" t="s">
        <v>12832</v>
      </c>
      <c r="C14" t="s">
        <v>12865</v>
      </c>
      <c r="D14" t="s">
        <v>4312</v>
      </c>
      <c r="F14" t="s">
        <v>11259</v>
      </c>
      <c r="G14" t="s">
        <v>12833</v>
      </c>
      <c r="H14" t="s">
        <v>4316</v>
      </c>
      <c r="I14" t="s">
        <v>12866</v>
      </c>
    </row>
    <row r="15" spans="1:23">
      <c r="A15" t="s">
        <v>12867</v>
      </c>
      <c r="B15" t="s">
        <v>12832</v>
      </c>
      <c r="C15" t="s">
        <v>12868</v>
      </c>
      <c r="D15" t="s">
        <v>4312</v>
      </c>
      <c r="F15" t="s">
        <v>11259</v>
      </c>
      <c r="G15" t="s">
        <v>12833</v>
      </c>
      <c r="H15" t="s">
        <v>4316</v>
      </c>
      <c r="I15" t="s">
        <v>12869</v>
      </c>
    </row>
    <row r="16" spans="1:23">
      <c r="A16" t="s">
        <v>12871</v>
      </c>
      <c r="B16" t="s">
        <v>12870</v>
      </c>
      <c r="C16" t="s">
        <v>12872</v>
      </c>
      <c r="D16" t="s">
        <v>4312</v>
      </c>
      <c r="F16" t="s">
        <v>11259</v>
      </c>
      <c r="G16" t="s">
        <v>12874</v>
      </c>
      <c r="H16" t="s">
        <v>4316</v>
      </c>
      <c r="I16" t="s">
        <v>12873</v>
      </c>
    </row>
    <row r="17" spans="1:9">
      <c r="A17" t="s">
        <v>12877</v>
      </c>
      <c r="B17" t="s">
        <v>12878</v>
      </c>
      <c r="C17" t="s">
        <v>12879</v>
      </c>
      <c r="D17" t="s">
        <v>4312</v>
      </c>
      <c r="F17" t="s">
        <v>11259</v>
      </c>
      <c r="G17" t="s">
        <v>12880</v>
      </c>
      <c r="H17" t="s">
        <v>4316</v>
      </c>
      <c r="I17" t="s">
        <v>12942</v>
      </c>
    </row>
    <row r="18" spans="1:9">
      <c r="A18" t="s">
        <v>12881</v>
      </c>
      <c r="B18" t="s">
        <v>12878</v>
      </c>
      <c r="C18" t="s">
        <v>12888</v>
      </c>
      <c r="D18" t="s">
        <v>4312</v>
      </c>
      <c r="F18" t="s">
        <v>11259</v>
      </c>
      <c r="G18" t="s">
        <v>12880</v>
      </c>
      <c r="H18" t="s">
        <v>4316</v>
      </c>
      <c r="I18" t="s">
        <v>12945</v>
      </c>
    </row>
    <row r="19" spans="1:9">
      <c r="A19" t="s">
        <v>12882</v>
      </c>
      <c r="B19" t="s">
        <v>12878</v>
      </c>
      <c r="C19" t="s">
        <v>12883</v>
      </c>
      <c r="D19" t="s">
        <v>4312</v>
      </c>
      <c r="F19" t="s">
        <v>11259</v>
      </c>
      <c r="G19" t="s">
        <v>12880</v>
      </c>
      <c r="H19" t="s">
        <v>4316</v>
      </c>
      <c r="I19" t="s">
        <v>12943</v>
      </c>
    </row>
    <row r="20" spans="1:9">
      <c r="A20" t="s">
        <v>12884</v>
      </c>
      <c r="B20" t="s">
        <v>12878</v>
      </c>
      <c r="C20" t="s">
        <v>12889</v>
      </c>
      <c r="D20" t="s">
        <v>4312</v>
      </c>
      <c r="F20" t="s">
        <v>11259</v>
      </c>
      <c r="G20" t="s">
        <v>12880</v>
      </c>
      <c r="H20" t="s">
        <v>4316</v>
      </c>
      <c r="I20" t="s">
        <v>12946</v>
      </c>
    </row>
    <row r="21" spans="1:9">
      <c r="A21" t="s">
        <v>12885</v>
      </c>
      <c r="B21" t="s">
        <v>12878</v>
      </c>
      <c r="C21" t="s">
        <v>12886</v>
      </c>
      <c r="D21" t="s">
        <v>4312</v>
      </c>
      <c r="F21" t="s">
        <v>11259</v>
      </c>
      <c r="G21" t="s">
        <v>12880</v>
      </c>
      <c r="H21" t="s">
        <v>4316</v>
      </c>
      <c r="I21" t="s">
        <v>12944</v>
      </c>
    </row>
    <row r="22" spans="1:9">
      <c r="A22" t="s">
        <v>12887</v>
      </c>
      <c r="B22" t="s">
        <v>12878</v>
      </c>
      <c r="C22" t="s">
        <v>12890</v>
      </c>
      <c r="D22" t="s">
        <v>4312</v>
      </c>
      <c r="F22" t="s">
        <v>11259</v>
      </c>
      <c r="G22" t="s">
        <v>12880</v>
      </c>
      <c r="H22" t="s">
        <v>4316</v>
      </c>
      <c r="I22" t="s">
        <v>12947</v>
      </c>
    </row>
    <row r="23" spans="1:9">
      <c r="A23" t="s">
        <v>12891</v>
      </c>
      <c r="B23" t="s">
        <v>12892</v>
      </c>
      <c r="C23" t="s">
        <v>12893</v>
      </c>
      <c r="D23" t="s">
        <v>4312</v>
      </c>
      <c r="F23" t="s">
        <v>11259</v>
      </c>
      <c r="G23" t="s">
        <v>12894</v>
      </c>
      <c r="H23" t="s">
        <v>4316</v>
      </c>
      <c r="I23" t="s">
        <v>12895</v>
      </c>
    </row>
    <row r="24" spans="1:9">
      <c r="A24" t="s">
        <v>12896</v>
      </c>
      <c r="B24" t="s">
        <v>12892</v>
      </c>
      <c r="C24" t="s">
        <v>12897</v>
      </c>
      <c r="D24" t="s">
        <v>4312</v>
      </c>
      <c r="F24" t="s">
        <v>11259</v>
      </c>
      <c r="G24" t="s">
        <v>12894</v>
      </c>
      <c r="H24" t="s">
        <v>4316</v>
      </c>
      <c r="I24" t="s">
        <v>12898</v>
      </c>
    </row>
    <row r="25" spans="1:9">
      <c r="A25" t="s">
        <v>12899</v>
      </c>
      <c r="B25" t="s">
        <v>12892</v>
      </c>
      <c r="C25" t="s">
        <v>12900</v>
      </c>
      <c r="D25" t="s">
        <v>4312</v>
      </c>
      <c r="F25" t="s">
        <v>11259</v>
      </c>
      <c r="G25" t="s">
        <v>12894</v>
      </c>
      <c r="H25" t="s">
        <v>4316</v>
      </c>
      <c r="I25" t="s">
        <v>12901</v>
      </c>
    </row>
    <row r="26" spans="1:9">
      <c r="A26" t="s">
        <v>12902</v>
      </c>
      <c r="B26" t="s">
        <v>12892</v>
      </c>
      <c r="C26" t="s">
        <v>12903</v>
      </c>
      <c r="D26" t="s">
        <v>4312</v>
      </c>
      <c r="F26" t="s">
        <v>11259</v>
      </c>
      <c r="G26" t="s">
        <v>12894</v>
      </c>
      <c r="H26" t="s">
        <v>4316</v>
      </c>
      <c r="I26" t="s">
        <v>12904</v>
      </c>
    </row>
    <row r="27" spans="1:9">
      <c r="A27" t="s">
        <v>12905</v>
      </c>
      <c r="B27" t="s">
        <v>12892</v>
      </c>
      <c r="C27" t="s">
        <v>12906</v>
      </c>
      <c r="D27" t="s">
        <v>4312</v>
      </c>
      <c r="F27" t="s">
        <v>11259</v>
      </c>
      <c r="G27" t="s">
        <v>12894</v>
      </c>
      <c r="H27" t="s">
        <v>4316</v>
      </c>
      <c r="I27" t="s">
        <v>12907</v>
      </c>
    </row>
    <row r="28" spans="1:9">
      <c r="A28" t="s">
        <v>12908</v>
      </c>
      <c r="B28" t="s">
        <v>12909</v>
      </c>
      <c r="C28" t="s">
        <v>12910</v>
      </c>
      <c r="D28" t="s">
        <v>4312</v>
      </c>
      <c r="F28" t="s">
        <v>11259</v>
      </c>
      <c r="G28" t="s">
        <v>12894</v>
      </c>
      <c r="H28" t="s">
        <v>4316</v>
      </c>
      <c r="I28" t="s">
        <v>12911</v>
      </c>
    </row>
    <row r="29" spans="1:9">
      <c r="A29" t="s">
        <v>12915</v>
      </c>
      <c r="B29" t="s">
        <v>12909</v>
      </c>
      <c r="C29" t="s">
        <v>12913</v>
      </c>
      <c r="D29" t="s">
        <v>4312</v>
      </c>
      <c r="F29" t="s">
        <v>11259</v>
      </c>
      <c r="G29" t="s">
        <v>12894</v>
      </c>
      <c r="H29" t="s">
        <v>4316</v>
      </c>
      <c r="I29" t="s">
        <v>12914</v>
      </c>
    </row>
    <row r="30" spans="1:9">
      <c r="A30" t="s">
        <v>12912</v>
      </c>
      <c r="B30" t="s">
        <v>12909</v>
      </c>
      <c r="C30" t="s">
        <v>12916</v>
      </c>
      <c r="D30" t="s">
        <v>4312</v>
      </c>
      <c r="F30" t="s">
        <v>11259</v>
      </c>
      <c r="G30" t="s">
        <v>12894</v>
      </c>
      <c r="H30" t="s">
        <v>4316</v>
      </c>
      <c r="I30" t="s">
        <v>12917</v>
      </c>
    </row>
    <row r="31" spans="1:9">
      <c r="A31" t="s">
        <v>13627</v>
      </c>
      <c r="B31" t="s">
        <v>13628</v>
      </c>
      <c r="C31" t="s">
        <v>13629</v>
      </c>
      <c r="D31" t="s">
        <v>4312</v>
      </c>
      <c r="F31" t="s">
        <v>11259</v>
      </c>
      <c r="G31" t="s">
        <v>12894</v>
      </c>
      <c r="H31" t="s">
        <v>4316</v>
      </c>
      <c r="I31" t="s">
        <v>13630</v>
      </c>
    </row>
    <row r="32" spans="1:9">
      <c r="A32" t="s">
        <v>13631</v>
      </c>
      <c r="B32" t="s">
        <v>13628</v>
      </c>
      <c r="C32" t="s">
        <v>13632</v>
      </c>
      <c r="D32" t="s">
        <v>4312</v>
      </c>
      <c r="F32" t="s">
        <v>11259</v>
      </c>
      <c r="G32" t="s">
        <v>12894</v>
      </c>
      <c r="H32" t="s">
        <v>4316</v>
      </c>
      <c r="I32" t="s">
        <v>13633</v>
      </c>
    </row>
    <row r="33" spans="1:9">
      <c r="A33" t="s">
        <v>13634</v>
      </c>
      <c r="B33" t="s">
        <v>13628</v>
      </c>
      <c r="C33" t="s">
        <v>13635</v>
      </c>
      <c r="D33" t="s">
        <v>4312</v>
      </c>
      <c r="F33" t="s">
        <v>11259</v>
      </c>
      <c r="G33" t="s">
        <v>12894</v>
      </c>
      <c r="H33" t="s">
        <v>4316</v>
      </c>
      <c r="I33" t="s">
        <v>13636</v>
      </c>
    </row>
    <row r="34" spans="1:9">
      <c r="A34" t="s">
        <v>13637</v>
      </c>
      <c r="B34" t="s">
        <v>13628</v>
      </c>
      <c r="C34" t="s">
        <v>13638</v>
      </c>
      <c r="D34" t="s">
        <v>4312</v>
      </c>
      <c r="F34" t="s">
        <v>11259</v>
      </c>
      <c r="G34" t="s">
        <v>12894</v>
      </c>
      <c r="H34" t="s">
        <v>4316</v>
      </c>
      <c r="I34" t="s">
        <v>13639</v>
      </c>
    </row>
    <row r="35" spans="1:9">
      <c r="A35" t="s">
        <v>13640</v>
      </c>
      <c r="B35" t="s">
        <v>13628</v>
      </c>
      <c r="C35" t="s">
        <v>13641</v>
      </c>
      <c r="D35" t="s">
        <v>4312</v>
      </c>
      <c r="F35" t="s">
        <v>11259</v>
      </c>
      <c r="G35" t="s">
        <v>12894</v>
      </c>
      <c r="H35" t="s">
        <v>4316</v>
      </c>
      <c r="I35" t="s">
        <v>13642</v>
      </c>
    </row>
    <row r="36" spans="1:9">
      <c r="A36" t="s">
        <v>13643</v>
      </c>
      <c r="B36" t="s">
        <v>13628</v>
      </c>
      <c r="C36" t="s">
        <v>13644</v>
      </c>
      <c r="D36" t="s">
        <v>4312</v>
      </c>
      <c r="F36" t="s">
        <v>11259</v>
      </c>
      <c r="G36" t="s">
        <v>12894</v>
      </c>
      <c r="H36" t="s">
        <v>4316</v>
      </c>
      <c r="I36" t="s">
        <v>13645</v>
      </c>
    </row>
    <row r="37" spans="1:9">
      <c r="A37" t="s">
        <v>13875</v>
      </c>
      <c r="B37" t="s">
        <v>13876</v>
      </c>
      <c r="C37" t="s">
        <v>13888</v>
      </c>
      <c r="D37" t="s">
        <v>4312</v>
      </c>
      <c r="F37" t="s">
        <v>11259</v>
      </c>
      <c r="G37" t="s">
        <v>12894</v>
      </c>
      <c r="H37" t="s">
        <v>4316</v>
      </c>
      <c r="I37" t="s">
        <v>13882</v>
      </c>
    </row>
    <row r="38" spans="1:9">
      <c r="A38" t="s">
        <v>13894</v>
      </c>
      <c r="B38" t="s">
        <v>13876</v>
      </c>
      <c r="C38" t="s">
        <v>13900</v>
      </c>
      <c r="D38" t="s">
        <v>4312</v>
      </c>
      <c r="F38" t="s">
        <v>11259</v>
      </c>
      <c r="G38" t="s">
        <v>12894</v>
      </c>
      <c r="H38" t="s">
        <v>4316</v>
      </c>
      <c r="I38" t="s">
        <v>13906</v>
      </c>
    </row>
    <row r="39" spans="1:9">
      <c r="A39" t="s">
        <v>13877</v>
      </c>
      <c r="B39" t="s">
        <v>13876</v>
      </c>
      <c r="C39" t="s">
        <v>13889</v>
      </c>
      <c r="D39" t="s">
        <v>4312</v>
      </c>
      <c r="F39" t="s">
        <v>11259</v>
      </c>
      <c r="G39" t="s">
        <v>12894</v>
      </c>
      <c r="H39" t="s">
        <v>4316</v>
      </c>
      <c r="I39" t="s">
        <v>13883</v>
      </c>
    </row>
    <row r="40" spans="1:9">
      <c r="A40" t="s">
        <v>13895</v>
      </c>
      <c r="B40" t="s">
        <v>13876</v>
      </c>
      <c r="C40" t="s">
        <v>13901</v>
      </c>
      <c r="D40" t="s">
        <v>4312</v>
      </c>
      <c r="F40" t="s">
        <v>11259</v>
      </c>
      <c r="G40" t="s">
        <v>12894</v>
      </c>
      <c r="H40" t="s">
        <v>4316</v>
      </c>
      <c r="I40" t="s">
        <v>13907</v>
      </c>
    </row>
    <row r="41" spans="1:9">
      <c r="A41" t="s">
        <v>13878</v>
      </c>
      <c r="B41" t="s">
        <v>13876</v>
      </c>
      <c r="C41" t="s">
        <v>13890</v>
      </c>
      <c r="D41" t="s">
        <v>4312</v>
      </c>
      <c r="F41" t="s">
        <v>11259</v>
      </c>
      <c r="G41" t="s">
        <v>12894</v>
      </c>
      <c r="H41" t="s">
        <v>4316</v>
      </c>
      <c r="I41" t="s">
        <v>13884</v>
      </c>
    </row>
    <row r="42" spans="1:9">
      <c r="A42" t="s">
        <v>13896</v>
      </c>
      <c r="B42" t="s">
        <v>13876</v>
      </c>
      <c r="C42" t="s">
        <v>13902</v>
      </c>
      <c r="D42" t="s">
        <v>4312</v>
      </c>
      <c r="F42" t="s">
        <v>11259</v>
      </c>
      <c r="G42" t="s">
        <v>12894</v>
      </c>
      <c r="H42" t="s">
        <v>4316</v>
      </c>
      <c r="I42" t="s">
        <v>13908</v>
      </c>
    </row>
    <row r="43" spans="1:9">
      <c r="A43" t="s">
        <v>13879</v>
      </c>
      <c r="B43" t="s">
        <v>13876</v>
      </c>
      <c r="C43" t="s">
        <v>13891</v>
      </c>
      <c r="D43" t="s">
        <v>4312</v>
      </c>
      <c r="F43" t="s">
        <v>11259</v>
      </c>
      <c r="G43" t="s">
        <v>12894</v>
      </c>
      <c r="H43" t="s">
        <v>4316</v>
      </c>
      <c r="I43" t="s">
        <v>13885</v>
      </c>
    </row>
    <row r="44" spans="1:9">
      <c r="A44" t="s">
        <v>13897</v>
      </c>
      <c r="B44" t="s">
        <v>13876</v>
      </c>
      <c r="C44" t="s">
        <v>13903</v>
      </c>
      <c r="D44" t="s">
        <v>4312</v>
      </c>
      <c r="F44" t="s">
        <v>11259</v>
      </c>
      <c r="G44" t="s">
        <v>12894</v>
      </c>
      <c r="H44" t="s">
        <v>4316</v>
      </c>
      <c r="I44" t="s">
        <v>13909</v>
      </c>
    </row>
    <row r="45" spans="1:9">
      <c r="A45" t="s">
        <v>13880</v>
      </c>
      <c r="B45" t="s">
        <v>13876</v>
      </c>
      <c r="C45" t="s">
        <v>13892</v>
      </c>
      <c r="D45" t="s">
        <v>4312</v>
      </c>
      <c r="F45" t="s">
        <v>11259</v>
      </c>
      <c r="G45" t="s">
        <v>12894</v>
      </c>
      <c r="H45" t="s">
        <v>4316</v>
      </c>
      <c r="I45" t="s">
        <v>13886</v>
      </c>
    </row>
    <row r="46" spans="1:9">
      <c r="A46" t="s">
        <v>13898</v>
      </c>
      <c r="B46" t="s">
        <v>13876</v>
      </c>
      <c r="C46" t="s">
        <v>13904</v>
      </c>
      <c r="D46" t="s">
        <v>4312</v>
      </c>
      <c r="F46" t="s">
        <v>11259</v>
      </c>
      <c r="G46" t="s">
        <v>12894</v>
      </c>
      <c r="H46" t="s">
        <v>4316</v>
      </c>
      <c r="I46" t="s">
        <v>13910</v>
      </c>
    </row>
    <row r="47" spans="1:9">
      <c r="A47" t="s">
        <v>13881</v>
      </c>
      <c r="B47" t="s">
        <v>13876</v>
      </c>
      <c r="C47" t="s">
        <v>13893</v>
      </c>
      <c r="D47" t="s">
        <v>4312</v>
      </c>
      <c r="F47" t="s">
        <v>11259</v>
      </c>
      <c r="G47" t="s">
        <v>12894</v>
      </c>
      <c r="H47" t="s">
        <v>4316</v>
      </c>
      <c r="I47" t="s">
        <v>13887</v>
      </c>
    </row>
    <row r="48" spans="1:9">
      <c r="A48" t="s">
        <v>13899</v>
      </c>
      <c r="B48" t="s">
        <v>13876</v>
      </c>
      <c r="C48" t="s">
        <v>13905</v>
      </c>
      <c r="D48" t="s">
        <v>4312</v>
      </c>
      <c r="F48" t="s">
        <v>11259</v>
      </c>
      <c r="G48" t="s">
        <v>12894</v>
      </c>
      <c r="H48" t="s">
        <v>4316</v>
      </c>
      <c r="I48" t="s">
        <v>13911</v>
      </c>
    </row>
    <row r="49" spans="1:9">
      <c r="A49" t="s">
        <v>14124</v>
      </c>
      <c r="B49" t="s">
        <v>12919</v>
      </c>
      <c r="C49" t="s">
        <v>14125</v>
      </c>
      <c r="D49" t="s">
        <v>4312</v>
      </c>
      <c r="F49" t="s">
        <v>11259</v>
      </c>
      <c r="G49" t="s">
        <v>12894</v>
      </c>
      <c r="H49" t="s">
        <v>4316</v>
      </c>
      <c r="I49" t="s">
        <v>14126</v>
      </c>
    </row>
    <row r="50" spans="1:9">
      <c r="A50" t="s">
        <v>14130</v>
      </c>
      <c r="B50" t="s">
        <v>12919</v>
      </c>
      <c r="C50" t="s">
        <v>14131</v>
      </c>
      <c r="D50" t="s">
        <v>4312</v>
      </c>
      <c r="F50" t="s">
        <v>11259</v>
      </c>
      <c r="G50" t="s">
        <v>12894</v>
      </c>
      <c r="H50" t="s">
        <v>4316</v>
      </c>
      <c r="I50" t="s">
        <v>14132</v>
      </c>
    </row>
    <row r="51" spans="1:9">
      <c r="A51" t="s">
        <v>14127</v>
      </c>
      <c r="B51" t="s">
        <v>12919</v>
      </c>
      <c r="C51" t="s">
        <v>14128</v>
      </c>
      <c r="D51" t="s">
        <v>4312</v>
      </c>
      <c r="F51" t="s">
        <v>11259</v>
      </c>
      <c r="G51" t="s">
        <v>12894</v>
      </c>
      <c r="H51" t="s">
        <v>4316</v>
      </c>
      <c r="I51" t="s">
        <v>14129</v>
      </c>
    </row>
    <row r="52" spans="1:9">
      <c r="A52" t="s">
        <v>12918</v>
      </c>
      <c r="B52" t="s">
        <v>12919</v>
      </c>
      <c r="C52" t="s">
        <v>12920</v>
      </c>
      <c r="D52" t="s">
        <v>4312</v>
      </c>
      <c r="F52" t="s">
        <v>11259</v>
      </c>
      <c r="G52" t="s">
        <v>12894</v>
      </c>
      <c r="H52" t="s">
        <v>4316</v>
      </c>
      <c r="I52" t="s">
        <v>12921</v>
      </c>
    </row>
    <row r="53" spans="1:9">
      <c r="A53" t="s">
        <v>12922</v>
      </c>
      <c r="B53" t="s">
        <v>12919</v>
      </c>
      <c r="C53" t="s">
        <v>12923</v>
      </c>
      <c r="D53" t="s">
        <v>4312</v>
      </c>
      <c r="F53" t="s">
        <v>11259</v>
      </c>
      <c r="G53" t="s">
        <v>12894</v>
      </c>
      <c r="H53" t="s">
        <v>4316</v>
      </c>
      <c r="I53" t="s">
        <v>12924</v>
      </c>
    </row>
    <row r="54" spans="1:9">
      <c r="A54" t="s">
        <v>12925</v>
      </c>
      <c r="B54" t="s">
        <v>12919</v>
      </c>
      <c r="C54" t="s">
        <v>12926</v>
      </c>
      <c r="D54" t="s">
        <v>4312</v>
      </c>
      <c r="F54" t="s">
        <v>11259</v>
      </c>
      <c r="G54" t="s">
        <v>12894</v>
      </c>
      <c r="H54" t="s">
        <v>4316</v>
      </c>
      <c r="I54" t="s">
        <v>12927</v>
      </c>
    </row>
    <row r="55" spans="1:9">
      <c r="A55" t="s">
        <v>12928</v>
      </c>
      <c r="B55" t="s">
        <v>12919</v>
      </c>
      <c r="C55" t="s">
        <v>12929</v>
      </c>
      <c r="D55" t="s">
        <v>4312</v>
      </c>
      <c r="F55" t="s">
        <v>11259</v>
      </c>
      <c r="G55" t="s">
        <v>12894</v>
      </c>
      <c r="H55" t="s">
        <v>4316</v>
      </c>
      <c r="I55" t="s">
        <v>12930</v>
      </c>
    </row>
    <row r="56" spans="1:9">
      <c r="A56" t="s">
        <v>12931</v>
      </c>
      <c r="B56" t="s">
        <v>12919</v>
      </c>
      <c r="C56" t="s">
        <v>12932</v>
      </c>
      <c r="D56" t="s">
        <v>4312</v>
      </c>
      <c r="F56" t="s">
        <v>11259</v>
      </c>
      <c r="G56" t="s">
        <v>12894</v>
      </c>
      <c r="H56" t="s">
        <v>4316</v>
      </c>
      <c r="I56" t="s">
        <v>12933</v>
      </c>
    </row>
    <row r="57" spans="1:9">
      <c r="A57" t="s">
        <v>13494</v>
      </c>
      <c r="B57" t="s">
        <v>13485</v>
      </c>
      <c r="C57" t="s">
        <v>13496</v>
      </c>
      <c r="D57" t="s">
        <v>4312</v>
      </c>
      <c r="F57" t="s">
        <v>11259</v>
      </c>
      <c r="G57" t="s">
        <v>13506</v>
      </c>
      <c r="H57" t="s">
        <v>4316</v>
      </c>
      <c r="I57" t="s">
        <v>13495</v>
      </c>
    </row>
    <row r="58" spans="1:9">
      <c r="A58" t="s">
        <v>13484</v>
      </c>
      <c r="B58" t="s">
        <v>13485</v>
      </c>
      <c r="C58" t="s">
        <v>13497</v>
      </c>
      <c r="D58" t="s">
        <v>4312</v>
      </c>
      <c r="F58" t="s">
        <v>11259</v>
      </c>
      <c r="G58" t="s">
        <v>13506</v>
      </c>
      <c r="H58" t="s">
        <v>4316</v>
      </c>
      <c r="I58" t="s">
        <v>13475</v>
      </c>
    </row>
    <row r="59" spans="1:9">
      <c r="A59" t="s">
        <v>13486</v>
      </c>
      <c r="B59" t="s">
        <v>13485</v>
      </c>
      <c r="C59" t="s">
        <v>13498</v>
      </c>
      <c r="D59" t="s">
        <v>4312</v>
      </c>
      <c r="F59" t="s">
        <v>11259</v>
      </c>
      <c r="G59" t="s">
        <v>13506</v>
      </c>
      <c r="H59" t="s">
        <v>4316</v>
      </c>
      <c r="I59" t="s">
        <v>13476</v>
      </c>
    </row>
    <row r="60" spans="1:9">
      <c r="A60" t="s">
        <v>13487</v>
      </c>
      <c r="B60" t="s">
        <v>13485</v>
      </c>
      <c r="C60" t="s">
        <v>13499</v>
      </c>
      <c r="D60" t="s">
        <v>4312</v>
      </c>
      <c r="F60" t="s">
        <v>11259</v>
      </c>
      <c r="G60" t="s">
        <v>13506</v>
      </c>
      <c r="H60" t="s">
        <v>4316</v>
      </c>
      <c r="I60" t="s">
        <v>13477</v>
      </c>
    </row>
    <row r="61" spans="1:9">
      <c r="A61" t="s">
        <v>13488</v>
      </c>
      <c r="B61" t="s">
        <v>13485</v>
      </c>
      <c r="C61" t="s">
        <v>13500</v>
      </c>
      <c r="D61" t="s">
        <v>4312</v>
      </c>
      <c r="F61" t="s">
        <v>11259</v>
      </c>
      <c r="G61" t="s">
        <v>13506</v>
      </c>
      <c r="H61" t="s">
        <v>4316</v>
      </c>
      <c r="I61" t="s">
        <v>13478</v>
      </c>
    </row>
    <row r="62" spans="1:9">
      <c r="A62" t="s">
        <v>13489</v>
      </c>
      <c r="B62" t="s">
        <v>13485</v>
      </c>
      <c r="C62" t="s">
        <v>13501</v>
      </c>
      <c r="D62" t="s">
        <v>4312</v>
      </c>
      <c r="F62" t="s">
        <v>11259</v>
      </c>
      <c r="G62" t="s">
        <v>13506</v>
      </c>
      <c r="H62" t="s">
        <v>4316</v>
      </c>
      <c r="I62" t="s">
        <v>13479</v>
      </c>
    </row>
    <row r="63" spans="1:9">
      <c r="A63" t="s">
        <v>13490</v>
      </c>
      <c r="B63" t="s">
        <v>13485</v>
      </c>
      <c r="C63" t="s">
        <v>13502</v>
      </c>
      <c r="D63" t="s">
        <v>4312</v>
      </c>
      <c r="F63" t="s">
        <v>11259</v>
      </c>
      <c r="G63" t="s">
        <v>13506</v>
      </c>
      <c r="H63" t="s">
        <v>4316</v>
      </c>
      <c r="I63" t="s">
        <v>13480</v>
      </c>
    </row>
    <row r="64" spans="1:9">
      <c r="A64" t="s">
        <v>13491</v>
      </c>
      <c r="B64" t="s">
        <v>13485</v>
      </c>
      <c r="C64" t="s">
        <v>13503</v>
      </c>
      <c r="D64" t="s">
        <v>4312</v>
      </c>
      <c r="F64" t="s">
        <v>11259</v>
      </c>
      <c r="G64" t="s">
        <v>13506</v>
      </c>
      <c r="H64" t="s">
        <v>4316</v>
      </c>
      <c r="I64" t="s">
        <v>13481</v>
      </c>
    </row>
    <row r="65" spans="1:23">
      <c r="A65" t="s">
        <v>13492</v>
      </c>
      <c r="B65" t="s">
        <v>13485</v>
      </c>
      <c r="C65" t="s">
        <v>13504</v>
      </c>
      <c r="D65" t="s">
        <v>4312</v>
      </c>
      <c r="F65" t="s">
        <v>11259</v>
      </c>
      <c r="G65" t="s">
        <v>13506</v>
      </c>
      <c r="H65" t="s">
        <v>4316</v>
      </c>
      <c r="I65" t="s">
        <v>13482</v>
      </c>
    </row>
    <row r="66" spans="1:23">
      <c r="A66" t="s">
        <v>13493</v>
      </c>
      <c r="B66" t="s">
        <v>13485</v>
      </c>
      <c r="C66" t="s">
        <v>13505</v>
      </c>
      <c r="D66" t="s">
        <v>4312</v>
      </c>
      <c r="F66" t="s">
        <v>11259</v>
      </c>
      <c r="G66" t="s">
        <v>13506</v>
      </c>
      <c r="H66" t="s">
        <v>4316</v>
      </c>
      <c r="I66" t="s">
        <v>13483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10970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10970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10971</v>
      </c>
      <c r="B106" t="s">
        <v>10971</v>
      </c>
      <c r="C106" t="s">
        <v>10973</v>
      </c>
      <c r="D106" t="s">
        <v>10975</v>
      </c>
      <c r="F106" t="s">
        <v>4360</v>
      </c>
      <c r="G106" t="s">
        <v>10970</v>
      </c>
      <c r="H106" t="s">
        <v>4361</v>
      </c>
      <c r="I106" t="s">
        <v>10977</v>
      </c>
      <c r="J106" t="s">
        <v>10979</v>
      </c>
      <c r="K106" t="s">
        <v>10975</v>
      </c>
      <c r="L106" t="s">
        <v>10981</v>
      </c>
      <c r="M106" t="s">
        <v>10980</v>
      </c>
      <c r="N106" s="25" t="s">
        <v>10982</v>
      </c>
    </row>
    <row r="107" spans="1:14">
      <c r="A107" t="s">
        <v>10972</v>
      </c>
      <c r="B107" t="s">
        <v>10971</v>
      </c>
      <c r="C107" t="s">
        <v>10974</v>
      </c>
      <c r="D107" t="s">
        <v>10975</v>
      </c>
      <c r="F107" t="s">
        <v>4360</v>
      </c>
      <c r="G107" t="s">
        <v>10976</v>
      </c>
      <c r="H107" t="s">
        <v>4361</v>
      </c>
      <c r="I107" t="s">
        <v>10978</v>
      </c>
      <c r="J107" t="s">
        <v>10979</v>
      </c>
      <c r="K107" t="s">
        <v>10975</v>
      </c>
      <c r="L107" t="s">
        <v>10981</v>
      </c>
      <c r="M107" t="s">
        <v>10980</v>
      </c>
      <c r="N107" s="25" t="s">
        <v>10982</v>
      </c>
    </row>
    <row r="108" spans="1:14">
      <c r="A108" t="s">
        <v>11193</v>
      </c>
      <c r="B108" t="s">
        <v>11193</v>
      </c>
      <c r="C108" t="s">
        <v>11198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11192</v>
      </c>
      <c r="J108" t="s">
        <v>11197</v>
      </c>
      <c r="K108" t="s">
        <v>8010</v>
      </c>
      <c r="L108" t="s">
        <v>11193</v>
      </c>
      <c r="M108" t="s">
        <v>26</v>
      </c>
      <c r="N108" t="s">
        <v>11195</v>
      </c>
    </row>
    <row r="109" spans="1:14">
      <c r="A109" t="s">
        <v>11194</v>
      </c>
      <c r="B109" t="s">
        <v>11194</v>
      </c>
      <c r="C109" t="s">
        <v>11199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11192</v>
      </c>
      <c r="J109" t="s">
        <v>11197</v>
      </c>
      <c r="K109" t="s">
        <v>8010</v>
      </c>
      <c r="L109" t="s">
        <v>11194</v>
      </c>
      <c r="M109" t="s">
        <v>26</v>
      </c>
      <c r="N109" t="s">
        <v>11196</v>
      </c>
    </row>
    <row r="110" spans="1:14">
      <c r="A110" t="s">
        <v>11200</v>
      </c>
      <c r="B110" t="s">
        <v>11200</v>
      </c>
      <c r="C110" t="s">
        <v>11208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11217</v>
      </c>
      <c r="J110" t="s">
        <v>11216</v>
      </c>
      <c r="K110" t="s">
        <v>8010</v>
      </c>
      <c r="L110" t="s">
        <v>11200</v>
      </c>
      <c r="M110" t="s">
        <v>26</v>
      </c>
      <c r="N110" t="s">
        <v>11218</v>
      </c>
    </row>
    <row r="111" spans="1:14">
      <c r="A111" t="s">
        <v>11201</v>
      </c>
      <c r="B111" t="s">
        <v>11201</v>
      </c>
      <c r="C111" t="s">
        <v>11209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11217</v>
      </c>
      <c r="J111" t="s">
        <v>11216</v>
      </c>
      <c r="K111" t="s">
        <v>8010</v>
      </c>
      <c r="L111" t="s">
        <v>11201</v>
      </c>
      <c r="M111" t="s">
        <v>26</v>
      </c>
      <c r="N111" t="s">
        <v>11219</v>
      </c>
    </row>
    <row r="112" spans="1:14">
      <c r="A112" t="s">
        <v>11202</v>
      </c>
      <c r="B112" t="s">
        <v>11202</v>
      </c>
      <c r="C112" t="s">
        <v>11210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11217</v>
      </c>
      <c r="J112" t="s">
        <v>11216</v>
      </c>
      <c r="K112" t="s">
        <v>8010</v>
      </c>
      <c r="L112" t="s">
        <v>11202</v>
      </c>
      <c r="M112" t="s">
        <v>26</v>
      </c>
      <c r="N112" t="s">
        <v>11220</v>
      </c>
    </row>
    <row r="113" spans="1:18">
      <c r="A113" t="s">
        <v>11203</v>
      </c>
      <c r="B113" t="s">
        <v>11203</v>
      </c>
      <c r="C113" t="s">
        <v>11211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11217</v>
      </c>
      <c r="J113" t="s">
        <v>11216</v>
      </c>
      <c r="K113" t="s">
        <v>8010</v>
      </c>
      <c r="L113" t="s">
        <v>11203</v>
      </c>
      <c r="M113" t="s">
        <v>26</v>
      </c>
      <c r="N113" t="s">
        <v>11221</v>
      </c>
    </row>
    <row r="114" spans="1:18">
      <c r="A114" t="s">
        <v>11204</v>
      </c>
      <c r="B114" t="s">
        <v>11204</v>
      </c>
      <c r="C114" t="s">
        <v>11212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11217</v>
      </c>
      <c r="J114" t="s">
        <v>11216</v>
      </c>
      <c r="K114" t="s">
        <v>8010</v>
      </c>
      <c r="L114" t="s">
        <v>11204</v>
      </c>
      <c r="M114" t="s">
        <v>26</v>
      </c>
      <c r="N114" t="s">
        <v>11222</v>
      </c>
    </row>
    <row r="115" spans="1:18">
      <c r="A115" t="s">
        <v>11205</v>
      </c>
      <c r="B115" t="s">
        <v>11205</v>
      </c>
      <c r="C115" t="s">
        <v>11213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11217</v>
      </c>
      <c r="J115" t="s">
        <v>11216</v>
      </c>
      <c r="K115" t="s">
        <v>8010</v>
      </c>
      <c r="L115" t="s">
        <v>11205</v>
      </c>
      <c r="M115" t="s">
        <v>26</v>
      </c>
      <c r="N115" t="s">
        <v>11223</v>
      </c>
    </row>
    <row r="116" spans="1:18">
      <c r="A116" t="s">
        <v>11206</v>
      </c>
      <c r="B116" t="s">
        <v>11206</v>
      </c>
      <c r="C116" t="s">
        <v>11214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11217</v>
      </c>
      <c r="J116" t="s">
        <v>11216</v>
      </c>
      <c r="K116" t="s">
        <v>8010</v>
      </c>
      <c r="L116" t="s">
        <v>11206</v>
      </c>
      <c r="M116" t="s">
        <v>26</v>
      </c>
      <c r="N116" t="s">
        <v>11224</v>
      </c>
    </row>
    <row r="117" spans="1:18">
      <c r="A117" t="s">
        <v>11207</v>
      </c>
      <c r="B117" t="s">
        <v>11207</v>
      </c>
      <c r="C117" t="s">
        <v>11215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11217</v>
      </c>
      <c r="J117" t="s">
        <v>11216</v>
      </c>
      <c r="K117" t="s">
        <v>8010</v>
      </c>
      <c r="L117" t="s">
        <v>11207</v>
      </c>
      <c r="M117" t="s">
        <v>26</v>
      </c>
      <c r="N117" t="s">
        <v>11225</v>
      </c>
    </row>
    <row r="118" spans="1:18">
      <c r="A118" t="s">
        <v>11231</v>
      </c>
      <c r="B118" t="s">
        <v>11231</v>
      </c>
      <c r="C118" t="s">
        <v>11238</v>
      </c>
      <c r="D118" t="s">
        <v>4548</v>
      </c>
      <c r="F118" t="s">
        <v>8472</v>
      </c>
      <c r="G118" t="s">
        <v>11237</v>
      </c>
      <c r="H118" t="str">
        <f>_xlfn.CONCAT(PrivateLibraryPath,"PCB/Bourns.PcbLib")</f>
        <v>../altium_lib_private/PCB/Bourns.PcbLib</v>
      </c>
      <c r="I118" t="s">
        <v>11235</v>
      </c>
      <c r="J118" t="s">
        <v>11226</v>
      </c>
      <c r="K118" t="s">
        <v>4548</v>
      </c>
      <c r="L118" t="s">
        <v>11231</v>
      </c>
      <c r="M118" t="s">
        <v>26</v>
      </c>
      <c r="N118" t="s">
        <v>11227</v>
      </c>
    </row>
    <row r="119" spans="1:18">
      <c r="A119" t="s">
        <v>11232</v>
      </c>
      <c r="B119" t="s">
        <v>11232</v>
      </c>
      <c r="C119" t="s">
        <v>11238</v>
      </c>
      <c r="D119" t="s">
        <v>4548</v>
      </c>
      <c r="F119" t="s">
        <v>8472</v>
      </c>
      <c r="G119" t="s">
        <v>11237</v>
      </c>
      <c r="H119" t="str">
        <f>_xlfn.CONCAT(PrivateLibraryPath,"PCB/Bourns.PcbLib")</f>
        <v>../altium_lib_private/PCB/Bourns.PcbLib</v>
      </c>
      <c r="I119" t="s">
        <v>11236</v>
      </c>
      <c r="J119" t="s">
        <v>11226</v>
      </c>
      <c r="K119" t="s">
        <v>4548</v>
      </c>
      <c r="L119" t="s">
        <v>11232</v>
      </c>
      <c r="M119" t="s">
        <v>26</v>
      </c>
      <c r="N119" t="s">
        <v>11228</v>
      </c>
    </row>
    <row r="120" spans="1:18">
      <c r="A120" t="s">
        <v>11233</v>
      </c>
      <c r="B120" t="s">
        <v>11233</v>
      </c>
      <c r="C120" t="s">
        <v>11238</v>
      </c>
      <c r="D120" t="s">
        <v>4548</v>
      </c>
      <c r="F120" t="s">
        <v>8472</v>
      </c>
      <c r="G120" t="s">
        <v>11237</v>
      </c>
      <c r="H120" t="str">
        <f>_xlfn.CONCAT(PrivateLibraryPath,"PCB/Bourns.PcbLib")</f>
        <v>../altium_lib_private/PCB/Bourns.PcbLib</v>
      </c>
      <c r="I120" t="s">
        <v>11236</v>
      </c>
      <c r="J120" t="s">
        <v>11226</v>
      </c>
      <c r="K120" t="s">
        <v>4548</v>
      </c>
      <c r="L120" t="s">
        <v>11233</v>
      </c>
      <c r="M120" t="s">
        <v>26</v>
      </c>
      <c r="N120" t="s">
        <v>11229</v>
      </c>
    </row>
    <row r="121" spans="1:18">
      <c r="A121" t="s">
        <v>11234</v>
      </c>
      <c r="B121" t="s">
        <v>11234</v>
      </c>
      <c r="C121" t="s">
        <v>11238</v>
      </c>
      <c r="D121" t="s">
        <v>4548</v>
      </c>
      <c r="F121" t="s">
        <v>8472</v>
      </c>
      <c r="G121" t="s">
        <v>11237</v>
      </c>
      <c r="H121" t="str">
        <f>_xlfn.CONCAT(PrivateLibraryPath,"PCB/Bourns.PcbLib")</f>
        <v>../altium_lib_private/PCB/Bourns.PcbLib</v>
      </c>
      <c r="I121" t="s">
        <v>11235</v>
      </c>
      <c r="J121" t="s">
        <v>11226</v>
      </c>
      <c r="K121" t="s">
        <v>4548</v>
      </c>
      <c r="L121" t="s">
        <v>11234</v>
      </c>
      <c r="M121" t="s">
        <v>26</v>
      </c>
      <c r="N121" t="s">
        <v>11230</v>
      </c>
    </row>
    <row r="122" spans="1:18">
      <c r="A122" t="s">
        <v>11254</v>
      </c>
      <c r="B122" t="s">
        <v>11254</v>
      </c>
      <c r="C122" t="s">
        <v>11260</v>
      </c>
      <c r="D122" t="s">
        <v>11256</v>
      </c>
      <c r="F122" t="s">
        <v>11259</v>
      </c>
      <c r="G122" t="s">
        <v>11258</v>
      </c>
      <c r="H122" t="str">
        <f>_xlfn.CONCAT(PrivateLibraryPath,"PCB/Camdenboss.PcbLib")</f>
        <v>../altium_lib_private/PCB/Camdenboss.PcbLib</v>
      </c>
      <c r="I122" t="s">
        <v>11254</v>
      </c>
      <c r="J122" t="s">
        <v>11257</v>
      </c>
      <c r="K122" t="s">
        <v>11256</v>
      </c>
      <c r="L122" t="s">
        <v>11254</v>
      </c>
      <c r="M122" t="s">
        <v>11253</v>
      </c>
      <c r="N122" t="s">
        <v>11255</v>
      </c>
      <c r="O122" t="s">
        <v>11256</v>
      </c>
      <c r="P122" t="s">
        <v>11254</v>
      </c>
      <c r="Q122" t="s">
        <v>12152</v>
      </c>
      <c r="R122">
        <v>2392779</v>
      </c>
    </row>
    <row r="123" spans="1:18">
      <c r="A123" t="s">
        <v>12176</v>
      </c>
      <c r="B123" t="s">
        <v>12176</v>
      </c>
      <c r="C123" t="s">
        <v>12403</v>
      </c>
      <c r="D123" t="s">
        <v>12154</v>
      </c>
      <c r="F123" t="s">
        <v>11259</v>
      </c>
      <c r="G123" t="s">
        <v>6988</v>
      </c>
      <c r="H123" s="39"/>
      <c r="I123" s="39"/>
      <c r="J123" t="s">
        <v>12399</v>
      </c>
      <c r="K123" t="s">
        <v>12155</v>
      </c>
      <c r="L123" t="s">
        <v>12159</v>
      </c>
      <c r="M123" t="s">
        <v>8466</v>
      </c>
      <c r="N123">
        <v>14021770</v>
      </c>
    </row>
    <row r="124" spans="1:18">
      <c r="A124" t="s">
        <v>12177</v>
      </c>
      <c r="B124" t="s">
        <v>12177</v>
      </c>
      <c r="C124" t="s">
        <v>12403</v>
      </c>
      <c r="D124" t="s">
        <v>12154</v>
      </c>
      <c r="F124" t="s">
        <v>11259</v>
      </c>
      <c r="G124" t="s">
        <v>6988</v>
      </c>
      <c r="H124" s="39"/>
      <c r="I124" s="39"/>
      <c r="J124" t="s">
        <v>12399</v>
      </c>
      <c r="K124" t="s">
        <v>12155</v>
      </c>
      <c r="L124" t="s">
        <v>12160</v>
      </c>
      <c r="M124" t="s">
        <v>8466</v>
      </c>
      <c r="N124">
        <v>14021767</v>
      </c>
    </row>
    <row r="125" spans="1:18">
      <c r="A125" t="s">
        <v>12153</v>
      </c>
      <c r="B125" t="s">
        <v>12153</v>
      </c>
      <c r="C125" t="s">
        <v>12403</v>
      </c>
      <c r="D125" t="s">
        <v>12154</v>
      </c>
      <c r="F125" t="s">
        <v>11259</v>
      </c>
      <c r="G125" t="s">
        <v>6988</v>
      </c>
      <c r="H125" s="39"/>
      <c r="I125" s="39"/>
      <c r="J125" t="s">
        <v>12399</v>
      </c>
      <c r="K125" t="s">
        <v>12155</v>
      </c>
      <c r="L125" t="s">
        <v>12158</v>
      </c>
      <c r="M125" t="s">
        <v>8466</v>
      </c>
      <c r="N125">
        <v>14021765</v>
      </c>
    </row>
    <row r="126" spans="1:18">
      <c r="A126" t="s">
        <v>12178</v>
      </c>
      <c r="B126" t="s">
        <v>12178</v>
      </c>
      <c r="C126" t="s">
        <v>12403</v>
      </c>
      <c r="D126" t="s">
        <v>12154</v>
      </c>
      <c r="F126" t="s">
        <v>11259</v>
      </c>
      <c r="G126" t="s">
        <v>6988</v>
      </c>
      <c r="H126" s="39"/>
      <c r="I126" s="39"/>
      <c r="J126" t="s">
        <v>12399</v>
      </c>
      <c r="K126" t="s">
        <v>12155</v>
      </c>
      <c r="L126" t="s">
        <v>12161</v>
      </c>
      <c r="M126" t="s">
        <v>8466</v>
      </c>
      <c r="N126">
        <v>14021766</v>
      </c>
    </row>
    <row r="127" spans="1:18">
      <c r="A127" t="s">
        <v>12179</v>
      </c>
      <c r="B127" t="s">
        <v>12179</v>
      </c>
      <c r="C127" t="s">
        <v>12403</v>
      </c>
      <c r="D127" t="s">
        <v>12154</v>
      </c>
      <c r="F127" t="s">
        <v>11259</v>
      </c>
      <c r="G127" t="s">
        <v>6988</v>
      </c>
      <c r="H127" s="39"/>
      <c r="I127" s="39"/>
      <c r="J127" t="s">
        <v>12399</v>
      </c>
      <c r="K127" t="s">
        <v>12155</v>
      </c>
      <c r="L127" t="s">
        <v>12162</v>
      </c>
      <c r="M127" t="s">
        <v>8466</v>
      </c>
      <c r="N127">
        <v>14021768</v>
      </c>
    </row>
    <row r="128" spans="1:18">
      <c r="A128" t="s">
        <v>12180</v>
      </c>
      <c r="B128" t="s">
        <v>12180</v>
      </c>
      <c r="C128" t="s">
        <v>12403</v>
      </c>
      <c r="D128" t="s">
        <v>12154</v>
      </c>
      <c r="F128" t="s">
        <v>11259</v>
      </c>
      <c r="G128" t="s">
        <v>6988</v>
      </c>
      <c r="H128" s="39"/>
      <c r="I128" s="39"/>
      <c r="J128" t="s">
        <v>12399</v>
      </c>
      <c r="K128" t="s">
        <v>12155</v>
      </c>
      <c r="L128" t="s">
        <v>12163</v>
      </c>
      <c r="M128" t="s">
        <v>8466</v>
      </c>
      <c r="N128">
        <v>14021769</v>
      </c>
    </row>
    <row r="129" spans="1:14">
      <c r="A129" t="s">
        <v>12181</v>
      </c>
      <c r="B129" t="s">
        <v>12181</v>
      </c>
      <c r="C129" t="s">
        <v>12403</v>
      </c>
      <c r="D129" t="s">
        <v>12154</v>
      </c>
      <c r="F129" t="s">
        <v>11259</v>
      </c>
      <c r="G129" t="s">
        <v>6988</v>
      </c>
      <c r="H129" s="39"/>
      <c r="I129" s="39"/>
      <c r="J129" t="s">
        <v>12399</v>
      </c>
      <c r="K129" t="s">
        <v>12155</v>
      </c>
      <c r="L129" t="s">
        <v>12164</v>
      </c>
      <c r="M129" t="s">
        <v>8466</v>
      </c>
      <c r="N129">
        <v>30136205</v>
      </c>
    </row>
    <row r="130" spans="1:14">
      <c r="A130" t="s">
        <v>12182</v>
      </c>
      <c r="B130" t="s">
        <v>12182</v>
      </c>
      <c r="C130" t="s">
        <v>12403</v>
      </c>
      <c r="D130" t="s">
        <v>12154</v>
      </c>
      <c r="F130" t="s">
        <v>11259</v>
      </c>
      <c r="G130" t="s">
        <v>6988</v>
      </c>
      <c r="H130" s="39"/>
      <c r="I130" s="39"/>
      <c r="J130" t="s">
        <v>12399</v>
      </c>
      <c r="K130" t="s">
        <v>12155</v>
      </c>
      <c r="L130" t="s">
        <v>12165</v>
      </c>
      <c r="M130" t="s">
        <v>8466</v>
      </c>
      <c r="N130">
        <v>14022426</v>
      </c>
    </row>
    <row r="131" spans="1:14">
      <c r="A131" t="s">
        <v>12183</v>
      </c>
      <c r="B131" t="s">
        <v>12183</v>
      </c>
      <c r="C131" t="s">
        <v>12403</v>
      </c>
      <c r="D131" t="s">
        <v>12154</v>
      </c>
      <c r="F131" t="s">
        <v>11259</v>
      </c>
      <c r="G131" t="s">
        <v>6988</v>
      </c>
      <c r="H131" s="39"/>
      <c r="I131" s="39"/>
      <c r="J131" t="s">
        <v>12399</v>
      </c>
      <c r="K131" t="s">
        <v>12155</v>
      </c>
      <c r="L131" t="s">
        <v>12166</v>
      </c>
      <c r="M131" t="s">
        <v>8466</v>
      </c>
      <c r="N131">
        <v>14022425</v>
      </c>
    </row>
    <row r="132" spans="1:14">
      <c r="A132" t="s">
        <v>12184</v>
      </c>
      <c r="B132" t="s">
        <v>12184</v>
      </c>
      <c r="C132" t="s">
        <v>12403</v>
      </c>
      <c r="D132" t="s">
        <v>12154</v>
      </c>
      <c r="F132" t="s">
        <v>11259</v>
      </c>
      <c r="G132" t="s">
        <v>6988</v>
      </c>
      <c r="H132" s="39"/>
      <c r="I132" s="39"/>
      <c r="J132" t="s">
        <v>12399</v>
      </c>
      <c r="K132" t="s">
        <v>12155</v>
      </c>
      <c r="L132" t="s">
        <v>12167</v>
      </c>
      <c r="M132" t="s">
        <v>8466</v>
      </c>
      <c r="N132">
        <v>14021772</v>
      </c>
    </row>
    <row r="133" spans="1:14">
      <c r="A133" t="s">
        <v>12185</v>
      </c>
      <c r="B133" t="s">
        <v>12185</v>
      </c>
      <c r="C133" t="s">
        <v>12404</v>
      </c>
      <c r="D133" t="s">
        <v>12154</v>
      </c>
      <c r="F133" t="s">
        <v>11259</v>
      </c>
      <c r="G133" t="s">
        <v>6988</v>
      </c>
      <c r="H133" s="39"/>
      <c r="I133" s="39"/>
      <c r="J133" t="s">
        <v>12400</v>
      </c>
      <c r="K133" t="s">
        <v>12155</v>
      </c>
      <c r="L133" t="s">
        <v>12168</v>
      </c>
      <c r="M133" t="s">
        <v>8466</v>
      </c>
      <c r="N133">
        <v>30136216</v>
      </c>
    </row>
    <row r="134" spans="1:14">
      <c r="A134" t="s">
        <v>12186</v>
      </c>
      <c r="B134" t="s">
        <v>12186</v>
      </c>
      <c r="C134" t="s">
        <v>12404</v>
      </c>
      <c r="D134" t="s">
        <v>12154</v>
      </c>
      <c r="F134" t="s">
        <v>11259</v>
      </c>
      <c r="G134" t="s">
        <v>6988</v>
      </c>
      <c r="H134" s="39"/>
      <c r="I134" s="39"/>
      <c r="J134" t="s">
        <v>12400</v>
      </c>
      <c r="K134" t="s">
        <v>12155</v>
      </c>
      <c r="L134" t="s">
        <v>12169</v>
      </c>
      <c r="M134" t="s">
        <v>8466</v>
      </c>
      <c r="N134">
        <v>30136217</v>
      </c>
    </row>
    <row r="135" spans="1:14">
      <c r="A135" t="s">
        <v>12157</v>
      </c>
      <c r="B135" t="s">
        <v>12157</v>
      </c>
      <c r="C135" t="s">
        <v>12404</v>
      </c>
      <c r="D135" t="s">
        <v>12154</v>
      </c>
      <c r="F135" t="s">
        <v>11259</v>
      </c>
      <c r="G135" t="s">
        <v>6988</v>
      </c>
      <c r="H135" s="39"/>
      <c r="I135" s="39"/>
      <c r="J135" t="s">
        <v>12400</v>
      </c>
      <c r="K135" t="s">
        <v>12155</v>
      </c>
      <c r="L135" t="s">
        <v>12156</v>
      </c>
      <c r="M135" t="s">
        <v>8466</v>
      </c>
      <c r="N135">
        <v>30136218</v>
      </c>
    </row>
    <row r="136" spans="1:14">
      <c r="A136" t="s">
        <v>12187</v>
      </c>
      <c r="B136" t="s">
        <v>12187</v>
      </c>
      <c r="C136" t="s">
        <v>12404</v>
      </c>
      <c r="D136" t="s">
        <v>12154</v>
      </c>
      <c r="F136" t="s">
        <v>11259</v>
      </c>
      <c r="G136" t="s">
        <v>6988</v>
      </c>
      <c r="H136" s="39"/>
      <c r="I136" s="39"/>
      <c r="J136" t="s">
        <v>12400</v>
      </c>
      <c r="K136" t="s">
        <v>12155</v>
      </c>
      <c r="L136" t="s">
        <v>12170</v>
      </c>
      <c r="M136" t="s">
        <v>8466</v>
      </c>
      <c r="N136">
        <v>30136219</v>
      </c>
    </row>
    <row r="137" spans="1:14">
      <c r="A137" t="s">
        <v>12188</v>
      </c>
      <c r="B137" t="s">
        <v>12188</v>
      </c>
      <c r="C137" t="s">
        <v>12404</v>
      </c>
      <c r="D137" t="s">
        <v>12154</v>
      </c>
      <c r="F137" t="s">
        <v>11259</v>
      </c>
      <c r="G137" t="s">
        <v>6988</v>
      </c>
      <c r="H137" s="39"/>
      <c r="I137" s="39"/>
      <c r="J137" t="s">
        <v>12400</v>
      </c>
      <c r="K137" t="s">
        <v>12155</v>
      </c>
      <c r="L137" t="s">
        <v>12171</v>
      </c>
      <c r="M137" t="s">
        <v>8466</v>
      </c>
      <c r="N137">
        <v>30136220</v>
      </c>
    </row>
    <row r="138" spans="1:14">
      <c r="A138" t="s">
        <v>12189</v>
      </c>
      <c r="B138" t="s">
        <v>12189</v>
      </c>
      <c r="C138" t="s">
        <v>12404</v>
      </c>
      <c r="D138" t="s">
        <v>12154</v>
      </c>
      <c r="F138" t="s">
        <v>11259</v>
      </c>
      <c r="G138" t="s">
        <v>6988</v>
      </c>
      <c r="H138" s="39"/>
      <c r="I138" s="39"/>
      <c r="J138" t="s">
        <v>12400</v>
      </c>
      <c r="K138" t="s">
        <v>12155</v>
      </c>
      <c r="L138" t="s">
        <v>12172</v>
      </c>
      <c r="M138" t="s">
        <v>8466</v>
      </c>
      <c r="N138">
        <v>30136221</v>
      </c>
    </row>
    <row r="139" spans="1:14">
      <c r="A139" t="s">
        <v>12190</v>
      </c>
      <c r="B139" t="s">
        <v>12190</v>
      </c>
      <c r="C139" t="s">
        <v>12404</v>
      </c>
      <c r="D139" t="s">
        <v>12154</v>
      </c>
      <c r="F139" t="s">
        <v>11259</v>
      </c>
      <c r="G139" t="s">
        <v>6988</v>
      </c>
      <c r="H139" s="39"/>
      <c r="I139" s="39"/>
      <c r="J139" t="s">
        <v>12400</v>
      </c>
      <c r="K139" t="s">
        <v>12155</v>
      </c>
      <c r="L139" t="s">
        <v>12173</v>
      </c>
      <c r="M139" t="s">
        <v>8466</v>
      </c>
      <c r="N139">
        <v>30136222</v>
      </c>
    </row>
    <row r="140" spans="1:14">
      <c r="A140" t="s">
        <v>12191</v>
      </c>
      <c r="B140" t="s">
        <v>12191</v>
      </c>
      <c r="C140" t="s">
        <v>12404</v>
      </c>
      <c r="D140" t="s">
        <v>12154</v>
      </c>
      <c r="F140" t="s">
        <v>11259</v>
      </c>
      <c r="G140" t="s">
        <v>6988</v>
      </c>
      <c r="H140" s="39"/>
      <c r="I140" s="39"/>
      <c r="J140" t="s">
        <v>12400</v>
      </c>
      <c r="K140" t="s">
        <v>12155</v>
      </c>
      <c r="L140" t="s">
        <v>12174</v>
      </c>
      <c r="M140" t="s">
        <v>8466</v>
      </c>
      <c r="N140">
        <v>30136223</v>
      </c>
    </row>
    <row r="141" spans="1:14">
      <c r="A141" t="s">
        <v>12192</v>
      </c>
      <c r="B141" t="s">
        <v>12192</v>
      </c>
      <c r="C141" t="s">
        <v>12404</v>
      </c>
      <c r="D141" t="s">
        <v>12154</v>
      </c>
      <c r="F141" t="s">
        <v>11259</v>
      </c>
      <c r="G141" t="s">
        <v>6988</v>
      </c>
      <c r="H141" s="39"/>
      <c r="I141" s="39"/>
      <c r="J141" t="s">
        <v>12400</v>
      </c>
      <c r="K141" t="s">
        <v>12155</v>
      </c>
      <c r="L141" t="s">
        <v>12175</v>
      </c>
      <c r="M141" t="s">
        <v>8466</v>
      </c>
      <c r="N141">
        <v>30136224</v>
      </c>
    </row>
    <row r="142" spans="1:14">
      <c r="A142" t="s">
        <v>12193</v>
      </c>
      <c r="B142" t="s">
        <v>12193</v>
      </c>
      <c r="C142" t="s">
        <v>12404</v>
      </c>
      <c r="D142" t="s">
        <v>12154</v>
      </c>
      <c r="F142" t="s">
        <v>11259</v>
      </c>
      <c r="G142" t="s">
        <v>6988</v>
      </c>
      <c r="H142" s="39"/>
      <c r="I142" s="39"/>
      <c r="J142" t="s">
        <v>12400</v>
      </c>
      <c r="K142" t="s">
        <v>12155</v>
      </c>
      <c r="L142" t="s">
        <v>12460</v>
      </c>
    </row>
    <row r="143" spans="1:14">
      <c r="A143" t="s">
        <v>12333</v>
      </c>
      <c r="B143" t="s">
        <v>12333</v>
      </c>
      <c r="C143" t="s">
        <v>12405</v>
      </c>
      <c r="D143" t="s">
        <v>12154</v>
      </c>
      <c r="F143" t="s">
        <v>11259</v>
      </c>
      <c r="G143" t="s">
        <v>7010</v>
      </c>
      <c r="H143" s="39"/>
      <c r="I143" s="39"/>
      <c r="J143" t="s">
        <v>12401</v>
      </c>
      <c r="K143" t="s">
        <v>12155</v>
      </c>
      <c r="L143" t="s">
        <v>12341</v>
      </c>
    </row>
    <row r="144" spans="1:14">
      <c r="A144" t="s">
        <v>12334</v>
      </c>
      <c r="B144" t="s">
        <v>12334</v>
      </c>
      <c r="C144" t="s">
        <v>12405</v>
      </c>
      <c r="D144" t="s">
        <v>12154</v>
      </c>
      <c r="F144" t="s">
        <v>11259</v>
      </c>
      <c r="G144" t="s">
        <v>7010</v>
      </c>
      <c r="H144" s="39"/>
      <c r="I144" s="39"/>
      <c r="J144" t="s">
        <v>12401</v>
      </c>
      <c r="K144" t="s">
        <v>12155</v>
      </c>
      <c r="L144" t="s">
        <v>12342</v>
      </c>
      <c r="M144" t="s">
        <v>8466</v>
      </c>
      <c r="N144">
        <v>14021779</v>
      </c>
    </row>
    <row r="145" spans="1:14">
      <c r="A145" t="s">
        <v>12335</v>
      </c>
      <c r="B145" t="s">
        <v>12335</v>
      </c>
      <c r="C145" t="s">
        <v>12405</v>
      </c>
      <c r="D145" t="s">
        <v>12154</v>
      </c>
      <c r="F145" t="s">
        <v>11259</v>
      </c>
      <c r="G145" t="s">
        <v>7010</v>
      </c>
      <c r="H145" s="39"/>
      <c r="I145" s="39"/>
      <c r="J145" t="s">
        <v>12401</v>
      </c>
      <c r="K145" t="s">
        <v>12155</v>
      </c>
      <c r="L145" t="s">
        <v>12343</v>
      </c>
      <c r="M145" t="s">
        <v>8466</v>
      </c>
      <c r="N145">
        <v>14021780</v>
      </c>
    </row>
    <row r="146" spans="1:14">
      <c r="A146" t="s">
        <v>12336</v>
      </c>
      <c r="B146" t="s">
        <v>12336</v>
      </c>
      <c r="C146" t="s">
        <v>12405</v>
      </c>
      <c r="D146" t="s">
        <v>12154</v>
      </c>
      <c r="F146" t="s">
        <v>11259</v>
      </c>
      <c r="G146" t="s">
        <v>7010</v>
      </c>
      <c r="H146" s="39"/>
      <c r="I146" s="39"/>
      <c r="J146" t="s">
        <v>12401</v>
      </c>
      <c r="K146" t="s">
        <v>12155</v>
      </c>
      <c r="L146" t="s">
        <v>12344</v>
      </c>
      <c r="M146" t="s">
        <v>8466</v>
      </c>
      <c r="N146">
        <v>14021781</v>
      </c>
    </row>
    <row r="147" spans="1:14">
      <c r="A147" t="s">
        <v>12337</v>
      </c>
      <c r="B147" t="s">
        <v>12337</v>
      </c>
      <c r="C147" t="s">
        <v>12405</v>
      </c>
      <c r="D147" t="s">
        <v>12154</v>
      </c>
      <c r="F147" t="s">
        <v>11259</v>
      </c>
      <c r="G147" t="s">
        <v>7010</v>
      </c>
      <c r="H147" s="39"/>
      <c r="I147" s="39"/>
      <c r="J147" t="s">
        <v>12401</v>
      </c>
      <c r="K147" t="s">
        <v>12155</v>
      </c>
      <c r="L147" t="s">
        <v>12345</v>
      </c>
    </row>
    <row r="148" spans="1:14">
      <c r="A148" t="s">
        <v>12338</v>
      </c>
      <c r="B148" t="s">
        <v>12338</v>
      </c>
      <c r="C148" t="s">
        <v>12405</v>
      </c>
      <c r="D148" t="s">
        <v>12154</v>
      </c>
      <c r="F148" t="s">
        <v>11259</v>
      </c>
      <c r="G148" t="s">
        <v>7010</v>
      </c>
      <c r="H148" s="39"/>
      <c r="I148" s="39"/>
      <c r="J148" t="s">
        <v>12401</v>
      </c>
      <c r="K148" t="s">
        <v>12155</v>
      </c>
      <c r="L148" t="s">
        <v>12346</v>
      </c>
    </row>
    <row r="149" spans="1:14">
      <c r="A149" t="s">
        <v>12339</v>
      </c>
      <c r="B149" t="s">
        <v>12339</v>
      </c>
      <c r="C149" t="s">
        <v>12405</v>
      </c>
      <c r="D149" t="s">
        <v>12154</v>
      </c>
      <c r="F149" t="s">
        <v>11259</v>
      </c>
      <c r="G149" t="s">
        <v>7010</v>
      </c>
      <c r="H149" s="39"/>
      <c r="I149" s="39"/>
      <c r="J149" t="s">
        <v>12401</v>
      </c>
      <c r="K149" t="s">
        <v>12155</v>
      </c>
      <c r="L149" t="s">
        <v>12347</v>
      </c>
    </row>
    <row r="150" spans="1:14">
      <c r="A150" t="s">
        <v>12340</v>
      </c>
      <c r="B150" t="s">
        <v>12340</v>
      </c>
      <c r="C150" t="s">
        <v>12405</v>
      </c>
      <c r="D150" t="s">
        <v>12154</v>
      </c>
      <c r="F150" t="s">
        <v>11259</v>
      </c>
      <c r="G150" t="s">
        <v>7010</v>
      </c>
      <c r="H150" s="39"/>
      <c r="I150" s="39"/>
      <c r="J150" t="s">
        <v>12401</v>
      </c>
      <c r="K150" t="s">
        <v>12155</v>
      </c>
      <c r="L150" t="s">
        <v>12348</v>
      </c>
    </row>
    <row r="151" spans="1:14">
      <c r="A151" t="s">
        <v>12349</v>
      </c>
      <c r="B151" t="s">
        <v>12349</v>
      </c>
      <c r="C151" t="s">
        <v>12406</v>
      </c>
      <c r="D151" t="s">
        <v>12154</v>
      </c>
      <c r="F151" t="s">
        <v>11259</v>
      </c>
      <c r="G151" t="s">
        <v>6988</v>
      </c>
      <c r="H151" s="39"/>
      <c r="I151" s="39"/>
      <c r="J151" t="s">
        <v>12402</v>
      </c>
      <c r="K151" t="s">
        <v>12155</v>
      </c>
      <c r="L151" t="s">
        <v>12359</v>
      </c>
      <c r="M151" t="s">
        <v>8466</v>
      </c>
      <c r="N151">
        <v>30223684</v>
      </c>
    </row>
    <row r="152" spans="1:14">
      <c r="A152" t="s">
        <v>12350</v>
      </c>
      <c r="B152" t="s">
        <v>12350</v>
      </c>
      <c r="C152" t="s">
        <v>12406</v>
      </c>
      <c r="D152" t="s">
        <v>12154</v>
      </c>
      <c r="F152" t="s">
        <v>11259</v>
      </c>
      <c r="G152" t="s">
        <v>6988</v>
      </c>
      <c r="H152" s="39"/>
      <c r="I152" s="39"/>
      <c r="J152" t="s">
        <v>12402</v>
      </c>
      <c r="K152" t="s">
        <v>12155</v>
      </c>
      <c r="L152" t="s">
        <v>12360</v>
      </c>
      <c r="M152" t="s">
        <v>8466</v>
      </c>
      <c r="N152">
        <v>30136412</v>
      </c>
    </row>
    <row r="153" spans="1:14">
      <c r="A153" t="s">
        <v>12351</v>
      </c>
      <c r="B153" t="s">
        <v>12351</v>
      </c>
      <c r="C153" t="s">
        <v>12406</v>
      </c>
      <c r="D153" t="s">
        <v>12154</v>
      </c>
      <c r="F153" t="s">
        <v>11259</v>
      </c>
      <c r="G153" t="s">
        <v>6988</v>
      </c>
      <c r="H153" s="39"/>
      <c r="I153" s="39"/>
      <c r="J153" t="s">
        <v>12402</v>
      </c>
      <c r="K153" t="s">
        <v>12155</v>
      </c>
      <c r="L153" t="s">
        <v>12361</v>
      </c>
      <c r="M153" t="s">
        <v>8466</v>
      </c>
      <c r="N153">
        <v>30136413</v>
      </c>
    </row>
    <row r="154" spans="1:14">
      <c r="A154" t="s">
        <v>12352</v>
      </c>
      <c r="B154" t="s">
        <v>12352</v>
      </c>
      <c r="C154" t="s">
        <v>12406</v>
      </c>
      <c r="D154" t="s">
        <v>12154</v>
      </c>
      <c r="F154" t="s">
        <v>11259</v>
      </c>
      <c r="G154" t="s">
        <v>6988</v>
      </c>
      <c r="H154" s="39"/>
      <c r="I154" s="39"/>
      <c r="J154" t="s">
        <v>12402</v>
      </c>
      <c r="K154" t="s">
        <v>12155</v>
      </c>
      <c r="L154" t="s">
        <v>12362</v>
      </c>
    </row>
    <row r="155" spans="1:14">
      <c r="A155" t="s">
        <v>12353</v>
      </c>
      <c r="B155" t="s">
        <v>12353</v>
      </c>
      <c r="C155" t="s">
        <v>12406</v>
      </c>
      <c r="D155" t="s">
        <v>12154</v>
      </c>
      <c r="F155" t="s">
        <v>11259</v>
      </c>
      <c r="G155" t="s">
        <v>6988</v>
      </c>
      <c r="H155" s="39"/>
      <c r="I155" s="39"/>
      <c r="J155" t="s">
        <v>12402</v>
      </c>
      <c r="K155" t="s">
        <v>12155</v>
      </c>
      <c r="L155" t="s">
        <v>12363</v>
      </c>
      <c r="M155" t="s">
        <v>8466</v>
      </c>
      <c r="N155">
        <v>30136415</v>
      </c>
    </row>
    <row r="156" spans="1:14">
      <c r="A156" t="s">
        <v>12354</v>
      </c>
      <c r="B156" t="s">
        <v>12354</v>
      </c>
      <c r="C156" t="s">
        <v>12406</v>
      </c>
      <c r="D156" t="s">
        <v>12154</v>
      </c>
      <c r="F156" t="s">
        <v>11259</v>
      </c>
      <c r="G156" t="s">
        <v>6988</v>
      </c>
      <c r="H156" s="39"/>
      <c r="I156" s="39"/>
      <c r="J156" t="s">
        <v>12402</v>
      </c>
      <c r="K156" t="s">
        <v>12155</v>
      </c>
      <c r="L156" t="s">
        <v>12364</v>
      </c>
    </row>
    <row r="157" spans="1:14">
      <c r="A157" t="s">
        <v>12355</v>
      </c>
      <c r="B157" t="s">
        <v>12355</v>
      </c>
      <c r="C157" t="s">
        <v>12406</v>
      </c>
      <c r="D157" t="s">
        <v>12154</v>
      </c>
      <c r="F157" t="s">
        <v>11259</v>
      </c>
      <c r="G157" t="s">
        <v>6988</v>
      </c>
      <c r="H157" s="39"/>
      <c r="I157" s="39"/>
      <c r="J157" t="s">
        <v>12402</v>
      </c>
      <c r="K157" t="s">
        <v>12155</v>
      </c>
      <c r="L157" t="s">
        <v>12365</v>
      </c>
    </row>
    <row r="158" spans="1:14">
      <c r="A158" t="s">
        <v>12356</v>
      </c>
      <c r="B158" t="s">
        <v>12356</v>
      </c>
      <c r="C158" t="s">
        <v>12406</v>
      </c>
      <c r="D158" t="s">
        <v>12154</v>
      </c>
      <c r="F158" t="s">
        <v>11259</v>
      </c>
      <c r="G158" t="s">
        <v>6988</v>
      </c>
      <c r="H158" s="39"/>
      <c r="I158" s="39"/>
      <c r="J158" t="s">
        <v>12402</v>
      </c>
      <c r="K158" t="s">
        <v>12155</v>
      </c>
      <c r="L158" t="s">
        <v>12366</v>
      </c>
      <c r="M158" t="s">
        <v>8466</v>
      </c>
    </row>
    <row r="159" spans="1:14">
      <c r="A159" t="s">
        <v>12357</v>
      </c>
      <c r="B159" t="s">
        <v>12357</v>
      </c>
      <c r="C159" t="s">
        <v>12406</v>
      </c>
      <c r="D159" t="s">
        <v>12154</v>
      </c>
      <c r="F159" t="s">
        <v>11259</v>
      </c>
      <c r="G159" t="s">
        <v>6988</v>
      </c>
      <c r="H159" s="39"/>
      <c r="I159" s="39"/>
      <c r="J159" t="s">
        <v>12402</v>
      </c>
      <c r="K159" t="s">
        <v>12155</v>
      </c>
      <c r="L159" t="s">
        <v>12367</v>
      </c>
      <c r="M159" t="s">
        <v>8466</v>
      </c>
      <c r="N159">
        <v>30223687</v>
      </c>
    </row>
    <row r="160" spans="1:14">
      <c r="A160" t="s">
        <v>12358</v>
      </c>
      <c r="B160" t="s">
        <v>12358</v>
      </c>
      <c r="C160" t="s">
        <v>12406</v>
      </c>
      <c r="D160" t="s">
        <v>12154</v>
      </c>
      <c r="F160" t="s">
        <v>11259</v>
      </c>
      <c r="G160" t="s">
        <v>6988</v>
      </c>
      <c r="H160" s="39"/>
      <c r="I160" s="39"/>
      <c r="J160" t="s">
        <v>12402</v>
      </c>
      <c r="K160" t="s">
        <v>12155</v>
      </c>
      <c r="L160" t="s">
        <v>12368</v>
      </c>
      <c r="M160" t="s">
        <v>8466</v>
      </c>
      <c r="N160">
        <v>30223688</v>
      </c>
    </row>
    <row r="161" spans="1:14">
      <c r="A161" t="s">
        <v>12369</v>
      </c>
      <c r="B161" t="s">
        <v>12369</v>
      </c>
      <c r="C161" t="s">
        <v>12407</v>
      </c>
      <c r="D161" t="s">
        <v>12154</v>
      </c>
      <c r="F161" t="s">
        <v>11259</v>
      </c>
      <c r="G161" t="s">
        <v>6988</v>
      </c>
      <c r="H161" s="39"/>
      <c r="I161" s="39"/>
      <c r="J161" t="s">
        <v>12485</v>
      </c>
      <c r="K161" t="s">
        <v>12155</v>
      </c>
      <c r="L161" t="s">
        <v>12410</v>
      </c>
    </row>
    <row r="162" spans="1:14">
      <c r="A162" t="s">
        <v>12370</v>
      </c>
      <c r="B162" t="s">
        <v>12370</v>
      </c>
      <c r="C162" t="s">
        <v>12407</v>
      </c>
      <c r="D162" t="s">
        <v>12154</v>
      </c>
      <c r="F162" t="s">
        <v>11259</v>
      </c>
      <c r="G162" t="s">
        <v>6988</v>
      </c>
      <c r="H162" s="39"/>
      <c r="I162" s="39"/>
      <c r="J162" t="s">
        <v>12485</v>
      </c>
      <c r="K162" t="s">
        <v>12155</v>
      </c>
      <c r="L162" t="s">
        <v>12411</v>
      </c>
    </row>
    <row r="163" spans="1:14">
      <c r="A163" t="s">
        <v>12371</v>
      </c>
      <c r="B163" t="s">
        <v>12371</v>
      </c>
      <c r="C163" t="s">
        <v>12407</v>
      </c>
      <c r="D163" t="s">
        <v>12154</v>
      </c>
      <c r="F163" t="s">
        <v>11259</v>
      </c>
      <c r="G163" t="s">
        <v>6988</v>
      </c>
      <c r="H163" s="39"/>
      <c r="I163" s="39"/>
      <c r="J163" t="s">
        <v>12485</v>
      </c>
      <c r="K163" t="s">
        <v>12155</v>
      </c>
      <c r="L163" t="s">
        <v>12412</v>
      </c>
    </row>
    <row r="164" spans="1:14">
      <c r="A164" t="s">
        <v>12372</v>
      </c>
      <c r="B164" t="s">
        <v>12372</v>
      </c>
      <c r="C164" t="s">
        <v>12407</v>
      </c>
      <c r="D164" t="s">
        <v>12154</v>
      </c>
      <c r="F164" t="s">
        <v>11259</v>
      </c>
      <c r="G164" t="s">
        <v>6988</v>
      </c>
      <c r="H164" s="39"/>
      <c r="I164" s="39"/>
      <c r="J164" t="s">
        <v>12485</v>
      </c>
      <c r="K164" t="s">
        <v>12155</v>
      </c>
      <c r="L164" t="s">
        <v>12413</v>
      </c>
    </row>
    <row r="165" spans="1:14">
      <c r="A165" t="s">
        <v>12373</v>
      </c>
      <c r="B165" t="s">
        <v>12373</v>
      </c>
      <c r="C165" t="s">
        <v>12407</v>
      </c>
      <c r="D165" t="s">
        <v>12154</v>
      </c>
      <c r="F165" t="s">
        <v>11259</v>
      </c>
      <c r="G165" t="s">
        <v>6988</v>
      </c>
      <c r="H165" s="39"/>
      <c r="I165" s="39"/>
      <c r="J165" t="s">
        <v>12485</v>
      </c>
      <c r="K165" t="s">
        <v>12155</v>
      </c>
      <c r="L165" t="s">
        <v>12414</v>
      </c>
    </row>
    <row r="166" spans="1:14">
      <c r="A166" t="s">
        <v>12374</v>
      </c>
      <c r="B166" t="s">
        <v>12374</v>
      </c>
      <c r="C166" t="s">
        <v>12407</v>
      </c>
      <c r="D166" t="s">
        <v>12154</v>
      </c>
      <c r="F166" t="s">
        <v>11259</v>
      </c>
      <c r="G166" t="s">
        <v>6988</v>
      </c>
      <c r="H166" s="39"/>
      <c r="I166" s="39"/>
      <c r="J166" t="s">
        <v>12485</v>
      </c>
      <c r="K166" t="s">
        <v>12155</v>
      </c>
      <c r="L166" t="s">
        <v>12415</v>
      </c>
    </row>
    <row r="167" spans="1:14">
      <c r="A167" t="s">
        <v>12375</v>
      </c>
      <c r="B167" t="s">
        <v>12375</v>
      </c>
      <c r="C167" t="s">
        <v>12407</v>
      </c>
      <c r="D167" t="s">
        <v>12154</v>
      </c>
      <c r="F167" t="s">
        <v>11259</v>
      </c>
      <c r="G167" t="s">
        <v>6988</v>
      </c>
      <c r="H167" s="39"/>
      <c r="I167" s="39"/>
      <c r="J167" t="s">
        <v>12485</v>
      </c>
      <c r="K167" t="s">
        <v>12155</v>
      </c>
      <c r="L167" t="s">
        <v>12416</v>
      </c>
    </row>
    <row r="168" spans="1:14">
      <c r="A168" t="s">
        <v>12376</v>
      </c>
      <c r="B168" t="s">
        <v>12376</v>
      </c>
      <c r="C168" t="s">
        <v>12407</v>
      </c>
      <c r="D168" t="s">
        <v>12154</v>
      </c>
      <c r="F168" t="s">
        <v>11259</v>
      </c>
      <c r="G168" t="s">
        <v>6988</v>
      </c>
      <c r="H168" s="39"/>
      <c r="I168" s="39"/>
      <c r="J168" t="s">
        <v>12485</v>
      </c>
      <c r="K168" t="s">
        <v>12155</v>
      </c>
      <c r="L168" t="s">
        <v>12417</v>
      </c>
      <c r="M168" t="s">
        <v>8466</v>
      </c>
      <c r="N168">
        <v>30223530</v>
      </c>
    </row>
    <row r="169" spans="1:14">
      <c r="A169" t="s">
        <v>12377</v>
      </c>
      <c r="B169" t="s">
        <v>12377</v>
      </c>
      <c r="C169" t="s">
        <v>12407</v>
      </c>
      <c r="D169" t="s">
        <v>12154</v>
      </c>
      <c r="F169" t="s">
        <v>11259</v>
      </c>
      <c r="G169" t="s">
        <v>6988</v>
      </c>
      <c r="H169" s="39"/>
      <c r="I169" s="39"/>
      <c r="J169" t="s">
        <v>12485</v>
      </c>
      <c r="K169" t="s">
        <v>12155</v>
      </c>
      <c r="L169" t="s">
        <v>12418</v>
      </c>
      <c r="M169" t="s">
        <v>8466</v>
      </c>
      <c r="N169">
        <v>30223531</v>
      </c>
    </row>
    <row r="170" spans="1:14">
      <c r="A170" t="s">
        <v>12378</v>
      </c>
      <c r="B170" t="s">
        <v>12378</v>
      </c>
      <c r="C170" t="s">
        <v>12407</v>
      </c>
      <c r="D170" t="s">
        <v>12154</v>
      </c>
      <c r="F170" t="s">
        <v>11259</v>
      </c>
      <c r="G170" t="s">
        <v>6988</v>
      </c>
      <c r="H170" s="39"/>
      <c r="I170" s="39"/>
      <c r="J170" t="s">
        <v>12485</v>
      </c>
      <c r="K170" t="s">
        <v>12155</v>
      </c>
      <c r="L170" t="s">
        <v>12419</v>
      </c>
      <c r="M170" t="s">
        <v>8466</v>
      </c>
    </row>
    <row r="171" spans="1:14">
      <c r="A171" t="s">
        <v>12379</v>
      </c>
      <c r="B171" t="s">
        <v>12379</v>
      </c>
      <c r="C171" t="s">
        <v>12408</v>
      </c>
      <c r="D171" t="s">
        <v>12154</v>
      </c>
      <c r="F171" t="s">
        <v>11259</v>
      </c>
      <c r="G171" t="s">
        <v>6988</v>
      </c>
      <c r="H171" s="39"/>
      <c r="I171" s="39"/>
      <c r="J171" t="s">
        <v>12486</v>
      </c>
      <c r="K171" t="s">
        <v>12155</v>
      </c>
      <c r="L171" t="s">
        <v>12420</v>
      </c>
      <c r="M171" t="s">
        <v>8466</v>
      </c>
      <c r="N171">
        <v>30136211</v>
      </c>
    </row>
    <row r="172" spans="1:14">
      <c r="A172" t="s">
        <v>12380</v>
      </c>
      <c r="B172" t="s">
        <v>12380</v>
      </c>
      <c r="C172" t="s">
        <v>12408</v>
      </c>
      <c r="D172" t="s">
        <v>12154</v>
      </c>
      <c r="F172" t="s">
        <v>11259</v>
      </c>
      <c r="G172" t="s">
        <v>6988</v>
      </c>
      <c r="H172" s="39"/>
      <c r="I172" s="39"/>
      <c r="J172" t="s">
        <v>12486</v>
      </c>
      <c r="K172" t="s">
        <v>12155</v>
      </c>
      <c r="L172" t="s">
        <v>12421</v>
      </c>
      <c r="M172" t="s">
        <v>8466</v>
      </c>
      <c r="N172">
        <v>14021753</v>
      </c>
    </row>
    <row r="173" spans="1:14">
      <c r="A173" t="s">
        <v>12381</v>
      </c>
      <c r="B173" t="s">
        <v>12381</v>
      </c>
      <c r="C173" t="s">
        <v>12408</v>
      </c>
      <c r="D173" t="s">
        <v>12154</v>
      </c>
      <c r="F173" t="s">
        <v>11259</v>
      </c>
      <c r="G173" t="s">
        <v>6988</v>
      </c>
      <c r="H173" s="39"/>
      <c r="I173" s="39"/>
      <c r="J173" t="s">
        <v>12486</v>
      </c>
      <c r="K173" t="s">
        <v>12155</v>
      </c>
      <c r="L173" t="s">
        <v>12422</v>
      </c>
      <c r="M173" t="s">
        <v>8466</v>
      </c>
      <c r="N173">
        <v>14021754</v>
      </c>
    </row>
    <row r="174" spans="1:14">
      <c r="A174" t="s">
        <v>12382</v>
      </c>
      <c r="B174" t="s">
        <v>12382</v>
      </c>
      <c r="C174" t="s">
        <v>12408</v>
      </c>
      <c r="D174" t="s">
        <v>12154</v>
      </c>
      <c r="F174" t="s">
        <v>11259</v>
      </c>
      <c r="G174" t="s">
        <v>6988</v>
      </c>
      <c r="H174" s="39"/>
      <c r="I174" s="39"/>
      <c r="J174" t="s">
        <v>12486</v>
      </c>
      <c r="K174" t="s">
        <v>12155</v>
      </c>
      <c r="L174" t="s">
        <v>12423</v>
      </c>
      <c r="M174" t="s">
        <v>8466</v>
      </c>
      <c r="N174">
        <v>14021757</v>
      </c>
    </row>
    <row r="175" spans="1:14">
      <c r="A175" t="s">
        <v>12383</v>
      </c>
      <c r="B175" t="s">
        <v>12383</v>
      </c>
      <c r="C175" t="s">
        <v>12408</v>
      </c>
      <c r="D175" t="s">
        <v>12154</v>
      </c>
      <c r="F175" t="s">
        <v>11259</v>
      </c>
      <c r="G175" t="s">
        <v>6988</v>
      </c>
      <c r="H175" s="39"/>
      <c r="I175" s="39"/>
      <c r="J175" t="s">
        <v>12486</v>
      </c>
      <c r="K175" t="s">
        <v>12155</v>
      </c>
      <c r="L175" t="s">
        <v>12424</v>
      </c>
      <c r="M175" t="s">
        <v>8466</v>
      </c>
      <c r="N175">
        <v>14021755</v>
      </c>
    </row>
    <row r="176" spans="1:14">
      <c r="A176" t="s">
        <v>12384</v>
      </c>
      <c r="B176" t="s">
        <v>12384</v>
      </c>
      <c r="C176" t="s">
        <v>12408</v>
      </c>
      <c r="D176" t="s">
        <v>12154</v>
      </c>
      <c r="F176" t="s">
        <v>11259</v>
      </c>
      <c r="G176" t="s">
        <v>6988</v>
      </c>
      <c r="H176" s="39"/>
      <c r="I176" s="39"/>
      <c r="J176" t="s">
        <v>12486</v>
      </c>
      <c r="K176" t="s">
        <v>12155</v>
      </c>
      <c r="L176" t="s">
        <v>12425</v>
      </c>
      <c r="M176" t="s">
        <v>8466</v>
      </c>
      <c r="N176">
        <v>14021756</v>
      </c>
    </row>
    <row r="177" spans="1:14">
      <c r="A177" t="s">
        <v>12385</v>
      </c>
      <c r="B177" t="s">
        <v>12385</v>
      </c>
      <c r="C177" t="s">
        <v>12408</v>
      </c>
      <c r="D177" t="s">
        <v>12154</v>
      </c>
      <c r="F177" t="s">
        <v>11259</v>
      </c>
      <c r="G177" t="s">
        <v>6988</v>
      </c>
      <c r="H177" s="39"/>
      <c r="I177" s="39"/>
      <c r="J177" t="s">
        <v>12486</v>
      </c>
      <c r="K177" t="s">
        <v>12155</v>
      </c>
      <c r="L177" t="s">
        <v>12426</v>
      </c>
    </row>
    <row r="178" spans="1:14">
      <c r="A178" t="s">
        <v>12386</v>
      </c>
      <c r="B178" t="s">
        <v>12386</v>
      </c>
      <c r="C178" t="s">
        <v>12408</v>
      </c>
      <c r="D178" t="s">
        <v>12154</v>
      </c>
      <c r="F178" t="s">
        <v>11259</v>
      </c>
      <c r="G178" t="s">
        <v>6988</v>
      </c>
      <c r="H178" s="39"/>
      <c r="I178" s="39"/>
      <c r="J178" t="s">
        <v>12486</v>
      </c>
      <c r="K178" t="s">
        <v>12155</v>
      </c>
      <c r="L178" t="s">
        <v>12427</v>
      </c>
      <c r="M178" t="s">
        <v>8466</v>
      </c>
      <c r="N178">
        <v>30136213</v>
      </c>
    </row>
    <row r="179" spans="1:14">
      <c r="A179" t="s">
        <v>12387</v>
      </c>
      <c r="B179" t="s">
        <v>12387</v>
      </c>
      <c r="C179" t="s">
        <v>12408</v>
      </c>
      <c r="D179" t="s">
        <v>12154</v>
      </c>
      <c r="F179" t="s">
        <v>11259</v>
      </c>
      <c r="G179" t="s">
        <v>6988</v>
      </c>
      <c r="H179" s="39"/>
      <c r="I179" s="39"/>
      <c r="J179" t="s">
        <v>12486</v>
      </c>
      <c r="K179" t="s">
        <v>12155</v>
      </c>
      <c r="L179" t="s">
        <v>12428</v>
      </c>
    </row>
    <row r="180" spans="1:14">
      <c r="A180" t="s">
        <v>12388</v>
      </c>
      <c r="B180" t="s">
        <v>12388</v>
      </c>
      <c r="C180" t="s">
        <v>12408</v>
      </c>
      <c r="D180" t="s">
        <v>12154</v>
      </c>
      <c r="F180" t="s">
        <v>11259</v>
      </c>
      <c r="G180" t="s">
        <v>6988</v>
      </c>
      <c r="H180" s="39"/>
      <c r="I180" s="39"/>
      <c r="J180" t="s">
        <v>12486</v>
      </c>
      <c r="K180" t="s">
        <v>12155</v>
      </c>
      <c r="L180" t="s">
        <v>12429</v>
      </c>
    </row>
    <row r="181" spans="1:14">
      <c r="A181" t="s">
        <v>12389</v>
      </c>
      <c r="B181" t="s">
        <v>12389</v>
      </c>
      <c r="C181" t="s">
        <v>12409</v>
      </c>
      <c r="D181" t="s">
        <v>12154</v>
      </c>
      <c r="F181" t="s">
        <v>11259</v>
      </c>
      <c r="G181" t="s">
        <v>6988</v>
      </c>
      <c r="H181" s="39"/>
      <c r="I181" s="39"/>
      <c r="J181" t="s">
        <v>12487</v>
      </c>
      <c r="K181" t="s">
        <v>12155</v>
      </c>
      <c r="L181" t="s">
        <v>12430</v>
      </c>
      <c r="M181" t="s">
        <v>8466</v>
      </c>
      <c r="N181">
        <v>14021809</v>
      </c>
    </row>
    <row r="182" spans="1:14">
      <c r="A182" t="s">
        <v>12390</v>
      </c>
      <c r="B182" t="s">
        <v>12390</v>
      </c>
      <c r="C182" t="s">
        <v>12409</v>
      </c>
      <c r="D182" t="s">
        <v>12154</v>
      </c>
      <c r="F182" t="s">
        <v>11259</v>
      </c>
      <c r="G182" t="s">
        <v>6988</v>
      </c>
      <c r="H182" s="39"/>
      <c r="I182" s="39"/>
      <c r="J182" t="s">
        <v>12487</v>
      </c>
      <c r="K182" t="s">
        <v>12155</v>
      </c>
      <c r="L182" t="s">
        <v>12431</v>
      </c>
      <c r="M182" t="s">
        <v>8466</v>
      </c>
      <c r="N182">
        <v>14021804</v>
      </c>
    </row>
    <row r="183" spans="1:14">
      <c r="A183" t="s">
        <v>12391</v>
      </c>
      <c r="B183" t="s">
        <v>12391</v>
      </c>
      <c r="C183" t="s">
        <v>12409</v>
      </c>
      <c r="D183" t="s">
        <v>12154</v>
      </c>
      <c r="F183" t="s">
        <v>11259</v>
      </c>
      <c r="G183" t="s">
        <v>6988</v>
      </c>
      <c r="H183" s="39"/>
      <c r="I183" s="39"/>
      <c r="J183" t="s">
        <v>12487</v>
      </c>
      <c r="K183" t="s">
        <v>12155</v>
      </c>
      <c r="L183" t="s">
        <v>12432</v>
      </c>
      <c r="M183" t="s">
        <v>8466</v>
      </c>
      <c r="N183">
        <v>14021805</v>
      </c>
    </row>
    <row r="184" spans="1:14">
      <c r="A184" t="s">
        <v>12392</v>
      </c>
      <c r="B184" t="s">
        <v>12392</v>
      </c>
      <c r="C184" t="s">
        <v>12409</v>
      </c>
      <c r="D184" t="s">
        <v>12154</v>
      </c>
      <c r="F184" t="s">
        <v>11259</v>
      </c>
      <c r="G184" t="s">
        <v>6988</v>
      </c>
      <c r="H184" s="39"/>
      <c r="I184" s="39"/>
      <c r="J184" t="s">
        <v>12487</v>
      </c>
      <c r="K184" t="s">
        <v>12155</v>
      </c>
      <c r="L184" t="s">
        <v>12433</v>
      </c>
      <c r="M184" t="s">
        <v>8466</v>
      </c>
      <c r="N184">
        <v>14021808</v>
      </c>
    </row>
    <row r="185" spans="1:14">
      <c r="A185" t="s">
        <v>12393</v>
      </c>
      <c r="B185" t="s">
        <v>12393</v>
      </c>
      <c r="C185" t="s">
        <v>12409</v>
      </c>
      <c r="D185" t="s">
        <v>12154</v>
      </c>
      <c r="F185" t="s">
        <v>11259</v>
      </c>
      <c r="G185" t="s">
        <v>6988</v>
      </c>
      <c r="H185" s="39"/>
      <c r="I185" s="39"/>
      <c r="J185" t="s">
        <v>12487</v>
      </c>
      <c r="K185" t="s">
        <v>12155</v>
      </c>
      <c r="L185" t="s">
        <v>12434</v>
      </c>
    </row>
    <row r="186" spans="1:14">
      <c r="A186" t="s">
        <v>12394</v>
      </c>
      <c r="B186" t="s">
        <v>12394</v>
      </c>
      <c r="C186" t="s">
        <v>12409</v>
      </c>
      <c r="D186" t="s">
        <v>12154</v>
      </c>
      <c r="F186" t="s">
        <v>11259</v>
      </c>
      <c r="G186" t="s">
        <v>6988</v>
      </c>
      <c r="H186" s="39"/>
      <c r="I186" s="39"/>
      <c r="J186" t="s">
        <v>12487</v>
      </c>
      <c r="K186" t="s">
        <v>12155</v>
      </c>
      <c r="L186" t="s">
        <v>12435</v>
      </c>
    </row>
    <row r="187" spans="1:14">
      <c r="A187" t="s">
        <v>12395</v>
      </c>
      <c r="B187" t="s">
        <v>12395</v>
      </c>
      <c r="C187" t="s">
        <v>12409</v>
      </c>
      <c r="D187" t="s">
        <v>12154</v>
      </c>
      <c r="F187" t="s">
        <v>11259</v>
      </c>
      <c r="G187" t="s">
        <v>6988</v>
      </c>
      <c r="H187" s="39"/>
      <c r="I187" s="39"/>
      <c r="J187" t="s">
        <v>12487</v>
      </c>
      <c r="K187" t="s">
        <v>12155</v>
      </c>
      <c r="L187" t="s">
        <v>12436</v>
      </c>
    </row>
    <row r="188" spans="1:14">
      <c r="A188" t="s">
        <v>12396</v>
      </c>
      <c r="B188" t="s">
        <v>12396</v>
      </c>
      <c r="C188" t="s">
        <v>12409</v>
      </c>
      <c r="D188" t="s">
        <v>12154</v>
      </c>
      <c r="F188" t="s">
        <v>11259</v>
      </c>
      <c r="G188" t="s">
        <v>6988</v>
      </c>
      <c r="H188" s="39"/>
      <c r="I188" s="39"/>
      <c r="J188" t="s">
        <v>12487</v>
      </c>
      <c r="K188" t="s">
        <v>12155</v>
      </c>
      <c r="L188" t="s">
        <v>12437</v>
      </c>
    </row>
    <row r="189" spans="1:14">
      <c r="A189" t="s">
        <v>12397</v>
      </c>
      <c r="B189" t="s">
        <v>12397</v>
      </c>
      <c r="C189" t="s">
        <v>12409</v>
      </c>
      <c r="D189" t="s">
        <v>12154</v>
      </c>
      <c r="F189" t="s">
        <v>11259</v>
      </c>
      <c r="G189" t="s">
        <v>6988</v>
      </c>
      <c r="H189" s="39"/>
      <c r="I189" s="39"/>
      <c r="J189" t="s">
        <v>12487</v>
      </c>
      <c r="K189" t="s">
        <v>12155</v>
      </c>
      <c r="L189" t="s">
        <v>12438</v>
      </c>
    </row>
    <row r="190" spans="1:14">
      <c r="A190" t="s">
        <v>12398</v>
      </c>
      <c r="B190" t="s">
        <v>12398</v>
      </c>
      <c r="C190" t="s">
        <v>12409</v>
      </c>
      <c r="D190" t="s">
        <v>12154</v>
      </c>
      <c r="F190" t="s">
        <v>11259</v>
      </c>
      <c r="G190" t="s">
        <v>6988</v>
      </c>
      <c r="H190" s="39"/>
      <c r="I190" s="39"/>
      <c r="J190" t="s">
        <v>12487</v>
      </c>
      <c r="K190" t="s">
        <v>12155</v>
      </c>
      <c r="L190" t="s">
        <v>12439</v>
      </c>
    </row>
    <row r="191" spans="1:14">
      <c r="A191" t="s">
        <v>12463</v>
      </c>
      <c r="B191" t="s">
        <v>12463</v>
      </c>
      <c r="C191" t="s">
        <v>12484</v>
      </c>
      <c r="D191" t="s">
        <v>12154</v>
      </c>
      <c r="F191" t="s">
        <v>11259</v>
      </c>
      <c r="G191" t="s">
        <v>6988</v>
      </c>
      <c r="H191" s="39"/>
      <c r="I191" s="39"/>
      <c r="J191" t="s">
        <v>12440</v>
      </c>
      <c r="K191" t="s">
        <v>12155</v>
      </c>
      <c r="L191" t="s">
        <v>12441</v>
      </c>
    </row>
    <row r="192" spans="1:14">
      <c r="A192" t="s">
        <v>12464</v>
      </c>
      <c r="B192" t="s">
        <v>12464</v>
      </c>
      <c r="C192" t="s">
        <v>12484</v>
      </c>
      <c r="D192" t="s">
        <v>12154</v>
      </c>
      <c r="F192" t="s">
        <v>11259</v>
      </c>
      <c r="G192" t="s">
        <v>6988</v>
      </c>
      <c r="H192" s="39"/>
      <c r="I192" s="39"/>
      <c r="J192" t="s">
        <v>12440</v>
      </c>
      <c r="K192" t="s">
        <v>12155</v>
      </c>
      <c r="L192" t="s">
        <v>12442</v>
      </c>
      <c r="M192" t="s">
        <v>8466</v>
      </c>
      <c r="N192">
        <v>30136393</v>
      </c>
    </row>
    <row r="193" spans="1:14">
      <c r="A193" t="s">
        <v>12465</v>
      </c>
      <c r="B193" t="s">
        <v>12465</v>
      </c>
      <c r="C193" t="s">
        <v>12484</v>
      </c>
      <c r="D193" t="s">
        <v>12154</v>
      </c>
      <c r="F193" t="s">
        <v>11259</v>
      </c>
      <c r="G193" t="s">
        <v>6988</v>
      </c>
      <c r="H193" s="39"/>
      <c r="I193" s="39"/>
      <c r="J193" t="s">
        <v>12440</v>
      </c>
      <c r="K193" t="s">
        <v>12155</v>
      </c>
      <c r="L193" t="s">
        <v>12443</v>
      </c>
      <c r="M193" t="s">
        <v>8466</v>
      </c>
      <c r="N193">
        <v>30136394</v>
      </c>
    </row>
    <row r="194" spans="1:14">
      <c r="A194" t="s">
        <v>12466</v>
      </c>
      <c r="B194" t="s">
        <v>12466</v>
      </c>
      <c r="C194" t="s">
        <v>12484</v>
      </c>
      <c r="D194" t="s">
        <v>12154</v>
      </c>
      <c r="F194" t="s">
        <v>11259</v>
      </c>
      <c r="G194" t="s">
        <v>6988</v>
      </c>
      <c r="H194" s="39"/>
      <c r="I194" s="39"/>
      <c r="J194" t="s">
        <v>12440</v>
      </c>
      <c r="K194" t="s">
        <v>12155</v>
      </c>
      <c r="L194" t="s">
        <v>12444</v>
      </c>
      <c r="M194" t="s">
        <v>8466</v>
      </c>
      <c r="N194">
        <v>30136395</v>
      </c>
    </row>
    <row r="195" spans="1:14">
      <c r="A195" t="s">
        <v>12467</v>
      </c>
      <c r="B195" t="s">
        <v>12467</v>
      </c>
      <c r="C195" t="s">
        <v>12484</v>
      </c>
      <c r="D195" t="s">
        <v>12154</v>
      </c>
      <c r="F195" t="s">
        <v>11259</v>
      </c>
      <c r="G195" t="s">
        <v>6988</v>
      </c>
      <c r="H195" s="39"/>
      <c r="I195" s="39"/>
      <c r="J195" t="s">
        <v>12440</v>
      </c>
      <c r="K195" t="s">
        <v>12155</v>
      </c>
      <c r="L195" t="s">
        <v>12445</v>
      </c>
      <c r="M195" t="s">
        <v>8466</v>
      </c>
      <c r="N195">
        <v>30136396</v>
      </c>
    </row>
    <row r="196" spans="1:14">
      <c r="A196" t="s">
        <v>12468</v>
      </c>
      <c r="B196" t="s">
        <v>12468</v>
      </c>
      <c r="C196" t="s">
        <v>12484</v>
      </c>
      <c r="D196" t="s">
        <v>12154</v>
      </c>
      <c r="F196" t="s">
        <v>11259</v>
      </c>
      <c r="G196" t="s">
        <v>6988</v>
      </c>
      <c r="H196" s="39"/>
      <c r="I196" s="39"/>
      <c r="J196" t="s">
        <v>12440</v>
      </c>
      <c r="K196" t="s">
        <v>12155</v>
      </c>
      <c r="L196" t="s">
        <v>12446</v>
      </c>
    </row>
    <row r="197" spans="1:14">
      <c r="A197" t="s">
        <v>12469</v>
      </c>
      <c r="B197" t="s">
        <v>12469</v>
      </c>
      <c r="C197" t="s">
        <v>12484</v>
      </c>
      <c r="D197" t="s">
        <v>12154</v>
      </c>
      <c r="F197" t="s">
        <v>11259</v>
      </c>
      <c r="G197" t="s">
        <v>6988</v>
      </c>
      <c r="H197" s="39"/>
      <c r="I197" s="39"/>
      <c r="J197" t="s">
        <v>12440</v>
      </c>
      <c r="K197" t="s">
        <v>12155</v>
      </c>
      <c r="L197" t="s">
        <v>12447</v>
      </c>
    </row>
    <row r="198" spans="1:14">
      <c r="A198" t="s">
        <v>12470</v>
      </c>
      <c r="B198" t="s">
        <v>12470</v>
      </c>
      <c r="C198" t="s">
        <v>12484</v>
      </c>
      <c r="D198" t="s">
        <v>12154</v>
      </c>
      <c r="F198" t="s">
        <v>11259</v>
      </c>
      <c r="G198" t="s">
        <v>6988</v>
      </c>
      <c r="H198" s="39"/>
      <c r="I198" s="39"/>
      <c r="J198" t="s">
        <v>12440</v>
      </c>
      <c r="K198" t="s">
        <v>12155</v>
      </c>
      <c r="L198" t="s">
        <v>12448</v>
      </c>
      <c r="M198" t="s">
        <v>8466</v>
      </c>
      <c r="N198">
        <v>30136399</v>
      </c>
    </row>
    <row r="199" spans="1:14">
      <c r="A199" t="s">
        <v>12471</v>
      </c>
      <c r="B199" t="s">
        <v>12471</v>
      </c>
      <c r="C199" t="s">
        <v>12484</v>
      </c>
      <c r="D199" t="s">
        <v>12154</v>
      </c>
      <c r="F199" t="s">
        <v>11259</v>
      </c>
      <c r="G199" t="s">
        <v>6988</v>
      </c>
      <c r="H199" s="39"/>
      <c r="I199" s="39"/>
      <c r="J199" t="s">
        <v>12440</v>
      </c>
      <c r="K199" t="s">
        <v>12155</v>
      </c>
      <c r="L199" t="s">
        <v>12449</v>
      </c>
      <c r="M199" t="s">
        <v>8466</v>
      </c>
      <c r="N199">
        <v>30136400</v>
      </c>
    </row>
    <row r="200" spans="1:14">
      <c r="A200" t="s">
        <v>12472</v>
      </c>
      <c r="B200" t="s">
        <v>12472</v>
      </c>
      <c r="C200" t="s">
        <v>12484</v>
      </c>
      <c r="D200" t="s">
        <v>12154</v>
      </c>
      <c r="F200" t="s">
        <v>11259</v>
      </c>
      <c r="G200" t="s">
        <v>6988</v>
      </c>
      <c r="H200" s="39"/>
      <c r="I200" s="39"/>
      <c r="J200" t="s">
        <v>12440</v>
      </c>
      <c r="K200" t="s">
        <v>12155</v>
      </c>
      <c r="L200" t="s">
        <v>12450</v>
      </c>
    </row>
    <row r="201" spans="1:14">
      <c r="A201" t="s">
        <v>12473</v>
      </c>
      <c r="B201" t="s">
        <v>12473</v>
      </c>
      <c r="C201" t="s">
        <v>12474</v>
      </c>
      <c r="D201" t="s">
        <v>12154</v>
      </c>
      <c r="F201" t="s">
        <v>11259</v>
      </c>
      <c r="G201" t="s">
        <v>6988</v>
      </c>
      <c r="H201" s="39"/>
      <c r="I201" s="39"/>
      <c r="J201" t="s">
        <v>12462</v>
      </c>
      <c r="K201" t="s">
        <v>12155</v>
      </c>
      <c r="L201" t="s">
        <v>12451</v>
      </c>
    </row>
    <row r="202" spans="1:14">
      <c r="A202" t="s">
        <v>12475</v>
      </c>
      <c r="B202" t="s">
        <v>12475</v>
      </c>
      <c r="C202" t="s">
        <v>12474</v>
      </c>
      <c r="D202" t="s">
        <v>12154</v>
      </c>
      <c r="F202" t="s">
        <v>11259</v>
      </c>
      <c r="G202" t="s">
        <v>6988</v>
      </c>
      <c r="H202" s="39"/>
      <c r="I202" s="39"/>
      <c r="J202" t="s">
        <v>12462</v>
      </c>
      <c r="K202" t="s">
        <v>12155</v>
      </c>
      <c r="L202" t="s">
        <v>12452</v>
      </c>
      <c r="M202" t="s">
        <v>8466</v>
      </c>
      <c r="N202">
        <v>30136403</v>
      </c>
    </row>
    <row r="203" spans="1:14">
      <c r="A203" t="s">
        <v>12476</v>
      </c>
      <c r="B203" t="s">
        <v>12476</v>
      </c>
      <c r="C203" t="s">
        <v>12474</v>
      </c>
      <c r="D203" t="s">
        <v>12154</v>
      </c>
      <c r="F203" t="s">
        <v>11259</v>
      </c>
      <c r="G203" t="s">
        <v>6988</v>
      </c>
      <c r="H203" s="39"/>
      <c r="I203" s="39"/>
      <c r="J203" t="s">
        <v>12462</v>
      </c>
      <c r="K203" t="s">
        <v>12155</v>
      </c>
      <c r="L203" t="s">
        <v>12453</v>
      </c>
      <c r="M203" t="s">
        <v>8466</v>
      </c>
      <c r="N203">
        <v>30136404</v>
      </c>
    </row>
    <row r="204" spans="1:14">
      <c r="A204" t="s">
        <v>12477</v>
      </c>
      <c r="B204" t="s">
        <v>12477</v>
      </c>
      <c r="C204" t="s">
        <v>12474</v>
      </c>
      <c r="D204" t="s">
        <v>12154</v>
      </c>
      <c r="F204" t="s">
        <v>11259</v>
      </c>
      <c r="G204" t="s">
        <v>6988</v>
      </c>
      <c r="H204" s="39"/>
      <c r="I204" s="39"/>
      <c r="J204" t="s">
        <v>12462</v>
      </c>
      <c r="K204" t="s">
        <v>12155</v>
      </c>
      <c r="L204" t="s">
        <v>12454</v>
      </c>
      <c r="M204" t="s">
        <v>8466</v>
      </c>
      <c r="N204">
        <v>30136405</v>
      </c>
    </row>
    <row r="205" spans="1:14">
      <c r="A205" t="s">
        <v>12478</v>
      </c>
      <c r="B205" t="s">
        <v>12478</v>
      </c>
      <c r="C205" t="s">
        <v>12474</v>
      </c>
      <c r="D205" t="s">
        <v>12154</v>
      </c>
      <c r="F205" t="s">
        <v>11259</v>
      </c>
      <c r="G205" t="s">
        <v>6988</v>
      </c>
      <c r="H205" s="39"/>
      <c r="I205" s="39"/>
      <c r="J205" t="s">
        <v>12462</v>
      </c>
      <c r="K205" t="s">
        <v>12155</v>
      </c>
      <c r="L205" t="s">
        <v>12455</v>
      </c>
    </row>
    <row r="206" spans="1:14">
      <c r="A206" t="s">
        <v>12479</v>
      </c>
      <c r="B206" t="s">
        <v>12479</v>
      </c>
      <c r="C206" t="s">
        <v>12474</v>
      </c>
      <c r="D206" t="s">
        <v>12154</v>
      </c>
      <c r="F206" t="s">
        <v>11259</v>
      </c>
      <c r="G206" t="s">
        <v>6988</v>
      </c>
      <c r="H206" s="39"/>
      <c r="I206" s="39"/>
      <c r="J206" t="s">
        <v>12462</v>
      </c>
      <c r="K206" t="s">
        <v>12155</v>
      </c>
      <c r="L206" t="s">
        <v>12456</v>
      </c>
    </row>
    <row r="207" spans="1:14">
      <c r="A207" t="s">
        <v>12480</v>
      </c>
      <c r="B207" t="s">
        <v>12480</v>
      </c>
      <c r="C207" t="s">
        <v>12474</v>
      </c>
      <c r="D207" t="s">
        <v>12154</v>
      </c>
      <c r="F207" t="s">
        <v>11259</v>
      </c>
      <c r="G207" t="s">
        <v>6988</v>
      </c>
      <c r="H207" s="39"/>
      <c r="I207" s="39"/>
      <c r="J207" t="s">
        <v>12462</v>
      </c>
      <c r="K207" t="s">
        <v>12155</v>
      </c>
      <c r="L207" t="s">
        <v>12457</v>
      </c>
    </row>
    <row r="208" spans="1:14">
      <c r="A208" t="s">
        <v>12481</v>
      </c>
      <c r="B208" t="s">
        <v>12481</v>
      </c>
      <c r="C208" t="s">
        <v>12474</v>
      </c>
      <c r="D208" t="s">
        <v>12154</v>
      </c>
      <c r="F208" t="s">
        <v>11259</v>
      </c>
      <c r="G208" t="s">
        <v>6988</v>
      </c>
      <c r="H208" s="39"/>
      <c r="I208" s="39"/>
      <c r="J208" t="s">
        <v>12462</v>
      </c>
      <c r="K208" t="s">
        <v>12155</v>
      </c>
      <c r="L208" t="s">
        <v>12458</v>
      </c>
      <c r="M208" t="s">
        <v>8466</v>
      </c>
      <c r="N208">
        <v>30136409</v>
      </c>
    </row>
    <row r="209" spans="1:14">
      <c r="A209" t="s">
        <v>12482</v>
      </c>
      <c r="B209" t="s">
        <v>12482</v>
      </c>
      <c r="C209" t="s">
        <v>12474</v>
      </c>
      <c r="D209" t="s">
        <v>12154</v>
      </c>
      <c r="F209" t="s">
        <v>11259</v>
      </c>
      <c r="G209" t="s">
        <v>6988</v>
      </c>
      <c r="H209" s="39"/>
      <c r="I209" s="39"/>
      <c r="J209" t="s">
        <v>12462</v>
      </c>
      <c r="K209" t="s">
        <v>12155</v>
      </c>
      <c r="L209" t="s">
        <v>12459</v>
      </c>
      <c r="M209" t="s">
        <v>8466</v>
      </c>
      <c r="N209">
        <v>30136410</v>
      </c>
    </row>
    <row r="210" spans="1:14">
      <c r="A210" t="s">
        <v>12483</v>
      </c>
      <c r="B210" t="s">
        <v>12483</v>
      </c>
      <c r="C210" t="s">
        <v>12474</v>
      </c>
      <c r="D210" t="s">
        <v>12154</v>
      </c>
      <c r="F210" t="s">
        <v>11259</v>
      </c>
      <c r="G210" t="s">
        <v>6988</v>
      </c>
      <c r="H210" s="39"/>
      <c r="I210" s="39"/>
      <c r="J210" t="s">
        <v>12462</v>
      </c>
      <c r="K210" t="s">
        <v>12155</v>
      </c>
      <c r="L210" t="s">
        <v>12461</v>
      </c>
    </row>
    <row r="211" spans="1:14">
      <c r="A211" t="s">
        <v>12241</v>
      </c>
      <c r="B211" t="s">
        <v>12241</v>
      </c>
      <c r="C211" t="s">
        <v>12242</v>
      </c>
      <c r="D211" t="s">
        <v>12243</v>
      </c>
      <c r="F211" t="s">
        <v>8472</v>
      </c>
      <c r="G211" t="s">
        <v>12244</v>
      </c>
      <c r="H211" t="s">
        <v>8474</v>
      </c>
      <c r="I211" t="s">
        <v>12241</v>
      </c>
      <c r="J211" t="s">
        <v>12245</v>
      </c>
      <c r="K211" t="s">
        <v>12243</v>
      </c>
      <c r="L211" t="s">
        <v>12241</v>
      </c>
      <c r="M211" t="s">
        <v>26</v>
      </c>
      <c r="N211" t="s">
        <v>12246</v>
      </c>
    </row>
    <row r="212" spans="1:14">
      <c r="A212" t="s">
        <v>12262</v>
      </c>
      <c r="B212" t="s">
        <v>12262</v>
      </c>
      <c r="C212" t="s">
        <v>12248</v>
      </c>
      <c r="D212" t="s">
        <v>12261</v>
      </c>
      <c r="F212" t="s">
        <v>8005</v>
      </c>
      <c r="G212" t="s">
        <v>8006</v>
      </c>
      <c r="H212" t="s">
        <v>8007</v>
      </c>
      <c r="I212" t="s">
        <v>12290</v>
      </c>
      <c r="J212" t="s">
        <v>12247</v>
      </c>
      <c r="K212" t="s">
        <v>12261</v>
      </c>
      <c r="L212" t="s">
        <v>12262</v>
      </c>
      <c r="M212" t="s">
        <v>26</v>
      </c>
      <c r="N212" t="s">
        <v>12292</v>
      </c>
    </row>
    <row r="213" spans="1:14">
      <c r="A213" t="s">
        <v>12263</v>
      </c>
      <c r="B213" t="s">
        <v>12263</v>
      </c>
      <c r="C213" t="s">
        <v>12249</v>
      </c>
      <c r="D213" t="s">
        <v>12261</v>
      </c>
      <c r="F213" t="s">
        <v>8005</v>
      </c>
      <c r="G213" t="s">
        <v>12289</v>
      </c>
      <c r="H213" t="s">
        <v>8007</v>
      </c>
      <c r="I213" t="s">
        <v>12291</v>
      </c>
      <c r="J213" t="s">
        <v>12247</v>
      </c>
      <c r="K213" t="s">
        <v>12261</v>
      </c>
      <c r="L213" t="s">
        <v>12263</v>
      </c>
      <c r="M213" t="s">
        <v>26</v>
      </c>
      <c r="N213" t="s">
        <v>12293</v>
      </c>
    </row>
    <row r="214" spans="1:14">
      <c r="A214" t="s">
        <v>12264</v>
      </c>
      <c r="B214" t="s">
        <v>12264</v>
      </c>
      <c r="C214" t="s">
        <v>12250</v>
      </c>
      <c r="D214" t="s">
        <v>12261</v>
      </c>
      <c r="F214" t="s">
        <v>8005</v>
      </c>
      <c r="G214" t="s">
        <v>12289</v>
      </c>
      <c r="H214" t="s">
        <v>8007</v>
      </c>
      <c r="I214" t="s">
        <v>12291</v>
      </c>
      <c r="J214" t="s">
        <v>12247</v>
      </c>
      <c r="K214" t="s">
        <v>12261</v>
      </c>
      <c r="L214" t="s">
        <v>12264</v>
      </c>
      <c r="M214" t="s">
        <v>26</v>
      </c>
      <c r="N214" t="s">
        <v>12294</v>
      </c>
    </row>
    <row r="215" spans="1:14">
      <c r="A215" t="s">
        <v>12265</v>
      </c>
      <c r="B215" t="s">
        <v>12265</v>
      </c>
      <c r="C215" t="s">
        <v>12249</v>
      </c>
      <c r="D215" t="s">
        <v>12261</v>
      </c>
      <c r="F215" t="s">
        <v>8005</v>
      </c>
      <c r="G215" t="s">
        <v>12289</v>
      </c>
      <c r="H215" t="s">
        <v>8007</v>
      </c>
      <c r="I215" t="s">
        <v>12291</v>
      </c>
      <c r="J215" t="s">
        <v>12247</v>
      </c>
      <c r="K215" t="s">
        <v>12261</v>
      </c>
      <c r="L215" t="s">
        <v>12265</v>
      </c>
      <c r="M215" t="s">
        <v>26</v>
      </c>
      <c r="N215" t="s">
        <v>12295</v>
      </c>
    </row>
    <row r="216" spans="1:14">
      <c r="A216" t="s">
        <v>12266</v>
      </c>
      <c r="B216" t="s">
        <v>12266</v>
      </c>
      <c r="C216" t="s">
        <v>12251</v>
      </c>
      <c r="D216" t="s">
        <v>12261</v>
      </c>
      <c r="F216" t="s">
        <v>8005</v>
      </c>
      <c r="G216" t="s">
        <v>12289</v>
      </c>
      <c r="H216" t="s">
        <v>8007</v>
      </c>
      <c r="I216" t="s">
        <v>12291</v>
      </c>
      <c r="J216" t="s">
        <v>12247</v>
      </c>
      <c r="K216" t="s">
        <v>12261</v>
      </c>
      <c r="L216" t="s">
        <v>12266</v>
      </c>
      <c r="M216" t="s">
        <v>26</v>
      </c>
      <c r="N216" t="s">
        <v>12296</v>
      </c>
    </row>
    <row r="217" spans="1:14">
      <c r="A217" t="s">
        <v>12267</v>
      </c>
      <c r="B217" t="s">
        <v>12267</v>
      </c>
      <c r="C217" t="s">
        <v>12252</v>
      </c>
      <c r="D217" t="s">
        <v>12261</v>
      </c>
      <c r="F217" t="s">
        <v>8005</v>
      </c>
      <c r="G217" t="s">
        <v>12289</v>
      </c>
      <c r="H217" t="s">
        <v>8007</v>
      </c>
      <c r="I217" t="s">
        <v>12291</v>
      </c>
      <c r="J217" t="s">
        <v>12247</v>
      </c>
      <c r="K217" t="s">
        <v>12261</v>
      </c>
      <c r="L217" t="s">
        <v>12267</v>
      </c>
      <c r="M217" t="s">
        <v>26</v>
      </c>
      <c r="N217" t="s">
        <v>12297</v>
      </c>
    </row>
    <row r="218" spans="1:14">
      <c r="A218" t="s">
        <v>12268</v>
      </c>
      <c r="B218" t="s">
        <v>12268</v>
      </c>
      <c r="C218" t="s">
        <v>12253</v>
      </c>
      <c r="D218" t="s">
        <v>12261</v>
      </c>
      <c r="F218" t="s">
        <v>8005</v>
      </c>
      <c r="G218" t="s">
        <v>8006</v>
      </c>
      <c r="H218" t="s">
        <v>8007</v>
      </c>
      <c r="I218" t="s">
        <v>12290</v>
      </c>
      <c r="J218" t="s">
        <v>12247</v>
      </c>
      <c r="K218" t="s">
        <v>12261</v>
      </c>
      <c r="L218" t="s">
        <v>12268</v>
      </c>
      <c r="M218" t="s">
        <v>26</v>
      </c>
      <c r="N218" t="s">
        <v>12298</v>
      </c>
    </row>
    <row r="219" spans="1:14">
      <c r="A219" t="s">
        <v>12269</v>
      </c>
      <c r="B219" t="s">
        <v>12269</v>
      </c>
      <c r="C219" t="s">
        <v>12252</v>
      </c>
      <c r="D219" t="s">
        <v>12261</v>
      </c>
      <c r="F219" t="s">
        <v>8005</v>
      </c>
      <c r="G219" t="s">
        <v>12289</v>
      </c>
      <c r="H219" t="s">
        <v>8007</v>
      </c>
      <c r="I219" t="s">
        <v>12291</v>
      </c>
      <c r="J219" t="s">
        <v>12247</v>
      </c>
      <c r="K219" t="s">
        <v>12261</v>
      </c>
      <c r="L219" t="s">
        <v>12269</v>
      </c>
      <c r="M219" t="s">
        <v>26</v>
      </c>
      <c r="N219" t="s">
        <v>12299</v>
      </c>
    </row>
    <row r="220" spans="1:14">
      <c r="A220" t="s">
        <v>12270</v>
      </c>
      <c r="B220" t="s">
        <v>12270</v>
      </c>
      <c r="C220" t="s">
        <v>12251</v>
      </c>
      <c r="D220" t="s">
        <v>12261</v>
      </c>
      <c r="F220" t="s">
        <v>8005</v>
      </c>
      <c r="G220" t="s">
        <v>12289</v>
      </c>
      <c r="H220" t="s">
        <v>8007</v>
      </c>
      <c r="I220" t="s">
        <v>12291</v>
      </c>
      <c r="J220" t="s">
        <v>12247</v>
      </c>
      <c r="K220" t="s">
        <v>12261</v>
      </c>
      <c r="L220" t="s">
        <v>12270</v>
      </c>
      <c r="M220" t="s">
        <v>26</v>
      </c>
      <c r="N220" t="s">
        <v>12300</v>
      </c>
    </row>
    <row r="221" spans="1:14">
      <c r="A221" t="s">
        <v>12271</v>
      </c>
      <c r="B221" t="s">
        <v>12271</v>
      </c>
      <c r="C221" t="s">
        <v>12254</v>
      </c>
      <c r="D221" t="s">
        <v>12261</v>
      </c>
      <c r="F221" t="s">
        <v>8005</v>
      </c>
      <c r="G221" t="s">
        <v>8006</v>
      </c>
      <c r="H221" t="s">
        <v>8007</v>
      </c>
      <c r="I221" t="s">
        <v>12290</v>
      </c>
      <c r="J221" t="s">
        <v>12247</v>
      </c>
      <c r="K221" t="s">
        <v>12261</v>
      </c>
      <c r="L221" t="s">
        <v>12271</v>
      </c>
      <c r="M221" t="s">
        <v>26</v>
      </c>
      <c r="N221" t="s">
        <v>12301</v>
      </c>
    </row>
    <row r="222" spans="1:14">
      <c r="A222" t="s">
        <v>12272</v>
      </c>
      <c r="B222" t="s">
        <v>12272</v>
      </c>
      <c r="C222" t="s">
        <v>12255</v>
      </c>
      <c r="D222" t="s">
        <v>12261</v>
      </c>
      <c r="F222" t="s">
        <v>8005</v>
      </c>
      <c r="G222" t="s">
        <v>8006</v>
      </c>
      <c r="H222" t="s">
        <v>8007</v>
      </c>
      <c r="I222" t="s">
        <v>12290</v>
      </c>
      <c r="J222" t="s">
        <v>12247</v>
      </c>
      <c r="K222" t="s">
        <v>12261</v>
      </c>
      <c r="L222" t="s">
        <v>12272</v>
      </c>
      <c r="M222" t="s">
        <v>26</v>
      </c>
      <c r="N222" t="s">
        <v>12302</v>
      </c>
    </row>
    <row r="223" spans="1:14">
      <c r="A223" t="s">
        <v>12273</v>
      </c>
      <c r="B223" t="s">
        <v>12273</v>
      </c>
      <c r="C223" t="s">
        <v>12254</v>
      </c>
      <c r="D223" t="s">
        <v>12261</v>
      </c>
      <c r="F223" t="s">
        <v>8005</v>
      </c>
      <c r="G223" t="s">
        <v>8006</v>
      </c>
      <c r="H223" t="s">
        <v>8007</v>
      </c>
      <c r="I223" t="s">
        <v>12290</v>
      </c>
      <c r="J223" t="s">
        <v>12247</v>
      </c>
      <c r="K223" t="s">
        <v>12261</v>
      </c>
      <c r="L223" t="s">
        <v>12273</v>
      </c>
      <c r="M223" t="s">
        <v>26</v>
      </c>
      <c r="N223" t="s">
        <v>12303</v>
      </c>
    </row>
    <row r="224" spans="1:14">
      <c r="A224" t="s">
        <v>12274</v>
      </c>
      <c r="B224" t="s">
        <v>12274</v>
      </c>
      <c r="C224" t="s">
        <v>12250</v>
      </c>
      <c r="D224" t="s">
        <v>12261</v>
      </c>
      <c r="F224" t="s">
        <v>8005</v>
      </c>
      <c r="G224" t="s">
        <v>12289</v>
      </c>
      <c r="H224" t="s">
        <v>8007</v>
      </c>
      <c r="I224" t="s">
        <v>12291</v>
      </c>
      <c r="J224" t="s">
        <v>12247</v>
      </c>
      <c r="K224" t="s">
        <v>12261</v>
      </c>
      <c r="L224" t="s">
        <v>12274</v>
      </c>
      <c r="M224" t="s">
        <v>26</v>
      </c>
      <c r="N224" t="s">
        <v>12304</v>
      </c>
    </row>
    <row r="225" spans="1:18">
      <c r="A225" t="s">
        <v>12275</v>
      </c>
      <c r="B225" t="s">
        <v>12275</v>
      </c>
      <c r="C225" t="s">
        <v>12250</v>
      </c>
      <c r="D225" t="s">
        <v>12261</v>
      </c>
      <c r="F225" t="s">
        <v>8005</v>
      </c>
      <c r="G225" t="s">
        <v>12289</v>
      </c>
      <c r="H225" t="s">
        <v>8007</v>
      </c>
      <c r="I225" t="s">
        <v>12291</v>
      </c>
      <c r="J225" t="s">
        <v>12247</v>
      </c>
      <c r="K225" t="s">
        <v>12261</v>
      </c>
      <c r="L225" t="s">
        <v>12275</v>
      </c>
      <c r="M225" t="s">
        <v>26</v>
      </c>
      <c r="N225" t="s">
        <v>12305</v>
      </c>
    </row>
    <row r="226" spans="1:18">
      <c r="A226" t="s">
        <v>12276</v>
      </c>
      <c r="B226" t="s">
        <v>12276</v>
      </c>
      <c r="C226" t="s">
        <v>12248</v>
      </c>
      <c r="D226" t="s">
        <v>12261</v>
      </c>
      <c r="F226" t="s">
        <v>8005</v>
      </c>
      <c r="G226" t="s">
        <v>8006</v>
      </c>
      <c r="H226" t="s">
        <v>8007</v>
      </c>
      <c r="I226" t="s">
        <v>12290</v>
      </c>
      <c r="J226" t="s">
        <v>12247</v>
      </c>
      <c r="K226" t="s">
        <v>12261</v>
      </c>
      <c r="L226" t="s">
        <v>12276</v>
      </c>
      <c r="M226" t="s">
        <v>26</v>
      </c>
      <c r="N226" t="s">
        <v>12306</v>
      </c>
    </row>
    <row r="227" spans="1:18">
      <c r="A227" t="s">
        <v>12277</v>
      </c>
      <c r="B227" t="s">
        <v>12277</v>
      </c>
      <c r="C227" t="s">
        <v>12248</v>
      </c>
      <c r="D227" t="s">
        <v>12261</v>
      </c>
      <c r="F227" t="s">
        <v>8005</v>
      </c>
      <c r="G227" t="s">
        <v>8006</v>
      </c>
      <c r="H227" t="s">
        <v>8007</v>
      </c>
      <c r="I227" t="s">
        <v>12290</v>
      </c>
      <c r="J227" t="s">
        <v>12247</v>
      </c>
      <c r="K227" t="s">
        <v>12261</v>
      </c>
      <c r="L227" t="s">
        <v>12277</v>
      </c>
      <c r="M227" t="s">
        <v>26</v>
      </c>
      <c r="N227" t="s">
        <v>12307</v>
      </c>
    </row>
    <row r="228" spans="1:18">
      <c r="A228" t="s">
        <v>12278</v>
      </c>
      <c r="B228" t="s">
        <v>12278</v>
      </c>
      <c r="C228" t="s">
        <v>12255</v>
      </c>
      <c r="D228" t="s">
        <v>12261</v>
      </c>
      <c r="F228" t="s">
        <v>8005</v>
      </c>
      <c r="G228" t="s">
        <v>8006</v>
      </c>
      <c r="H228" t="s">
        <v>8007</v>
      </c>
      <c r="I228" t="s">
        <v>12290</v>
      </c>
      <c r="J228" t="s">
        <v>12247</v>
      </c>
      <c r="K228" t="s">
        <v>12261</v>
      </c>
      <c r="L228" t="s">
        <v>12278</v>
      </c>
      <c r="M228" t="s">
        <v>26</v>
      </c>
      <c r="N228" t="s">
        <v>12308</v>
      </c>
    </row>
    <row r="229" spans="1:18">
      <c r="A229" t="s">
        <v>12279</v>
      </c>
      <c r="B229" t="s">
        <v>12279</v>
      </c>
      <c r="C229" t="s">
        <v>12252</v>
      </c>
      <c r="D229" t="s">
        <v>12261</v>
      </c>
      <c r="F229" t="s">
        <v>8005</v>
      </c>
      <c r="G229" t="s">
        <v>12289</v>
      </c>
      <c r="H229" t="s">
        <v>8007</v>
      </c>
      <c r="I229" t="s">
        <v>12291</v>
      </c>
      <c r="J229" t="s">
        <v>12247</v>
      </c>
      <c r="K229" t="s">
        <v>12261</v>
      </c>
      <c r="L229" t="s">
        <v>12279</v>
      </c>
      <c r="M229" t="s">
        <v>26</v>
      </c>
      <c r="N229" t="s">
        <v>12309</v>
      </c>
    </row>
    <row r="230" spans="1:18">
      <c r="A230" t="s">
        <v>12280</v>
      </c>
      <c r="B230" t="s">
        <v>12280</v>
      </c>
      <c r="C230" t="s">
        <v>12256</v>
      </c>
      <c r="D230" t="s">
        <v>12261</v>
      </c>
      <c r="F230" t="s">
        <v>8005</v>
      </c>
      <c r="G230" t="s">
        <v>12289</v>
      </c>
      <c r="H230" t="s">
        <v>8007</v>
      </c>
      <c r="I230" t="s">
        <v>12291</v>
      </c>
      <c r="J230" t="s">
        <v>12247</v>
      </c>
      <c r="K230" t="s">
        <v>12261</v>
      </c>
      <c r="L230" t="s">
        <v>12280</v>
      </c>
      <c r="M230" t="s">
        <v>26</v>
      </c>
      <c r="N230" t="s">
        <v>12310</v>
      </c>
    </row>
    <row r="231" spans="1:18">
      <c r="A231" t="s">
        <v>12281</v>
      </c>
      <c r="B231" t="s">
        <v>12281</v>
      </c>
      <c r="C231" t="s">
        <v>12250</v>
      </c>
      <c r="D231" t="s">
        <v>12261</v>
      </c>
      <c r="F231" t="s">
        <v>8005</v>
      </c>
      <c r="G231" t="s">
        <v>12289</v>
      </c>
      <c r="H231" t="s">
        <v>8007</v>
      </c>
      <c r="I231" t="s">
        <v>12291</v>
      </c>
      <c r="J231" t="s">
        <v>12247</v>
      </c>
      <c r="K231" t="s">
        <v>12261</v>
      </c>
      <c r="L231" t="s">
        <v>12281</v>
      </c>
      <c r="M231" t="s">
        <v>26</v>
      </c>
      <c r="N231" t="s">
        <v>12311</v>
      </c>
    </row>
    <row r="232" spans="1:18">
      <c r="A232" t="s">
        <v>12282</v>
      </c>
      <c r="B232" t="s">
        <v>12282</v>
      </c>
      <c r="C232" t="s">
        <v>12255</v>
      </c>
      <c r="D232" t="s">
        <v>12261</v>
      </c>
      <c r="F232" t="s">
        <v>8005</v>
      </c>
      <c r="G232" t="s">
        <v>8006</v>
      </c>
      <c r="H232" t="s">
        <v>8007</v>
      </c>
      <c r="I232" t="s">
        <v>12290</v>
      </c>
      <c r="J232" t="s">
        <v>12247</v>
      </c>
      <c r="K232" t="s">
        <v>12261</v>
      </c>
      <c r="L232" t="s">
        <v>12282</v>
      </c>
      <c r="M232" t="s">
        <v>26</v>
      </c>
      <c r="N232" t="s">
        <v>12312</v>
      </c>
    </row>
    <row r="233" spans="1:18">
      <c r="A233" t="s">
        <v>12283</v>
      </c>
      <c r="B233" t="s">
        <v>12283</v>
      </c>
      <c r="C233" t="s">
        <v>12257</v>
      </c>
      <c r="D233" t="s">
        <v>12261</v>
      </c>
      <c r="F233" t="s">
        <v>8005</v>
      </c>
      <c r="G233" t="s">
        <v>8006</v>
      </c>
      <c r="H233" t="s">
        <v>8007</v>
      </c>
      <c r="I233" t="s">
        <v>12290</v>
      </c>
      <c r="J233" t="s">
        <v>12247</v>
      </c>
      <c r="K233" t="s">
        <v>12261</v>
      </c>
      <c r="L233" t="s">
        <v>12283</v>
      </c>
      <c r="M233" t="s">
        <v>26</v>
      </c>
      <c r="N233" t="s">
        <v>12313</v>
      </c>
    </row>
    <row r="234" spans="1:18">
      <c r="A234" t="s">
        <v>12284</v>
      </c>
      <c r="B234" t="s">
        <v>12284</v>
      </c>
      <c r="C234" t="s">
        <v>12258</v>
      </c>
      <c r="D234" t="s">
        <v>12261</v>
      </c>
      <c r="F234" t="s">
        <v>8005</v>
      </c>
      <c r="G234" t="s">
        <v>12289</v>
      </c>
      <c r="H234" t="s">
        <v>8007</v>
      </c>
      <c r="I234" t="s">
        <v>12291</v>
      </c>
      <c r="J234" t="s">
        <v>12247</v>
      </c>
      <c r="K234" t="s">
        <v>12261</v>
      </c>
      <c r="L234" t="s">
        <v>12284</v>
      </c>
      <c r="M234" t="s">
        <v>26</v>
      </c>
      <c r="N234" t="s">
        <v>12314</v>
      </c>
    </row>
    <row r="235" spans="1:18">
      <c r="A235" t="s">
        <v>12285</v>
      </c>
      <c r="B235" t="s">
        <v>12285</v>
      </c>
      <c r="C235" t="s">
        <v>12254</v>
      </c>
      <c r="D235" t="s">
        <v>12261</v>
      </c>
      <c r="F235" t="s">
        <v>8005</v>
      </c>
      <c r="G235" t="s">
        <v>8006</v>
      </c>
      <c r="H235" t="s">
        <v>8007</v>
      </c>
      <c r="I235" t="s">
        <v>12290</v>
      </c>
      <c r="J235" t="s">
        <v>12247</v>
      </c>
      <c r="K235" t="s">
        <v>12261</v>
      </c>
      <c r="L235" t="s">
        <v>12285</v>
      </c>
      <c r="M235" t="s">
        <v>26</v>
      </c>
      <c r="N235" t="s">
        <v>12315</v>
      </c>
    </row>
    <row r="236" spans="1:18">
      <c r="A236" t="s">
        <v>12286</v>
      </c>
      <c r="B236" t="s">
        <v>12286</v>
      </c>
      <c r="C236" t="s">
        <v>12259</v>
      </c>
      <c r="D236" t="s">
        <v>12261</v>
      </c>
      <c r="F236" t="s">
        <v>8005</v>
      </c>
      <c r="G236" t="s">
        <v>8006</v>
      </c>
      <c r="H236" t="s">
        <v>8007</v>
      </c>
      <c r="I236" t="s">
        <v>12290</v>
      </c>
      <c r="J236" t="s">
        <v>12247</v>
      </c>
      <c r="K236" t="s">
        <v>12261</v>
      </c>
      <c r="L236" t="s">
        <v>12286</v>
      </c>
      <c r="M236" t="s">
        <v>26</v>
      </c>
      <c r="N236" t="s">
        <v>12316</v>
      </c>
    </row>
    <row r="237" spans="1:18">
      <c r="A237" t="s">
        <v>12287</v>
      </c>
      <c r="B237" t="s">
        <v>12287</v>
      </c>
      <c r="C237" t="s">
        <v>12260</v>
      </c>
      <c r="D237" t="s">
        <v>12261</v>
      </c>
      <c r="F237" t="s">
        <v>8005</v>
      </c>
      <c r="G237" t="s">
        <v>12289</v>
      </c>
      <c r="H237" t="s">
        <v>8007</v>
      </c>
      <c r="I237" t="s">
        <v>12291</v>
      </c>
      <c r="J237" t="s">
        <v>12247</v>
      </c>
      <c r="K237" t="s">
        <v>12261</v>
      </c>
      <c r="L237" t="s">
        <v>12287</v>
      </c>
      <c r="M237" t="s">
        <v>26</v>
      </c>
      <c r="N237" t="s">
        <v>12317</v>
      </c>
    </row>
    <row r="238" spans="1:18">
      <c r="A238" t="s">
        <v>12288</v>
      </c>
      <c r="B238" t="s">
        <v>12288</v>
      </c>
      <c r="C238" t="s">
        <v>12253</v>
      </c>
      <c r="D238" t="s">
        <v>12261</v>
      </c>
      <c r="F238" t="s">
        <v>8005</v>
      </c>
      <c r="G238" t="s">
        <v>8006</v>
      </c>
      <c r="H238" t="s">
        <v>8007</v>
      </c>
      <c r="I238" t="s">
        <v>12290</v>
      </c>
      <c r="J238" t="s">
        <v>12247</v>
      </c>
      <c r="K238" t="s">
        <v>12261</v>
      </c>
      <c r="L238" t="s">
        <v>12288</v>
      </c>
      <c r="M238" t="s">
        <v>26</v>
      </c>
      <c r="N238" t="s">
        <v>12318</v>
      </c>
    </row>
    <row r="239" spans="1:18">
      <c r="A239" t="s">
        <v>12587</v>
      </c>
      <c r="B239" t="s">
        <v>12587</v>
      </c>
      <c r="C239" t="s">
        <v>12595</v>
      </c>
      <c r="D239" t="s">
        <v>12596</v>
      </c>
      <c r="F239" t="s">
        <v>8472</v>
      </c>
      <c r="G239" t="s">
        <v>12593</v>
      </c>
      <c r="H239" t="s">
        <v>8474</v>
      </c>
      <c r="I239" t="s">
        <v>12592</v>
      </c>
      <c r="J239" t="s">
        <v>12614</v>
      </c>
      <c r="K239" t="s">
        <v>12596</v>
      </c>
      <c r="L239">
        <v>7346710</v>
      </c>
      <c r="M239" t="s">
        <v>8466</v>
      </c>
      <c r="N239">
        <v>30403424</v>
      </c>
      <c r="O239" t="s">
        <v>12596</v>
      </c>
      <c r="P239">
        <v>7346710</v>
      </c>
      <c r="Q239" t="s">
        <v>11253</v>
      </c>
      <c r="R239">
        <v>7346710</v>
      </c>
    </row>
    <row r="240" spans="1:18">
      <c r="A240" t="s">
        <v>12597</v>
      </c>
      <c r="B240" t="s">
        <v>12597</v>
      </c>
      <c r="C240" t="s">
        <v>12601</v>
      </c>
      <c r="D240" t="s">
        <v>12596</v>
      </c>
      <c r="F240" t="s">
        <v>8472</v>
      </c>
      <c r="G240" t="s">
        <v>12594</v>
      </c>
      <c r="H240" t="s">
        <v>8474</v>
      </c>
      <c r="I240" t="s">
        <v>12607</v>
      </c>
      <c r="J240" t="s">
        <v>12619</v>
      </c>
      <c r="K240" t="s">
        <v>12596</v>
      </c>
      <c r="L240" t="s">
        <v>12618</v>
      </c>
      <c r="M240" t="s">
        <v>11253</v>
      </c>
      <c r="N240" t="s">
        <v>12618</v>
      </c>
    </row>
    <row r="241" spans="1:18">
      <c r="A241" t="s">
        <v>12589</v>
      </c>
      <c r="B241" t="s">
        <v>12589</v>
      </c>
      <c r="C241" t="s">
        <v>12590</v>
      </c>
      <c r="D241" t="s">
        <v>12596</v>
      </c>
      <c r="F241" t="s">
        <v>8472</v>
      </c>
      <c r="G241" t="s">
        <v>12594</v>
      </c>
      <c r="H241" t="s">
        <v>8474</v>
      </c>
      <c r="I241" t="s">
        <v>12608</v>
      </c>
      <c r="J241" t="s">
        <v>12615</v>
      </c>
      <c r="K241" t="s">
        <v>12596</v>
      </c>
      <c r="L241">
        <v>7346704</v>
      </c>
      <c r="M241" t="s">
        <v>8466</v>
      </c>
      <c r="N241">
        <v>30403423</v>
      </c>
      <c r="O241" t="s">
        <v>12596</v>
      </c>
      <c r="P241" t="s">
        <v>12616</v>
      </c>
      <c r="Q241" t="s">
        <v>11253</v>
      </c>
      <c r="R241" t="s">
        <v>12616</v>
      </c>
    </row>
    <row r="242" spans="1:18">
      <c r="A242" t="s">
        <v>12588</v>
      </c>
      <c r="B242" t="s">
        <v>12588</v>
      </c>
      <c r="C242" t="s">
        <v>12591</v>
      </c>
      <c r="D242" t="s">
        <v>12596</v>
      </c>
      <c r="F242" t="s">
        <v>8472</v>
      </c>
      <c r="G242" t="s">
        <v>12594</v>
      </c>
      <c r="H242" t="s">
        <v>8474</v>
      </c>
      <c r="I242" t="s">
        <v>12592</v>
      </c>
      <c r="J242" t="s">
        <v>12622</v>
      </c>
      <c r="K242" t="s">
        <v>12596</v>
      </c>
      <c r="L242">
        <v>7346716</v>
      </c>
      <c r="M242" t="s">
        <v>8466</v>
      </c>
      <c r="N242">
        <v>30395366</v>
      </c>
      <c r="O242" t="s">
        <v>12596</v>
      </c>
      <c r="P242" t="s">
        <v>12617</v>
      </c>
      <c r="Q242" t="s">
        <v>11253</v>
      </c>
      <c r="R242" t="s">
        <v>12617</v>
      </c>
    </row>
    <row r="243" spans="1:18">
      <c r="A243" t="s">
        <v>12598</v>
      </c>
      <c r="B243" t="s">
        <v>12598</v>
      </c>
      <c r="C243" t="s">
        <v>12602</v>
      </c>
      <c r="D243" t="s">
        <v>12596</v>
      </c>
      <c r="F243" t="s">
        <v>8472</v>
      </c>
      <c r="G243" t="s">
        <v>12594</v>
      </c>
      <c r="H243" t="s">
        <v>8474</v>
      </c>
      <c r="I243" t="s">
        <v>12609</v>
      </c>
      <c r="J243" t="s">
        <v>12621</v>
      </c>
      <c r="K243" t="s">
        <v>12596</v>
      </c>
      <c r="L243" t="s">
        <v>12620</v>
      </c>
      <c r="M243" t="s">
        <v>11253</v>
      </c>
      <c r="N243" t="s">
        <v>12620</v>
      </c>
      <c r="O243" t="s">
        <v>12596</v>
      </c>
    </row>
    <row r="244" spans="1:18">
      <c r="A244" t="s">
        <v>12599</v>
      </c>
      <c r="B244" t="s">
        <v>12599</v>
      </c>
      <c r="C244" t="s">
        <v>12603</v>
      </c>
      <c r="D244" t="s">
        <v>12596</v>
      </c>
      <c r="F244" t="s">
        <v>8472</v>
      </c>
      <c r="G244" t="s">
        <v>12594</v>
      </c>
      <c r="H244" t="s">
        <v>8474</v>
      </c>
      <c r="I244" t="s">
        <v>12610</v>
      </c>
      <c r="J244" t="s">
        <v>12624</v>
      </c>
      <c r="K244" t="s">
        <v>12596</v>
      </c>
      <c r="L244" t="s">
        <v>12623</v>
      </c>
      <c r="M244" t="s">
        <v>11253</v>
      </c>
      <c r="N244" t="s">
        <v>12623</v>
      </c>
      <c r="O244" t="s">
        <v>12596</v>
      </c>
      <c r="Q244" t="s">
        <v>11253</v>
      </c>
      <c r="R244" t="s">
        <v>12613</v>
      </c>
    </row>
    <row r="245" spans="1:18">
      <c r="A245" t="s">
        <v>12600</v>
      </c>
      <c r="B245" t="s">
        <v>12600</v>
      </c>
      <c r="C245" t="s">
        <v>12604</v>
      </c>
      <c r="D245" t="s">
        <v>12596</v>
      </c>
      <c r="F245" t="s">
        <v>8472</v>
      </c>
      <c r="G245" t="s">
        <v>12594</v>
      </c>
      <c r="H245" t="s">
        <v>8474</v>
      </c>
      <c r="I245" t="s">
        <v>12611</v>
      </c>
      <c r="J245" t="s">
        <v>12626</v>
      </c>
      <c r="K245" t="s">
        <v>12596</v>
      </c>
      <c r="L245" t="s">
        <v>12625</v>
      </c>
      <c r="M245" t="s">
        <v>11253</v>
      </c>
      <c r="N245" t="s">
        <v>12625</v>
      </c>
      <c r="O245" t="s">
        <v>12596</v>
      </c>
    </row>
    <row r="246" spans="1:18">
      <c r="A246" t="s">
        <v>12605</v>
      </c>
      <c r="B246" t="s">
        <v>12605</v>
      </c>
      <c r="C246" t="s">
        <v>12606</v>
      </c>
      <c r="D246" t="s">
        <v>12596</v>
      </c>
      <c r="F246" t="s">
        <v>8472</v>
      </c>
      <c r="G246" t="s">
        <v>12594</v>
      </c>
      <c r="H246" t="s">
        <v>8474</v>
      </c>
      <c r="I246" t="s">
        <v>12612</v>
      </c>
      <c r="J246" t="s">
        <v>12627</v>
      </c>
      <c r="K246" t="s">
        <v>12596</v>
      </c>
      <c r="L246" t="s">
        <v>12628</v>
      </c>
      <c r="M246" t="s">
        <v>11253</v>
      </c>
      <c r="N246" t="s">
        <v>12628</v>
      </c>
      <c r="O246" t="s">
        <v>12596</v>
      </c>
    </row>
    <row r="247" spans="1:18">
      <c r="A247" t="s">
        <v>12629</v>
      </c>
      <c r="B247" t="s">
        <v>12631</v>
      </c>
      <c r="C247" t="s">
        <v>12643</v>
      </c>
      <c r="F247" t="s">
        <v>8472</v>
      </c>
      <c r="G247" t="s">
        <v>12594</v>
      </c>
      <c r="H247" t="s">
        <v>8474</v>
      </c>
      <c r="I247" t="s">
        <v>12664</v>
      </c>
      <c r="J247" t="s">
        <v>12677</v>
      </c>
      <c r="K247" t="s">
        <v>12261</v>
      </c>
      <c r="L247" t="s">
        <v>12678</v>
      </c>
      <c r="M247" t="s">
        <v>26</v>
      </c>
      <c r="N247" t="s">
        <v>12699</v>
      </c>
    </row>
    <row r="248" spans="1:18">
      <c r="A248" t="s">
        <v>12630</v>
      </c>
      <c r="B248" t="s">
        <v>12631</v>
      </c>
      <c r="C248" t="s">
        <v>12644</v>
      </c>
      <c r="F248" t="s">
        <v>8472</v>
      </c>
      <c r="G248" t="s">
        <v>12594</v>
      </c>
      <c r="H248" t="s">
        <v>8474</v>
      </c>
      <c r="I248" t="s">
        <v>12665</v>
      </c>
      <c r="J248" t="s">
        <v>12677</v>
      </c>
      <c r="K248" t="s">
        <v>12261</v>
      </c>
      <c r="L248" t="s">
        <v>12679</v>
      </c>
      <c r="M248" t="s">
        <v>26</v>
      </c>
      <c r="N248" t="s">
        <v>12700</v>
      </c>
    </row>
    <row r="249" spans="1:18">
      <c r="A249" t="s">
        <v>12632</v>
      </c>
      <c r="B249" t="s">
        <v>12631</v>
      </c>
      <c r="C249" t="s">
        <v>12645</v>
      </c>
      <c r="F249" t="s">
        <v>8472</v>
      </c>
      <c r="G249" t="s">
        <v>12594</v>
      </c>
      <c r="H249" t="s">
        <v>8474</v>
      </c>
      <c r="I249" t="s">
        <v>12668</v>
      </c>
      <c r="J249" t="s">
        <v>12677</v>
      </c>
      <c r="K249" t="s">
        <v>12261</v>
      </c>
      <c r="L249" t="s">
        <v>12680</v>
      </c>
      <c r="M249" t="s">
        <v>26</v>
      </c>
      <c r="N249" t="s">
        <v>12701</v>
      </c>
    </row>
    <row r="250" spans="1:18">
      <c r="A250" t="s">
        <v>12633</v>
      </c>
      <c r="B250" t="s">
        <v>12631</v>
      </c>
      <c r="C250" t="s">
        <v>12646</v>
      </c>
      <c r="F250" t="s">
        <v>8472</v>
      </c>
      <c r="G250" t="s">
        <v>12594</v>
      </c>
      <c r="H250" t="s">
        <v>8474</v>
      </c>
      <c r="I250" t="s">
        <v>12669</v>
      </c>
      <c r="J250" t="s">
        <v>12677</v>
      </c>
      <c r="K250" t="s">
        <v>12261</v>
      </c>
      <c r="L250" t="s">
        <v>12681</v>
      </c>
      <c r="M250" t="s">
        <v>26</v>
      </c>
      <c r="N250" t="s">
        <v>12702</v>
      </c>
    </row>
    <row r="251" spans="1:18">
      <c r="A251" t="s">
        <v>12634</v>
      </c>
      <c r="B251" t="s">
        <v>12631</v>
      </c>
      <c r="C251" t="s">
        <v>12647</v>
      </c>
      <c r="F251" t="s">
        <v>8472</v>
      </c>
      <c r="G251" t="s">
        <v>12594</v>
      </c>
      <c r="H251" t="s">
        <v>8474</v>
      </c>
      <c r="I251" t="s">
        <v>12670</v>
      </c>
      <c r="J251" t="s">
        <v>12677</v>
      </c>
      <c r="K251" t="s">
        <v>12261</v>
      </c>
      <c r="L251" t="s">
        <v>12682</v>
      </c>
      <c r="M251" t="s">
        <v>26</v>
      </c>
      <c r="N251" t="s">
        <v>12703</v>
      </c>
    </row>
    <row r="252" spans="1:18">
      <c r="A252" t="s">
        <v>12635</v>
      </c>
      <c r="B252" t="s">
        <v>12631</v>
      </c>
      <c r="C252" t="s">
        <v>12648</v>
      </c>
      <c r="F252" t="s">
        <v>8472</v>
      </c>
      <c r="G252" t="s">
        <v>12594</v>
      </c>
      <c r="H252" t="s">
        <v>8474</v>
      </c>
      <c r="I252" t="s">
        <v>12671</v>
      </c>
      <c r="J252" t="s">
        <v>12677</v>
      </c>
      <c r="K252" t="s">
        <v>12261</v>
      </c>
      <c r="L252" t="s">
        <v>12683</v>
      </c>
      <c r="M252" t="s">
        <v>26</v>
      </c>
      <c r="N252" t="s">
        <v>12704</v>
      </c>
    </row>
    <row r="253" spans="1:18">
      <c r="A253" t="s">
        <v>12636</v>
      </c>
      <c r="B253" t="s">
        <v>12631</v>
      </c>
      <c r="C253" t="s">
        <v>12649</v>
      </c>
      <c r="F253" t="s">
        <v>8472</v>
      </c>
      <c r="G253" t="s">
        <v>12594</v>
      </c>
      <c r="H253" t="s">
        <v>8474</v>
      </c>
      <c r="I253" t="s">
        <v>12672</v>
      </c>
      <c r="J253" t="s">
        <v>12677</v>
      </c>
      <c r="K253" t="s">
        <v>12261</v>
      </c>
      <c r="L253" t="s">
        <v>12684</v>
      </c>
      <c r="M253" t="s">
        <v>26</v>
      </c>
      <c r="N253" t="s">
        <v>12705</v>
      </c>
    </row>
    <row r="254" spans="1:18">
      <c r="A254" t="s">
        <v>12637</v>
      </c>
      <c r="B254" t="s">
        <v>12631</v>
      </c>
      <c r="C254" t="s">
        <v>12650</v>
      </c>
      <c r="F254" t="s">
        <v>8472</v>
      </c>
      <c r="G254" t="s">
        <v>12594</v>
      </c>
      <c r="H254" t="s">
        <v>8474</v>
      </c>
      <c r="I254" t="s">
        <v>12673</v>
      </c>
      <c r="J254" t="s">
        <v>12677</v>
      </c>
      <c r="K254" t="s">
        <v>12261</v>
      </c>
      <c r="L254" t="s">
        <v>12685</v>
      </c>
      <c r="M254" t="s">
        <v>26</v>
      </c>
      <c r="N254" t="s">
        <v>12706</v>
      </c>
    </row>
    <row r="255" spans="1:18">
      <c r="A255" t="s">
        <v>12638</v>
      </c>
      <c r="B255" t="s">
        <v>12631</v>
      </c>
      <c r="C255" t="s">
        <v>12651</v>
      </c>
      <c r="F255" t="s">
        <v>8472</v>
      </c>
      <c r="G255" t="s">
        <v>12594</v>
      </c>
      <c r="H255" t="s">
        <v>8474</v>
      </c>
      <c r="I255" t="s">
        <v>12674</v>
      </c>
      <c r="J255" t="s">
        <v>12677</v>
      </c>
      <c r="K255" t="s">
        <v>12261</v>
      </c>
      <c r="L255" t="s">
        <v>12686</v>
      </c>
      <c r="M255" t="s">
        <v>26</v>
      </c>
      <c r="N255" t="s">
        <v>12707</v>
      </c>
    </row>
    <row r="256" spans="1:18">
      <c r="A256" t="s">
        <v>12639</v>
      </c>
      <c r="B256" t="s">
        <v>12631</v>
      </c>
      <c r="C256" t="s">
        <v>12652</v>
      </c>
      <c r="F256" t="s">
        <v>8472</v>
      </c>
      <c r="G256" t="s">
        <v>12594</v>
      </c>
      <c r="H256" t="s">
        <v>8474</v>
      </c>
      <c r="I256" t="s">
        <v>12666</v>
      </c>
      <c r="J256" t="s">
        <v>12677</v>
      </c>
      <c r="K256" t="s">
        <v>12261</v>
      </c>
      <c r="L256" t="s">
        <v>12687</v>
      </c>
      <c r="M256" t="s">
        <v>26</v>
      </c>
      <c r="N256" t="s">
        <v>12708</v>
      </c>
    </row>
    <row r="257" spans="1:22">
      <c r="A257" t="s">
        <v>12640</v>
      </c>
      <c r="B257" t="s">
        <v>12631</v>
      </c>
      <c r="C257" t="s">
        <v>12653</v>
      </c>
      <c r="F257" t="s">
        <v>8472</v>
      </c>
      <c r="G257" t="s">
        <v>12594</v>
      </c>
      <c r="H257" t="s">
        <v>8474</v>
      </c>
      <c r="I257" t="s">
        <v>12675</v>
      </c>
      <c r="J257" t="s">
        <v>12677</v>
      </c>
      <c r="K257" t="s">
        <v>12261</v>
      </c>
      <c r="L257" t="s">
        <v>12688</v>
      </c>
      <c r="M257" t="s">
        <v>26</v>
      </c>
      <c r="N257" t="s">
        <v>12709</v>
      </c>
    </row>
    <row r="258" spans="1:22">
      <c r="A258" t="s">
        <v>12641</v>
      </c>
      <c r="B258" t="s">
        <v>12631</v>
      </c>
      <c r="C258" t="s">
        <v>12654</v>
      </c>
      <c r="F258" t="s">
        <v>8472</v>
      </c>
      <c r="G258" t="s">
        <v>12594</v>
      </c>
      <c r="H258" t="s">
        <v>8474</v>
      </c>
      <c r="I258" t="s">
        <v>12667</v>
      </c>
      <c r="J258" t="s">
        <v>12677</v>
      </c>
      <c r="K258" t="s">
        <v>12261</v>
      </c>
      <c r="L258" t="s">
        <v>12689</v>
      </c>
      <c r="M258" t="s">
        <v>26</v>
      </c>
      <c r="N258" t="s">
        <v>12710</v>
      </c>
    </row>
    <row r="259" spans="1:22">
      <c r="A259" t="s">
        <v>12642</v>
      </c>
      <c r="B259" t="s">
        <v>12631</v>
      </c>
      <c r="C259" t="s">
        <v>12655</v>
      </c>
      <c r="F259" t="s">
        <v>8472</v>
      </c>
      <c r="G259" t="s">
        <v>12594</v>
      </c>
      <c r="H259" t="s">
        <v>8474</v>
      </c>
      <c r="I259" t="s">
        <v>12676</v>
      </c>
      <c r="J259" t="s">
        <v>12677</v>
      </c>
      <c r="K259" t="s">
        <v>12261</v>
      </c>
      <c r="L259" t="s">
        <v>12690</v>
      </c>
      <c r="M259" t="s">
        <v>26</v>
      </c>
      <c r="N259" t="s">
        <v>12711</v>
      </c>
    </row>
    <row r="260" spans="1:22">
      <c r="A260" t="s">
        <v>12656</v>
      </c>
      <c r="B260" t="s">
        <v>12631</v>
      </c>
      <c r="C260" t="s">
        <v>12660</v>
      </c>
      <c r="F260" t="s">
        <v>8472</v>
      </c>
      <c r="G260" t="s">
        <v>12594</v>
      </c>
      <c r="H260" t="s">
        <v>8474</v>
      </c>
      <c r="I260" t="s">
        <v>12665</v>
      </c>
      <c r="J260" t="s">
        <v>12677</v>
      </c>
      <c r="K260" t="s">
        <v>12261</v>
      </c>
      <c r="L260" t="s">
        <v>12691</v>
      </c>
      <c r="M260" t="s">
        <v>26</v>
      </c>
      <c r="N260" t="s">
        <v>12695</v>
      </c>
    </row>
    <row r="261" spans="1:22">
      <c r="A261" t="s">
        <v>12657</v>
      </c>
      <c r="B261" t="s">
        <v>12631</v>
      </c>
      <c r="C261" t="s">
        <v>12661</v>
      </c>
      <c r="F261" t="s">
        <v>8472</v>
      </c>
      <c r="G261" t="s">
        <v>12594</v>
      </c>
      <c r="H261" t="s">
        <v>8474</v>
      </c>
      <c r="I261" t="s">
        <v>12671</v>
      </c>
      <c r="J261" t="s">
        <v>12677</v>
      </c>
      <c r="K261" t="s">
        <v>12261</v>
      </c>
      <c r="L261" t="s">
        <v>12692</v>
      </c>
      <c r="M261" t="s">
        <v>26</v>
      </c>
      <c r="N261" t="s">
        <v>12696</v>
      </c>
    </row>
    <row r="262" spans="1:22">
      <c r="A262" t="s">
        <v>12658</v>
      </c>
      <c r="B262" t="s">
        <v>12631</v>
      </c>
      <c r="C262" t="s">
        <v>12662</v>
      </c>
      <c r="F262" t="s">
        <v>8472</v>
      </c>
      <c r="G262" t="s">
        <v>12594</v>
      </c>
      <c r="H262" t="s">
        <v>8474</v>
      </c>
      <c r="I262" t="s">
        <v>12666</v>
      </c>
      <c r="J262" t="s">
        <v>12677</v>
      </c>
      <c r="K262" t="s">
        <v>12261</v>
      </c>
      <c r="L262" t="s">
        <v>12693</v>
      </c>
      <c r="M262" t="s">
        <v>26</v>
      </c>
      <c r="N262" t="s">
        <v>12697</v>
      </c>
    </row>
    <row r="263" spans="1:22">
      <c r="A263" t="s">
        <v>12659</v>
      </c>
      <c r="B263" t="s">
        <v>12631</v>
      </c>
      <c r="C263" t="s">
        <v>12663</v>
      </c>
      <c r="F263" t="s">
        <v>8472</v>
      </c>
      <c r="G263" t="s">
        <v>12594</v>
      </c>
      <c r="H263" t="s">
        <v>8474</v>
      </c>
      <c r="I263" t="s">
        <v>12676</v>
      </c>
      <c r="J263" t="s">
        <v>12677</v>
      </c>
      <c r="K263" t="s">
        <v>12261</v>
      </c>
      <c r="L263" t="s">
        <v>12694</v>
      </c>
      <c r="M263" t="s">
        <v>26</v>
      </c>
      <c r="N263" t="s">
        <v>12698</v>
      </c>
    </row>
    <row r="264" spans="1:22">
      <c r="A264" t="s">
        <v>13383</v>
      </c>
      <c r="B264" t="s">
        <v>13010</v>
      </c>
      <c r="C264" t="s">
        <v>13011</v>
      </c>
      <c r="D264" t="s">
        <v>6227</v>
      </c>
      <c r="E264" t="s">
        <v>13012</v>
      </c>
      <c r="F264" t="s">
        <v>2657</v>
      </c>
      <c r="G264" t="s">
        <v>13008</v>
      </c>
      <c r="H264" t="s">
        <v>13069</v>
      </c>
      <c r="I264" t="s">
        <v>13066</v>
      </c>
      <c r="J264" t="s">
        <v>13013</v>
      </c>
      <c r="K264" t="s">
        <v>6227</v>
      </c>
      <c r="L264">
        <v>830025159</v>
      </c>
      <c r="M264" t="s">
        <v>26</v>
      </c>
      <c r="N264" t="s">
        <v>13014</v>
      </c>
      <c r="S264" t="s">
        <v>13016</v>
      </c>
      <c r="T264" t="s">
        <v>13015</v>
      </c>
      <c r="U264" t="s">
        <v>4561</v>
      </c>
      <c r="V264" t="s">
        <v>13017</v>
      </c>
    </row>
    <row r="265" spans="1:22">
      <c r="A265" t="s">
        <v>13044</v>
      </c>
      <c r="B265" t="s">
        <v>13045</v>
      </c>
      <c r="C265" t="s">
        <v>13046</v>
      </c>
      <c r="D265" t="s">
        <v>13047</v>
      </c>
      <c r="F265" t="s">
        <v>2657</v>
      </c>
      <c r="G265" t="s">
        <v>13068</v>
      </c>
      <c r="H265" t="s">
        <v>13069</v>
      </c>
      <c r="I265" t="s">
        <v>13067</v>
      </c>
      <c r="J265" t="s">
        <v>13048</v>
      </c>
      <c r="K265" t="s">
        <v>6227</v>
      </c>
      <c r="L265">
        <v>830053099</v>
      </c>
      <c r="M265" t="s">
        <v>26</v>
      </c>
      <c r="N265" t="s">
        <v>13049</v>
      </c>
      <c r="S265" t="s">
        <v>13051</v>
      </c>
      <c r="T265" t="s">
        <v>13050</v>
      </c>
      <c r="U265" t="s">
        <v>4561</v>
      </c>
      <c r="V265" t="s">
        <v>13052</v>
      </c>
    </row>
    <row r="266" spans="1:22">
      <c r="A266" t="s">
        <v>13043</v>
      </c>
      <c r="B266" t="s">
        <v>13054</v>
      </c>
      <c r="C266" t="s">
        <v>13053</v>
      </c>
      <c r="D266" t="s">
        <v>13055</v>
      </c>
      <c r="F266" t="s">
        <v>11259</v>
      </c>
      <c r="G266" t="s">
        <v>13058</v>
      </c>
      <c r="H266" t="s">
        <v>13064</v>
      </c>
      <c r="I266" t="s">
        <v>13065</v>
      </c>
      <c r="J266" t="s">
        <v>13070</v>
      </c>
      <c r="K266" t="s">
        <v>13055</v>
      </c>
      <c r="L266" t="s">
        <v>13057</v>
      </c>
      <c r="M266" t="s">
        <v>26</v>
      </c>
      <c r="N266" t="s">
        <v>13056</v>
      </c>
      <c r="S266" t="s">
        <v>13060</v>
      </c>
      <c r="T266" t="s">
        <v>13059</v>
      </c>
      <c r="U266" t="s">
        <v>4561</v>
      </c>
      <c r="V266" t="s">
        <v>13061</v>
      </c>
    </row>
    <row r="267" spans="1:22">
      <c r="A267" t="s">
        <v>13071</v>
      </c>
      <c r="B267" t="s">
        <v>13071</v>
      </c>
      <c r="C267" t="s">
        <v>13072</v>
      </c>
      <c r="D267" t="s">
        <v>13047</v>
      </c>
      <c r="F267" t="s">
        <v>4360</v>
      </c>
      <c r="G267" t="s">
        <v>10970</v>
      </c>
      <c r="H267" t="s">
        <v>4361</v>
      </c>
      <c r="I267" t="s">
        <v>13071</v>
      </c>
      <c r="J267" t="s">
        <v>13073</v>
      </c>
      <c r="K267" t="s">
        <v>13074</v>
      </c>
      <c r="L267" t="s">
        <v>13076</v>
      </c>
      <c r="M267" t="s">
        <v>26</v>
      </c>
      <c r="N267" t="s">
        <v>13075</v>
      </c>
      <c r="S267" t="s">
        <v>13077</v>
      </c>
      <c r="T267" t="s">
        <v>13079</v>
      </c>
      <c r="U267" t="s">
        <v>4561</v>
      </c>
      <c r="V267" t="s">
        <v>13078</v>
      </c>
    </row>
    <row r="268" spans="1:22">
      <c r="A268" t="s">
        <v>13340</v>
      </c>
      <c r="B268" t="s">
        <v>13340</v>
      </c>
      <c r="C268" t="s">
        <v>13344</v>
      </c>
      <c r="F268" t="s">
        <v>2657</v>
      </c>
      <c r="G268" t="s">
        <v>13068</v>
      </c>
      <c r="H268" t="s">
        <v>13069</v>
      </c>
      <c r="I268" t="s">
        <v>13346</v>
      </c>
      <c r="J268" t="s">
        <v>13343</v>
      </c>
      <c r="K268" t="s">
        <v>13342</v>
      </c>
      <c r="L268" t="s">
        <v>13341</v>
      </c>
      <c r="M268" t="s">
        <v>26</v>
      </c>
      <c r="N268" t="s">
        <v>13345</v>
      </c>
      <c r="S268" t="s">
        <v>13349</v>
      </c>
      <c r="T268" t="s">
        <v>13348</v>
      </c>
      <c r="U268" t="s">
        <v>4561</v>
      </c>
      <c r="V268" t="s">
        <v>13347</v>
      </c>
    </row>
    <row r="269" spans="1:22">
      <c r="A269" t="s">
        <v>13009</v>
      </c>
      <c r="B269" t="s">
        <v>13010</v>
      </c>
      <c r="C269" t="s">
        <v>13382</v>
      </c>
      <c r="F269" t="s">
        <v>2657</v>
      </c>
      <c r="G269" t="s">
        <v>13373</v>
      </c>
      <c r="H269" t="s">
        <v>13069</v>
      </c>
      <c r="I269" t="s">
        <v>13381</v>
      </c>
      <c r="J269" t="s">
        <v>13380</v>
      </c>
      <c r="K269" t="s">
        <v>13379</v>
      </c>
      <c r="L269" t="s">
        <v>13378</v>
      </c>
      <c r="M269" t="s">
        <v>26</v>
      </c>
      <c r="N269" t="s">
        <v>13377</v>
      </c>
      <c r="S269" t="s">
        <v>13375</v>
      </c>
      <c r="T269" t="s">
        <v>13374</v>
      </c>
      <c r="U269" t="s">
        <v>4561</v>
      </c>
      <c r="V269" t="s">
        <v>13376</v>
      </c>
    </row>
    <row r="270" spans="1:22">
      <c r="A270" t="s">
        <v>13393</v>
      </c>
      <c r="B270" t="s">
        <v>13392</v>
      </c>
      <c r="C270" t="s">
        <v>13391</v>
      </c>
      <c r="F270" t="s">
        <v>13385</v>
      </c>
      <c r="G270" t="s">
        <v>13384</v>
      </c>
      <c r="H270" t="s">
        <v>13386</v>
      </c>
      <c r="I270" t="s">
        <v>13394</v>
      </c>
      <c r="J270" t="s">
        <v>13390</v>
      </c>
      <c r="S270" t="s">
        <v>13389</v>
      </c>
      <c r="T270" t="s">
        <v>13387</v>
      </c>
      <c r="U270" t="s">
        <v>4561</v>
      </c>
      <c r="V270" t="s">
        <v>13388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2025-12-01T22:00:45Z</dcterms:modified>
</cp:coreProperties>
</file>