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6155CB66-2256-4E2F-843C-A8E675E8AA2A}" xr6:coauthVersionLast="47" xr6:coauthVersionMax="47" xr10:uidLastSave="{00000000-0000-0000-0000-000000000000}"/>
  <bookViews>
    <workbookView xWindow="-120" yWindow="-120" windowWidth="29040" windowHeight="17325" activeTab="3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8" l="1"/>
  <c r="G204" i="10"/>
  <c r="G205" i="10"/>
  <c r="G206" i="10"/>
  <c r="G208" i="10"/>
  <c r="G207" i="10"/>
  <c r="G1416" i="7"/>
  <c r="G1417" i="7"/>
  <c r="G1415" i="7"/>
  <c r="G1414" i="7"/>
  <c r="G1413" i="7"/>
  <c r="G1411" i="7"/>
  <c r="G1410" i="7"/>
  <c r="G1409" i="7"/>
  <c r="G1408" i="7"/>
  <c r="G1407" i="7"/>
  <c r="G1412" i="7"/>
  <c r="G1418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77" i="7"/>
  <c r="I1405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19" i="16"/>
  <c r="H116" i="16"/>
  <c r="H117" i="16"/>
  <c r="H118" i="16"/>
  <c r="H115" i="16"/>
  <c r="I51" i="4"/>
  <c r="I1372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1384" i="7"/>
  <c r="I1383" i="7"/>
  <c r="I1382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79" i="16"/>
  <c r="H78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5" i="7"/>
  <c r="G1406" i="7"/>
  <c r="G1404" i="7"/>
  <c r="G1758" i="7"/>
  <c r="G1757" i="7"/>
  <c r="G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Z1267" i="7"/>
  <c r="G1267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45" i="7"/>
  <c r="G512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80" i="16"/>
  <c r="F79" i="16"/>
  <c r="F78" i="16"/>
  <c r="F65" i="16"/>
  <c r="F66" i="16"/>
  <c r="F67" i="16"/>
  <c r="F68" i="16"/>
  <c r="F69" i="16"/>
  <c r="F70" i="16"/>
  <c r="F71" i="16"/>
  <c r="F72" i="16"/>
  <c r="F73" i="16"/>
  <c r="F74" i="16"/>
  <c r="F75" i="16"/>
  <c r="F64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0" i="7"/>
  <c r="G1759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G1423" i="7"/>
  <c r="G1422" i="7"/>
  <c r="G1421" i="7"/>
  <c r="Z1366" i="7"/>
  <c r="G1366" i="7"/>
  <c r="G186" i="8"/>
  <c r="G1419" i="7" l="1"/>
  <c r="G1420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1384" i="7"/>
  <c r="G1383" i="7"/>
  <c r="G1382" i="7"/>
  <c r="G51" i="4"/>
  <c r="G1381" i="7"/>
  <c r="G1380" i="7"/>
  <c r="G1379" i="7"/>
  <c r="G1378" i="7"/>
  <c r="G1376" i="7"/>
  <c r="G1375" i="7"/>
  <c r="G1374" i="7"/>
  <c r="G1373" i="7"/>
  <c r="G1372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1" i="7"/>
  <c r="Z1370" i="7"/>
  <c r="G23" i="4"/>
  <c r="G185" i="8"/>
  <c r="G184" i="8"/>
  <c r="G1371" i="7"/>
  <c r="G183" i="8"/>
  <c r="G182" i="8"/>
  <c r="G1370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1362" i="7"/>
  <c r="Z1363" i="7"/>
  <c r="Z1364" i="7"/>
  <c r="Z1365" i="7"/>
  <c r="Z1367" i="7"/>
  <c r="Z1368" i="7"/>
  <c r="Z1369" i="7"/>
  <c r="Z172" i="7"/>
  <c r="G1369" i="7"/>
  <c r="G19" i="4"/>
  <c r="G97" i="8"/>
  <c r="G1368" i="7"/>
  <c r="G181" i="8"/>
  <c r="G18" i="4"/>
  <c r="G17" i="4"/>
  <c r="G1367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1362" i="7"/>
  <c r="G1363" i="7"/>
  <c r="G1364" i="7"/>
  <c r="G1365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<sst xmlns="http://schemas.openxmlformats.org/spreadsheetml/2006/main" count="46995" uniqueCount="14091">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</sst>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B4" sqref="B4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4"/>
  <sheetViews>
    <sheetView workbookViewId="0">
      <pane xSplit="2" ySplit="1" topLeftCell="H1391" activePane="bottomRight" state="frozen"/>
      <selection pane="topRight" activeCell="C1" sqref="C1"/>
      <selection pane="bottomLeft" activeCell="A2" sqref="A2"/>
      <selection pane="bottomRight" activeCell="I1416" sqref="I141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4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 ht="15.75">
      <c r="A342" s="17" t="s">
        <v>419</v>
      </c>
      <c r="B342" s="17" t="s">
        <v>419</v>
      </c>
      <c r="C342" s="17" t="s">
        <v>1753</v>
      </c>
      <c r="D342" s="17" t="s">
        <v>21</v>
      </c>
      <c r="E342" s="24" t="s">
        <v>6453</v>
      </c>
      <c r="F342" s="17" t="s">
        <v>23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1754</v>
      </c>
      <c r="K342" s="17">
        <v>0</v>
      </c>
      <c r="L342" s="17" t="s">
        <v>24</v>
      </c>
      <c r="M342" s="17" t="s">
        <v>478</v>
      </c>
      <c r="N342" s="17" t="s">
        <v>2647</v>
      </c>
      <c r="O342" s="17" t="s">
        <v>26</v>
      </c>
      <c r="P342" s="17" t="s">
        <v>2650</v>
      </c>
      <c r="Q342" s="17" t="s">
        <v>478</v>
      </c>
      <c r="R342" s="17" t="s">
        <v>2648</v>
      </c>
      <c r="S342" s="17" t="s">
        <v>26</v>
      </c>
      <c r="T342" s="17" t="s">
        <v>2649</v>
      </c>
      <c r="U342" s="17" t="s">
        <v>4731</v>
      </c>
      <c r="V342" s="8" t="s">
        <v>13561</v>
      </c>
      <c r="W342" t="s">
        <v>4561</v>
      </c>
      <c r="X342" s="8" t="s">
        <v>13562</v>
      </c>
      <c r="Y342" t="s">
        <v>4730</v>
      </c>
      <c r="Z342" s="17" t="str">
        <f t="shared" si="5"/>
        <v>GPR08050R</v>
      </c>
    </row>
    <row r="343" spans="1:26">
      <c r="A343" s="17" t="s">
        <v>1752</v>
      </c>
      <c r="B343" s="17" t="s">
        <v>1752</v>
      </c>
      <c r="C343" s="17" t="s">
        <v>1753</v>
      </c>
      <c r="D343" s="17" t="s">
        <v>21</v>
      </c>
      <c r="E343" s="24" t="s">
        <v>6453</v>
      </c>
      <c r="F343" s="17" t="s">
        <v>30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1</v>
      </c>
      <c r="L343" s="17" t="s">
        <v>24</v>
      </c>
      <c r="M343" s="17" t="s">
        <v>478</v>
      </c>
      <c r="N343" s="17" t="s">
        <v>1755</v>
      </c>
      <c r="O343" s="17" t="s">
        <v>26</v>
      </c>
      <c r="P343" s="17" t="s">
        <v>1756</v>
      </c>
      <c r="Q343" s="17" t="s">
        <v>478</v>
      </c>
      <c r="R343" s="17" t="s">
        <v>1757</v>
      </c>
      <c r="S343" s="17" t="s">
        <v>26</v>
      </c>
      <c r="T343" s="17" t="s">
        <v>1758</v>
      </c>
      <c r="U343" s="17" t="s">
        <v>4731</v>
      </c>
      <c r="V343" s="17" t="s">
        <v>4758</v>
      </c>
      <c r="W343" s="17" t="s">
        <v>4561</v>
      </c>
      <c r="X343" s="17" t="s">
        <v>4759</v>
      </c>
      <c r="Y343" s="17" t="s">
        <v>4730</v>
      </c>
      <c r="Z343" s="17" t="str">
        <f t="shared" si="5"/>
        <v>GPR08051R</v>
      </c>
    </row>
    <row r="344" spans="1:26">
      <c r="A344" s="17" t="s">
        <v>1759</v>
      </c>
      <c r="B344" s="17" t="s">
        <v>1759</v>
      </c>
      <c r="C344" s="17" t="s">
        <v>1760</v>
      </c>
      <c r="D344" s="17" t="s">
        <v>21</v>
      </c>
      <c r="E344" s="24" t="s">
        <v>6453</v>
      </c>
      <c r="F344" s="17" t="s">
        <v>1044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1.1000000000000001</v>
      </c>
      <c r="L344" s="17" t="s">
        <v>1037</v>
      </c>
      <c r="M344" s="17" t="s">
        <v>478</v>
      </c>
      <c r="N344" s="17" t="s">
        <v>1761</v>
      </c>
      <c r="O344" s="17" t="s">
        <v>26</v>
      </c>
      <c r="P344" s="17" t="s">
        <v>1762</v>
      </c>
      <c r="Q344" s="17"/>
      <c r="R344" s="17"/>
      <c r="S344" s="17"/>
      <c r="T344" s="17"/>
      <c r="U344" s="17"/>
      <c r="V344" s="17"/>
      <c r="W344" s="17"/>
      <c r="X344" s="17"/>
      <c r="Y344" s="17"/>
      <c r="Z344" s="17" t="str">
        <f t="shared" si="5"/>
        <v>GPR08051R1</v>
      </c>
    </row>
    <row r="345" spans="1:26">
      <c r="A345" s="17" t="s">
        <v>1763</v>
      </c>
      <c r="B345" s="17" t="s">
        <v>1763</v>
      </c>
      <c r="C345" s="17" t="s">
        <v>1764</v>
      </c>
      <c r="D345" s="17" t="s">
        <v>21</v>
      </c>
      <c r="E345" s="24" t="s">
        <v>6453</v>
      </c>
      <c r="F345" s="17" t="s">
        <v>32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1.2</v>
      </c>
      <c r="L345" s="17" t="s">
        <v>24</v>
      </c>
      <c r="M345" s="17" t="s">
        <v>478</v>
      </c>
      <c r="N345" s="17" t="s">
        <v>1765</v>
      </c>
      <c r="O345" s="17" t="s">
        <v>26</v>
      </c>
      <c r="P345" s="17" t="s">
        <v>1766</v>
      </c>
      <c r="Q345" s="17" t="s">
        <v>478</v>
      </c>
      <c r="R345" s="17" t="s">
        <v>1767</v>
      </c>
      <c r="S345" s="17" t="s">
        <v>26</v>
      </c>
      <c r="T345" s="17" t="s">
        <v>1768</v>
      </c>
      <c r="U345" s="17"/>
      <c r="V345" s="17"/>
      <c r="W345" s="17"/>
      <c r="X345" s="17"/>
      <c r="Y345" s="17"/>
      <c r="Z345" s="17" t="str">
        <f t="shared" si="5"/>
        <v>GPR08051R2</v>
      </c>
    </row>
    <row r="346" spans="1:26">
      <c r="A346" s="17" t="s">
        <v>1769</v>
      </c>
      <c r="B346" s="17" t="s">
        <v>1769</v>
      </c>
      <c r="C346" s="17" t="s">
        <v>1770</v>
      </c>
      <c r="D346" s="17" t="s">
        <v>21</v>
      </c>
      <c r="E346" s="24" t="s">
        <v>6453</v>
      </c>
      <c r="F346" s="17" t="s">
        <v>1054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1.3</v>
      </c>
      <c r="L346" s="17" t="s">
        <v>1037</v>
      </c>
      <c r="M346" s="17" t="s">
        <v>478</v>
      </c>
      <c r="N346" s="17" t="s">
        <v>1771</v>
      </c>
      <c r="O346" s="17" t="s">
        <v>26</v>
      </c>
      <c r="P346" s="17" t="s">
        <v>1772</v>
      </c>
      <c r="Q346" s="17"/>
      <c r="R346" s="17"/>
      <c r="S346" s="17"/>
      <c r="T346" s="17"/>
      <c r="U346" s="17"/>
      <c r="V346" s="17"/>
      <c r="W346" s="17"/>
      <c r="X346" s="17"/>
      <c r="Y346" s="17"/>
      <c r="Z346" s="17" t="str">
        <f t="shared" si="5"/>
        <v>GPR08051R3</v>
      </c>
    </row>
    <row r="347" spans="1:26">
      <c r="A347" s="17" t="s">
        <v>1773</v>
      </c>
      <c r="B347" s="17" t="s">
        <v>1773</v>
      </c>
      <c r="C347" s="17" t="s">
        <v>1774</v>
      </c>
      <c r="D347" s="17" t="s">
        <v>21</v>
      </c>
      <c r="E347" s="24" t="s">
        <v>6453</v>
      </c>
      <c r="F347" s="17" t="s">
        <v>34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1.5</v>
      </c>
      <c r="L347" s="17" t="s">
        <v>24</v>
      </c>
      <c r="M347" s="17" t="s">
        <v>478</v>
      </c>
      <c r="N347" s="17" t="s">
        <v>1775</v>
      </c>
      <c r="O347" s="17" t="s">
        <v>26</v>
      </c>
      <c r="P347" s="17" t="s">
        <v>1776</v>
      </c>
      <c r="Q347" s="17" t="s">
        <v>478</v>
      </c>
      <c r="R347" s="17" t="s">
        <v>1777</v>
      </c>
      <c r="S347" s="17" t="s">
        <v>26</v>
      </c>
      <c r="T347" s="17" t="s">
        <v>1778</v>
      </c>
      <c r="U347" s="17"/>
      <c r="V347" s="17"/>
      <c r="W347" s="17"/>
      <c r="X347" s="17"/>
      <c r="Y347" s="17"/>
      <c r="Z347" s="17" t="str">
        <f t="shared" si="5"/>
        <v>GPR08051R5</v>
      </c>
    </row>
    <row r="348" spans="1:26">
      <c r="A348" s="17" t="s">
        <v>1779</v>
      </c>
      <c r="B348" s="17" t="s">
        <v>1779</v>
      </c>
      <c r="C348" s="17" t="s">
        <v>1780</v>
      </c>
      <c r="D348" s="17" t="s">
        <v>21</v>
      </c>
      <c r="E348" s="24" t="s">
        <v>6453</v>
      </c>
      <c r="F348" s="17" t="s">
        <v>1064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1.6</v>
      </c>
      <c r="L348" s="17" t="s">
        <v>1037</v>
      </c>
      <c r="M348" s="17" t="s">
        <v>478</v>
      </c>
      <c r="N348" s="17" t="s">
        <v>1781</v>
      </c>
      <c r="O348" s="17" t="s">
        <v>26</v>
      </c>
      <c r="P348" s="17" t="s">
        <v>1782</v>
      </c>
      <c r="Q348" s="17"/>
      <c r="R348" s="17"/>
      <c r="S348" s="17"/>
      <c r="T348" s="17"/>
      <c r="U348" s="17"/>
      <c r="V348" s="17"/>
      <c r="W348" s="17"/>
      <c r="X348" s="17"/>
      <c r="Y348" s="17"/>
      <c r="Z348" s="17" t="str">
        <f t="shared" si="5"/>
        <v>GPR08051R6</v>
      </c>
    </row>
    <row r="349" spans="1:26">
      <c r="A349" s="17" t="s">
        <v>1783</v>
      </c>
      <c r="B349" s="17" t="s">
        <v>1783</v>
      </c>
      <c r="C349" s="17" t="s">
        <v>1784</v>
      </c>
      <c r="D349" s="17" t="s">
        <v>21</v>
      </c>
      <c r="E349" s="24" t="s">
        <v>6453</v>
      </c>
      <c r="F349" s="17" t="s">
        <v>36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1.8</v>
      </c>
      <c r="L349" s="17" t="s">
        <v>1037</v>
      </c>
      <c r="M349" s="17" t="s">
        <v>478</v>
      </c>
      <c r="N349" s="17" t="s">
        <v>1785</v>
      </c>
      <c r="O349" s="17" t="s">
        <v>26</v>
      </c>
      <c r="P349" s="17" t="s">
        <v>1786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GPR08051R8</v>
      </c>
    </row>
    <row r="350" spans="1:26">
      <c r="A350" s="17" t="s">
        <v>1787</v>
      </c>
      <c r="B350" s="17" t="s">
        <v>1787</v>
      </c>
      <c r="C350" s="17" t="s">
        <v>1788</v>
      </c>
      <c r="D350" s="17" t="s">
        <v>21</v>
      </c>
      <c r="E350" s="24" t="s">
        <v>6453</v>
      </c>
      <c r="F350" s="17" t="s">
        <v>1072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2</v>
      </c>
      <c r="L350" s="17" t="s">
        <v>1037</v>
      </c>
      <c r="M350" s="17" t="s">
        <v>478</v>
      </c>
      <c r="N350" s="17" t="s">
        <v>1789</v>
      </c>
      <c r="O350" s="17" t="s">
        <v>26</v>
      </c>
      <c r="P350" s="17" t="s">
        <v>1790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GPR08052R</v>
      </c>
    </row>
    <row r="351" spans="1:26">
      <c r="A351" s="17" t="s">
        <v>1791</v>
      </c>
      <c r="B351" s="17" t="s">
        <v>1791</v>
      </c>
      <c r="C351" s="17" t="s">
        <v>1792</v>
      </c>
      <c r="D351" s="17" t="s">
        <v>21</v>
      </c>
      <c r="E351" s="24" t="s">
        <v>6453</v>
      </c>
      <c r="F351" s="17" t="s">
        <v>38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2.2000000000000002</v>
      </c>
      <c r="L351" s="17" t="s">
        <v>1037</v>
      </c>
      <c r="M351" s="17" t="s">
        <v>478</v>
      </c>
      <c r="N351" s="17" t="s">
        <v>1793</v>
      </c>
      <c r="O351" s="17" t="s">
        <v>26</v>
      </c>
      <c r="P351" s="17" t="s">
        <v>1794</v>
      </c>
      <c r="Q351" s="17" t="s">
        <v>478</v>
      </c>
      <c r="R351" s="17" t="s">
        <v>1795</v>
      </c>
      <c r="S351" s="17" t="s">
        <v>26</v>
      </c>
      <c r="T351" s="17" t="s">
        <v>1796</v>
      </c>
      <c r="U351" s="17"/>
      <c r="V351" s="17"/>
      <c r="W351" s="17"/>
      <c r="X351" s="17"/>
      <c r="Y351" s="17"/>
      <c r="Z351" s="17" t="str">
        <f t="shared" si="5"/>
        <v>GPR08052R2</v>
      </c>
    </row>
    <row r="352" spans="1:26">
      <c r="A352" s="17" t="s">
        <v>1797</v>
      </c>
      <c r="B352" s="17" t="s">
        <v>1797</v>
      </c>
      <c r="C352" s="17" t="s">
        <v>1798</v>
      </c>
      <c r="D352" s="17" t="s">
        <v>21</v>
      </c>
      <c r="E352" s="24" t="s">
        <v>6453</v>
      </c>
      <c r="F352" s="17" t="s">
        <v>1082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2.4</v>
      </c>
      <c r="L352" s="17" t="s">
        <v>1037</v>
      </c>
      <c r="M352" s="17" t="s">
        <v>478</v>
      </c>
      <c r="N352" s="17" t="s">
        <v>1799</v>
      </c>
      <c r="O352" s="17" t="s">
        <v>26</v>
      </c>
      <c r="P352" s="17" t="s">
        <v>1800</v>
      </c>
      <c r="Q352" s="17"/>
      <c r="R352" s="17"/>
      <c r="S352" s="17"/>
      <c r="T352" s="17"/>
      <c r="U352" s="17"/>
      <c r="V352" s="17"/>
      <c r="W352" s="17"/>
      <c r="X352" s="17"/>
      <c r="Y352" s="17"/>
      <c r="Z352" s="17" t="str">
        <f t="shared" si="5"/>
        <v>GPR08052R4</v>
      </c>
    </row>
    <row r="353" spans="1:26">
      <c r="A353" s="17" t="s">
        <v>1801</v>
      </c>
      <c r="B353" s="17" t="s">
        <v>1801</v>
      </c>
      <c r="C353" s="17" t="s">
        <v>1802</v>
      </c>
      <c r="D353" s="17" t="s">
        <v>21</v>
      </c>
      <c r="E353" s="24" t="s">
        <v>6453</v>
      </c>
      <c r="F353" s="17" t="s">
        <v>40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2.7</v>
      </c>
      <c r="L353" s="17" t="s">
        <v>1037</v>
      </c>
      <c r="M353" s="17" t="s">
        <v>478</v>
      </c>
      <c r="N353" s="17" t="s">
        <v>1803</v>
      </c>
      <c r="O353" s="17" t="s">
        <v>26</v>
      </c>
      <c r="P353" s="17" t="s">
        <v>1804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GPR08052R7</v>
      </c>
    </row>
    <row r="354" spans="1:26">
      <c r="A354" s="17" t="s">
        <v>1805</v>
      </c>
      <c r="B354" s="17" t="s">
        <v>1805</v>
      </c>
      <c r="C354" s="17" t="s">
        <v>1806</v>
      </c>
      <c r="D354" s="17" t="s">
        <v>21</v>
      </c>
      <c r="E354" s="24" t="s">
        <v>6453</v>
      </c>
      <c r="F354" s="17" t="s">
        <v>1090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3</v>
      </c>
      <c r="L354" s="17" t="s">
        <v>1037</v>
      </c>
      <c r="M354" s="17" t="s">
        <v>478</v>
      </c>
      <c r="N354" s="17" t="s">
        <v>1807</v>
      </c>
      <c r="O354" s="17" t="s">
        <v>26</v>
      </c>
      <c r="P354" s="17" t="s">
        <v>1808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GPR08053R</v>
      </c>
    </row>
    <row r="355" spans="1:26">
      <c r="A355" s="17" t="s">
        <v>1809</v>
      </c>
      <c r="B355" s="17" t="s">
        <v>1809</v>
      </c>
      <c r="C355" s="17" t="s">
        <v>1810</v>
      </c>
      <c r="D355" s="17" t="s">
        <v>21</v>
      </c>
      <c r="E355" s="24" t="s">
        <v>6453</v>
      </c>
      <c r="F355" s="17" t="s">
        <v>42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3.3</v>
      </c>
      <c r="L355" s="17" t="s">
        <v>1037</v>
      </c>
      <c r="M355" s="17" t="s">
        <v>478</v>
      </c>
      <c r="N355" s="17" t="s">
        <v>1811</v>
      </c>
      <c r="O355" s="17" t="s">
        <v>26</v>
      </c>
      <c r="P355" s="17" t="s">
        <v>1812</v>
      </c>
      <c r="Q355" s="17" t="s">
        <v>478</v>
      </c>
      <c r="R355" s="17" t="s">
        <v>1813</v>
      </c>
      <c r="S355" s="17" t="s">
        <v>26</v>
      </c>
      <c r="T355" s="17" t="s">
        <v>1814</v>
      </c>
      <c r="U355" s="17"/>
      <c r="V355" s="17"/>
      <c r="W355" s="17"/>
      <c r="X355" s="17"/>
      <c r="Y355" s="17"/>
      <c r="Z355" s="17" t="str">
        <f t="shared" si="5"/>
        <v>GPR08053R3</v>
      </c>
    </row>
    <row r="356" spans="1:26">
      <c r="A356" s="17" t="s">
        <v>1815</v>
      </c>
      <c r="B356" s="17" t="s">
        <v>1815</v>
      </c>
      <c r="C356" s="17" t="s">
        <v>1816</v>
      </c>
      <c r="D356" s="17" t="s">
        <v>21</v>
      </c>
      <c r="E356" s="24" t="s">
        <v>6453</v>
      </c>
      <c r="F356" s="17" t="s">
        <v>1100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3.6</v>
      </c>
      <c r="L356" s="17" t="s">
        <v>1037</v>
      </c>
      <c r="M356" s="17" t="s">
        <v>478</v>
      </c>
      <c r="N356" s="17" t="s">
        <v>1817</v>
      </c>
      <c r="O356" s="17" t="s">
        <v>26</v>
      </c>
      <c r="P356" s="17" t="s">
        <v>1818</v>
      </c>
      <c r="Q356" s="17"/>
      <c r="R356" s="17"/>
      <c r="S356" s="17"/>
      <c r="T356" s="17"/>
      <c r="U356" s="17"/>
      <c r="V356" s="17"/>
      <c r="W356" s="17"/>
      <c r="X356" s="17"/>
      <c r="Y356" s="17"/>
      <c r="Z356" s="17" t="str">
        <f t="shared" si="5"/>
        <v>GPR08053R6</v>
      </c>
    </row>
    <row r="357" spans="1:26">
      <c r="A357" s="17" t="s">
        <v>1819</v>
      </c>
      <c r="B357" s="17" t="s">
        <v>1819</v>
      </c>
      <c r="C357" s="17" t="s">
        <v>1820</v>
      </c>
      <c r="D357" s="17" t="s">
        <v>21</v>
      </c>
      <c r="E357" s="24" t="s">
        <v>6453</v>
      </c>
      <c r="F357" s="17" t="s">
        <v>44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3.9</v>
      </c>
      <c r="L357" s="17" t="s">
        <v>1037</v>
      </c>
      <c r="M357" s="17" t="s">
        <v>478</v>
      </c>
      <c r="N357" s="17" t="s">
        <v>1821</v>
      </c>
      <c r="O357" s="17" t="s">
        <v>26</v>
      </c>
      <c r="P357" s="17" t="s">
        <v>1822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GPR08053R9</v>
      </c>
    </row>
    <row r="358" spans="1:26">
      <c r="A358" s="17" t="s">
        <v>1823</v>
      </c>
      <c r="B358" s="17" t="s">
        <v>1823</v>
      </c>
      <c r="C358" s="17" t="s">
        <v>1824</v>
      </c>
      <c r="D358" s="17" t="s">
        <v>21</v>
      </c>
      <c r="E358" s="24" t="s">
        <v>6453</v>
      </c>
      <c r="F358" s="17" t="s">
        <v>1108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4.3</v>
      </c>
      <c r="L358" s="17" t="s">
        <v>1037</v>
      </c>
      <c r="M358" s="17" t="s">
        <v>478</v>
      </c>
      <c r="N358" s="17" t="s">
        <v>1825</v>
      </c>
      <c r="O358" s="17" t="s">
        <v>26</v>
      </c>
      <c r="P358" s="17" t="s">
        <v>1826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GPR08054R3</v>
      </c>
    </row>
    <row r="359" spans="1:26">
      <c r="A359" s="17" t="s">
        <v>1827</v>
      </c>
      <c r="B359" s="17" t="s">
        <v>1827</v>
      </c>
      <c r="C359" s="17" t="s">
        <v>1828</v>
      </c>
      <c r="D359" s="17" t="s">
        <v>21</v>
      </c>
      <c r="E359" s="24" t="s">
        <v>6453</v>
      </c>
      <c r="F359" s="17" t="s">
        <v>46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4.7</v>
      </c>
      <c r="L359" s="17" t="s">
        <v>24</v>
      </c>
      <c r="M359" s="17" t="s">
        <v>478</v>
      </c>
      <c r="N359" s="17" t="s">
        <v>1829</v>
      </c>
      <c r="O359" s="17" t="s">
        <v>26</v>
      </c>
      <c r="P359" s="17" t="s">
        <v>1830</v>
      </c>
      <c r="Q359" s="17" t="s">
        <v>478</v>
      </c>
      <c r="R359" s="17" t="s">
        <v>1831</v>
      </c>
      <c r="S359" s="17" t="s">
        <v>26</v>
      </c>
      <c r="T359" s="17" t="s">
        <v>1832</v>
      </c>
      <c r="U359" s="17"/>
      <c r="V359" s="17"/>
      <c r="W359" s="17"/>
      <c r="X359" s="17"/>
      <c r="Y359" s="17"/>
      <c r="Z359" s="17" t="str">
        <f t="shared" si="5"/>
        <v>GPR08054R7</v>
      </c>
    </row>
    <row r="360" spans="1:26">
      <c r="A360" s="17" t="s">
        <v>1833</v>
      </c>
      <c r="B360" s="17" t="s">
        <v>1833</v>
      </c>
      <c r="C360" s="17" t="s">
        <v>1834</v>
      </c>
      <c r="D360" s="17" t="s">
        <v>21</v>
      </c>
      <c r="E360" s="24" t="s">
        <v>6453</v>
      </c>
      <c r="F360" s="17" t="s">
        <v>1118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5.0999999999999996</v>
      </c>
      <c r="L360" s="17" t="s">
        <v>1037</v>
      </c>
      <c r="M360" s="17" t="s">
        <v>478</v>
      </c>
      <c r="N360" s="17" t="s">
        <v>1835</v>
      </c>
      <c r="O360" s="17" t="s">
        <v>26</v>
      </c>
      <c r="P360" s="17" t="s">
        <v>1836</v>
      </c>
      <c r="Q360" s="17"/>
      <c r="R360" s="17"/>
      <c r="S360" s="17"/>
      <c r="T360" s="17"/>
      <c r="U360" s="17"/>
      <c r="V360" s="17"/>
      <c r="W360" s="17"/>
      <c r="X360" s="17"/>
      <c r="Y360" s="17"/>
      <c r="Z360" s="17" t="str">
        <f t="shared" si="5"/>
        <v>GPR08055R1</v>
      </c>
    </row>
    <row r="361" spans="1:26">
      <c r="A361" s="17" t="s">
        <v>1837</v>
      </c>
      <c r="B361" s="17" t="s">
        <v>1837</v>
      </c>
      <c r="C361" s="17" t="s">
        <v>1838</v>
      </c>
      <c r="D361" s="17" t="s">
        <v>21</v>
      </c>
      <c r="E361" s="24" t="s">
        <v>6453</v>
      </c>
      <c r="F361" s="17" t="s">
        <v>48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5.6</v>
      </c>
      <c r="L361" s="17" t="s">
        <v>1037</v>
      </c>
      <c r="M361" s="17" t="s">
        <v>478</v>
      </c>
      <c r="N361" s="17" t="s">
        <v>1839</v>
      </c>
      <c r="O361" s="17" t="s">
        <v>26</v>
      </c>
      <c r="P361" s="17" t="s">
        <v>1840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GPR08055R6</v>
      </c>
    </row>
    <row r="362" spans="1:26">
      <c r="A362" s="17" t="s">
        <v>1841</v>
      </c>
      <c r="B362" s="17" t="s">
        <v>1841</v>
      </c>
      <c r="C362" s="17" t="s">
        <v>1842</v>
      </c>
      <c r="D362" s="17" t="s">
        <v>21</v>
      </c>
      <c r="E362" s="24" t="s">
        <v>6453</v>
      </c>
      <c r="F362" s="17" t="s">
        <v>1130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6.2</v>
      </c>
      <c r="L362" s="17" t="s">
        <v>1037</v>
      </c>
      <c r="M362" s="17" t="s">
        <v>478</v>
      </c>
      <c r="N362" s="17" t="s">
        <v>1843</v>
      </c>
      <c r="O362" s="17" t="s">
        <v>26</v>
      </c>
      <c r="P362" s="17" t="s">
        <v>1844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GPR08056R2</v>
      </c>
    </row>
    <row r="363" spans="1:26">
      <c r="A363" s="17" t="s">
        <v>1845</v>
      </c>
      <c r="B363" s="17" t="s">
        <v>1845</v>
      </c>
      <c r="C363" s="17" t="s">
        <v>1846</v>
      </c>
      <c r="D363" s="17" t="s">
        <v>21</v>
      </c>
      <c r="E363" s="24" t="s">
        <v>6453</v>
      </c>
      <c r="F363" s="17" t="s">
        <v>50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6.8</v>
      </c>
      <c r="L363" s="17" t="s">
        <v>1037</v>
      </c>
      <c r="M363" s="17" t="s">
        <v>478</v>
      </c>
      <c r="N363" s="17" t="s">
        <v>1847</v>
      </c>
      <c r="O363" s="17" t="s">
        <v>26</v>
      </c>
      <c r="P363" s="17" t="s">
        <v>1848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GPR08056R8</v>
      </c>
    </row>
    <row r="364" spans="1:26">
      <c r="A364" s="17" t="s">
        <v>1849</v>
      </c>
      <c r="B364" s="17" t="s">
        <v>1849</v>
      </c>
      <c r="C364" s="17" t="s">
        <v>1850</v>
      </c>
      <c r="D364" s="17" t="s">
        <v>21</v>
      </c>
      <c r="E364" s="24" t="s">
        <v>6453</v>
      </c>
      <c r="F364" s="17" t="s">
        <v>1140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7.5</v>
      </c>
      <c r="L364" s="17" t="s">
        <v>1037</v>
      </c>
      <c r="M364" s="17" t="s">
        <v>478</v>
      </c>
      <c r="N364" s="17" t="s">
        <v>1851</v>
      </c>
      <c r="O364" s="17" t="s">
        <v>26</v>
      </c>
      <c r="P364" s="17" t="s">
        <v>1852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GPR08057R5</v>
      </c>
    </row>
    <row r="365" spans="1:26">
      <c r="A365" s="17" t="s">
        <v>1853</v>
      </c>
      <c r="B365" s="17" t="s">
        <v>1853</v>
      </c>
      <c r="C365" s="17" t="s">
        <v>1854</v>
      </c>
      <c r="D365" s="17" t="s">
        <v>21</v>
      </c>
      <c r="E365" s="24" t="s">
        <v>6453</v>
      </c>
      <c r="F365" s="17" t="s">
        <v>52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8.1999999999999993</v>
      </c>
      <c r="L365" s="17" t="s">
        <v>1037</v>
      </c>
      <c r="M365" s="17" t="s">
        <v>478</v>
      </c>
      <c r="N365" s="17" t="s">
        <v>1855</v>
      </c>
      <c r="O365" s="17" t="s">
        <v>26</v>
      </c>
      <c r="P365" s="17" t="s">
        <v>1856</v>
      </c>
      <c r="Q365" s="17" t="s">
        <v>478</v>
      </c>
      <c r="R365" s="17" t="s">
        <v>1857</v>
      </c>
      <c r="S365" s="17" t="s">
        <v>26</v>
      </c>
      <c r="T365" s="17" t="s">
        <v>1858</v>
      </c>
      <c r="U365" s="17"/>
      <c r="V365" s="17"/>
      <c r="W365" s="17"/>
      <c r="X365" s="17"/>
      <c r="Y365" s="17"/>
      <c r="Z365" s="17" t="str">
        <f t="shared" ref="Z365:Z428" si="6">"GPR"&amp;E365&amp;F365</f>
        <v>GPR08058R2</v>
      </c>
    </row>
    <row r="366" spans="1:26">
      <c r="A366" s="17" t="s">
        <v>1859</v>
      </c>
      <c r="B366" s="17" t="s">
        <v>1859</v>
      </c>
      <c r="C366" s="17" t="s">
        <v>1860</v>
      </c>
      <c r="D366" s="17" t="s">
        <v>21</v>
      </c>
      <c r="E366" s="24" t="s">
        <v>6453</v>
      </c>
      <c r="F366" s="17" t="s">
        <v>1150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9.1</v>
      </c>
      <c r="L366" s="17" t="s">
        <v>1037</v>
      </c>
      <c r="M366" s="17" t="s">
        <v>478</v>
      </c>
      <c r="N366" s="17" t="s">
        <v>1861</v>
      </c>
      <c r="O366" s="17" t="s">
        <v>26</v>
      </c>
      <c r="P366" s="17" t="s">
        <v>1862</v>
      </c>
      <c r="Q366" s="17"/>
      <c r="R366" s="17"/>
      <c r="S366" s="17"/>
      <c r="T366" s="17"/>
      <c r="U366" s="17"/>
      <c r="V366" s="17"/>
      <c r="W366" s="17"/>
      <c r="X366" s="17"/>
      <c r="Y366" s="17"/>
      <c r="Z366" s="17" t="str">
        <f t="shared" si="6"/>
        <v>GPR08059R1</v>
      </c>
    </row>
    <row r="367" spans="1:26">
      <c r="A367" s="17" t="s">
        <v>1863</v>
      </c>
      <c r="B367" s="17" t="s">
        <v>1863</v>
      </c>
      <c r="C367" s="17" t="s">
        <v>1864</v>
      </c>
      <c r="D367" s="17" t="s">
        <v>21</v>
      </c>
      <c r="E367" s="24" t="s">
        <v>6453</v>
      </c>
      <c r="F367" s="17" t="s">
        <v>54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21">
        <v>10</v>
      </c>
      <c r="L367" s="17" t="s">
        <v>24</v>
      </c>
      <c r="M367" s="17" t="s">
        <v>478</v>
      </c>
      <c r="N367" s="17" t="s">
        <v>1865</v>
      </c>
      <c r="O367" s="17" t="s">
        <v>26</v>
      </c>
      <c r="P367" s="17" t="s">
        <v>1866</v>
      </c>
      <c r="Q367" s="17" t="s">
        <v>478</v>
      </c>
      <c r="R367" s="17" t="s">
        <v>1867</v>
      </c>
      <c r="S367" s="17" t="s">
        <v>26</v>
      </c>
      <c r="T367" s="17" t="s">
        <v>1868</v>
      </c>
      <c r="U367" s="17"/>
      <c r="V367" s="17"/>
      <c r="W367" s="17"/>
      <c r="X367" s="17"/>
      <c r="Y367" s="17"/>
      <c r="Z367" s="17" t="str">
        <f t="shared" si="6"/>
        <v>GPR080510R</v>
      </c>
    </row>
    <row r="368" spans="1:26">
      <c r="A368" s="17" t="s">
        <v>1869</v>
      </c>
      <c r="B368" s="17" t="s">
        <v>1869</v>
      </c>
      <c r="C368" s="17" t="s">
        <v>1870</v>
      </c>
      <c r="D368" s="17" t="s">
        <v>21</v>
      </c>
      <c r="E368" s="24" t="s">
        <v>6453</v>
      </c>
      <c r="F368" s="17" t="s">
        <v>58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11</v>
      </c>
      <c r="L368" s="17" t="s">
        <v>1037</v>
      </c>
      <c r="M368" s="17" t="s">
        <v>478</v>
      </c>
      <c r="N368" s="17" t="s">
        <v>1871</v>
      </c>
      <c r="O368" s="17" t="s">
        <v>26</v>
      </c>
      <c r="P368" s="17" t="s">
        <v>1872</v>
      </c>
      <c r="Q368" s="17"/>
      <c r="R368" s="17"/>
      <c r="S368" s="17"/>
      <c r="T368" s="17"/>
      <c r="U368" s="17"/>
      <c r="V368" s="17"/>
      <c r="W368" s="17"/>
      <c r="X368" s="17"/>
      <c r="Y368" s="17"/>
      <c r="Z368" s="17" t="str">
        <f t="shared" si="6"/>
        <v>GPR080511R</v>
      </c>
    </row>
    <row r="369" spans="1:26">
      <c r="A369" s="17" t="s">
        <v>1873</v>
      </c>
      <c r="B369" s="17" t="s">
        <v>1873</v>
      </c>
      <c r="C369" s="17" t="s">
        <v>1874</v>
      </c>
      <c r="D369" s="17" t="s">
        <v>21</v>
      </c>
      <c r="E369" s="24" t="s">
        <v>6453</v>
      </c>
      <c r="F369" s="17" t="s">
        <v>60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12</v>
      </c>
      <c r="L369" s="17" t="s">
        <v>24</v>
      </c>
      <c r="M369" s="17" t="s">
        <v>478</v>
      </c>
      <c r="N369" s="17" t="s">
        <v>1875</v>
      </c>
      <c r="O369" s="17" t="s">
        <v>26</v>
      </c>
      <c r="P369" s="17" t="s">
        <v>1876</v>
      </c>
      <c r="Q369" s="17" t="s">
        <v>478</v>
      </c>
      <c r="R369" s="17" t="s">
        <v>1877</v>
      </c>
      <c r="S369" s="17" t="s">
        <v>26</v>
      </c>
      <c r="T369" s="17" t="s">
        <v>1878</v>
      </c>
      <c r="U369" s="17"/>
      <c r="V369" s="17"/>
      <c r="W369" s="17"/>
      <c r="X369" s="17"/>
      <c r="Y369" s="17"/>
      <c r="Z369" s="17" t="str">
        <f t="shared" si="6"/>
        <v>GPR080512R</v>
      </c>
    </row>
    <row r="370" spans="1:26">
      <c r="A370" s="17" t="s">
        <v>1879</v>
      </c>
      <c r="B370" s="17" t="s">
        <v>1879</v>
      </c>
      <c r="C370" s="17" t="s">
        <v>1880</v>
      </c>
      <c r="D370" s="17" t="s">
        <v>21</v>
      </c>
      <c r="E370" s="24" t="s">
        <v>6453</v>
      </c>
      <c r="F370" s="17" t="s">
        <v>62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13</v>
      </c>
      <c r="L370" s="17" t="s">
        <v>1037</v>
      </c>
      <c r="M370" s="17" t="s">
        <v>478</v>
      </c>
      <c r="N370" s="17" t="s">
        <v>1881</v>
      </c>
      <c r="O370" s="17" t="s">
        <v>26</v>
      </c>
      <c r="P370" s="17" t="s">
        <v>1882</v>
      </c>
      <c r="Q370" s="17"/>
      <c r="R370" s="17"/>
      <c r="S370" s="17"/>
      <c r="T370" s="17"/>
      <c r="U370" s="17"/>
      <c r="V370" s="17"/>
      <c r="W370" s="17"/>
      <c r="X370" s="17"/>
      <c r="Y370" s="17"/>
      <c r="Z370" s="17" t="str">
        <f t="shared" si="6"/>
        <v>GPR080513R</v>
      </c>
    </row>
    <row r="371" spans="1:26">
      <c r="A371" s="17" t="s">
        <v>1883</v>
      </c>
      <c r="B371" s="17" t="s">
        <v>1883</v>
      </c>
      <c r="C371" s="17" t="s">
        <v>1884</v>
      </c>
      <c r="D371" s="17" t="s">
        <v>21</v>
      </c>
      <c r="E371" s="24" t="s">
        <v>6453</v>
      </c>
      <c r="F371" s="17" t="s">
        <v>64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15</v>
      </c>
      <c r="L371" s="17" t="s">
        <v>24</v>
      </c>
      <c r="M371" s="17" t="s">
        <v>478</v>
      </c>
      <c r="N371" s="17" t="s">
        <v>1885</v>
      </c>
      <c r="O371" s="17" t="s">
        <v>26</v>
      </c>
      <c r="P371" s="17" t="s">
        <v>1886</v>
      </c>
      <c r="Q371" s="17" t="s">
        <v>478</v>
      </c>
      <c r="R371" s="17" t="s">
        <v>1887</v>
      </c>
      <c r="S371" s="17" t="s">
        <v>26</v>
      </c>
      <c r="T371" s="17" t="s">
        <v>1888</v>
      </c>
      <c r="U371" s="17"/>
      <c r="V371" s="17"/>
      <c r="W371" s="17"/>
      <c r="X371" s="17"/>
      <c r="Y371" s="17"/>
      <c r="Z371" s="17" t="str">
        <f t="shared" si="6"/>
        <v>GPR080515R</v>
      </c>
    </row>
    <row r="372" spans="1:26">
      <c r="A372" s="17" t="s">
        <v>1889</v>
      </c>
      <c r="B372" s="17" t="s">
        <v>1889</v>
      </c>
      <c r="C372" s="17" t="s">
        <v>1890</v>
      </c>
      <c r="D372" s="17" t="s">
        <v>21</v>
      </c>
      <c r="E372" s="24" t="s">
        <v>6453</v>
      </c>
      <c r="F372" s="17" t="s">
        <v>66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16</v>
      </c>
      <c r="L372" s="17" t="s">
        <v>1037</v>
      </c>
      <c r="M372" s="17" t="s">
        <v>478</v>
      </c>
      <c r="N372" s="17" t="s">
        <v>1891</v>
      </c>
      <c r="O372" s="17" t="s">
        <v>26</v>
      </c>
      <c r="P372" s="17" t="s">
        <v>1892</v>
      </c>
      <c r="Q372" s="17"/>
      <c r="R372" s="17"/>
      <c r="S372" s="17"/>
      <c r="T372" s="17"/>
      <c r="U372" s="17"/>
      <c r="V372" s="17"/>
      <c r="W372" s="17"/>
      <c r="X372" s="17"/>
      <c r="Y372" s="17"/>
      <c r="Z372" s="17" t="str">
        <f t="shared" si="6"/>
        <v>GPR080516R</v>
      </c>
    </row>
    <row r="373" spans="1:26">
      <c r="A373" s="17" t="s">
        <v>1893</v>
      </c>
      <c r="B373" s="17" t="s">
        <v>1893</v>
      </c>
      <c r="C373" s="17" t="s">
        <v>1894</v>
      </c>
      <c r="D373" s="17" t="s">
        <v>21</v>
      </c>
      <c r="E373" s="24" t="s">
        <v>6453</v>
      </c>
      <c r="F373" s="17" t="s">
        <v>68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18</v>
      </c>
      <c r="L373" s="17" t="s">
        <v>1037</v>
      </c>
      <c r="M373" s="17" t="s">
        <v>478</v>
      </c>
      <c r="N373" s="17" t="s">
        <v>1895</v>
      </c>
      <c r="O373" s="17" t="s">
        <v>26</v>
      </c>
      <c r="P373" s="17" t="s">
        <v>1896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GPR080518R</v>
      </c>
    </row>
    <row r="374" spans="1:26">
      <c r="A374" s="17" t="s">
        <v>1897</v>
      </c>
      <c r="B374" s="17" t="s">
        <v>1897</v>
      </c>
      <c r="C374" s="17" t="s">
        <v>1898</v>
      </c>
      <c r="D374" s="17" t="s">
        <v>21</v>
      </c>
      <c r="E374" s="24" t="s">
        <v>6453</v>
      </c>
      <c r="F374" s="17" t="s">
        <v>70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20</v>
      </c>
      <c r="L374" s="17" t="s">
        <v>24</v>
      </c>
      <c r="M374" s="17" t="s">
        <v>478</v>
      </c>
      <c r="N374" s="17" t="s">
        <v>1899</v>
      </c>
      <c r="O374" s="17" t="s">
        <v>26</v>
      </c>
      <c r="P374" s="17" t="s">
        <v>1900</v>
      </c>
      <c r="Q374" s="17" t="s">
        <v>478</v>
      </c>
      <c r="R374" s="17" t="s">
        <v>1901</v>
      </c>
      <c r="S374" s="17" t="s">
        <v>26</v>
      </c>
      <c r="T374" s="17" t="s">
        <v>1902</v>
      </c>
      <c r="U374" s="17"/>
      <c r="V374" s="17"/>
      <c r="W374" s="17"/>
      <c r="X374" s="17"/>
      <c r="Y374" s="17"/>
      <c r="Z374" s="17" t="str">
        <f t="shared" si="6"/>
        <v>GPR080520R</v>
      </c>
    </row>
    <row r="375" spans="1:26">
      <c r="A375" s="17" t="s">
        <v>1903</v>
      </c>
      <c r="B375" s="17" t="s">
        <v>1903</v>
      </c>
      <c r="C375" s="17" t="s">
        <v>1904</v>
      </c>
      <c r="D375" s="17" t="s">
        <v>21</v>
      </c>
      <c r="E375" s="24" t="s">
        <v>6453</v>
      </c>
      <c r="F375" s="17" t="s">
        <v>72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22</v>
      </c>
      <c r="L375" s="17" t="s">
        <v>24</v>
      </c>
      <c r="M375" s="17" t="s">
        <v>478</v>
      </c>
      <c r="N375" s="17" t="s">
        <v>1905</v>
      </c>
      <c r="O375" s="17" t="s">
        <v>26</v>
      </c>
      <c r="P375" s="17" t="s">
        <v>1906</v>
      </c>
      <c r="Q375" s="17" t="s">
        <v>478</v>
      </c>
      <c r="R375" s="17" t="s">
        <v>1907</v>
      </c>
      <c r="S375" s="17" t="s">
        <v>26</v>
      </c>
      <c r="T375" s="17" t="s">
        <v>1908</v>
      </c>
      <c r="U375" s="17"/>
      <c r="V375" s="17"/>
      <c r="W375" s="17"/>
      <c r="X375" s="17"/>
      <c r="Y375" s="17"/>
      <c r="Z375" s="17" t="str">
        <f t="shared" si="6"/>
        <v>GPR080522R</v>
      </c>
    </row>
    <row r="376" spans="1:26">
      <c r="A376" s="17" t="s">
        <v>1909</v>
      </c>
      <c r="B376" s="17" t="s">
        <v>1909</v>
      </c>
      <c r="C376" s="17" t="s">
        <v>1910</v>
      </c>
      <c r="D376" s="17" t="s">
        <v>21</v>
      </c>
      <c r="E376" s="24" t="s">
        <v>6453</v>
      </c>
      <c r="F376" s="17" t="s">
        <v>76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24</v>
      </c>
      <c r="L376" s="17" t="s">
        <v>1037</v>
      </c>
      <c r="M376" s="17" t="s">
        <v>478</v>
      </c>
      <c r="N376" s="17" t="s">
        <v>1911</v>
      </c>
      <c r="O376" s="17" t="s">
        <v>26</v>
      </c>
      <c r="P376" s="17" t="s">
        <v>1912</v>
      </c>
      <c r="Q376" s="17" t="s">
        <v>478</v>
      </c>
      <c r="R376" s="17" t="s">
        <v>1913</v>
      </c>
      <c r="S376" s="17" t="s">
        <v>26</v>
      </c>
      <c r="T376" s="17" t="s">
        <v>1914</v>
      </c>
      <c r="U376" s="17"/>
      <c r="V376" s="17"/>
      <c r="W376" s="17"/>
      <c r="X376" s="17"/>
      <c r="Y376" s="17"/>
      <c r="Z376" s="17" t="str">
        <f t="shared" si="6"/>
        <v>GPR080524R</v>
      </c>
    </row>
    <row r="377" spans="1:26">
      <c r="A377" s="17" t="s">
        <v>1915</v>
      </c>
      <c r="B377" s="17" t="s">
        <v>1915</v>
      </c>
      <c r="C377" s="17" t="s">
        <v>1916</v>
      </c>
      <c r="D377" s="17" t="s">
        <v>21</v>
      </c>
      <c r="E377" s="24" t="s">
        <v>6453</v>
      </c>
      <c r="F377" s="17" t="s">
        <v>78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27</v>
      </c>
      <c r="L377" s="17" t="s">
        <v>24</v>
      </c>
      <c r="M377" s="17" t="s">
        <v>478</v>
      </c>
      <c r="N377" s="17" t="s">
        <v>1917</v>
      </c>
      <c r="O377" s="17" t="s">
        <v>26</v>
      </c>
      <c r="P377" s="17" t="s">
        <v>1918</v>
      </c>
      <c r="Q377" s="17" t="s">
        <v>478</v>
      </c>
      <c r="R377" s="17" t="s">
        <v>1919</v>
      </c>
      <c r="S377" s="17" t="s">
        <v>26</v>
      </c>
      <c r="T377" s="17" t="s">
        <v>1920</v>
      </c>
      <c r="U377" s="17"/>
      <c r="V377" s="17"/>
      <c r="W377" s="17"/>
      <c r="X377" s="17"/>
      <c r="Y377" s="17"/>
      <c r="Z377" s="17" t="str">
        <f t="shared" si="6"/>
        <v>GPR080527R</v>
      </c>
    </row>
    <row r="378" spans="1:26">
      <c r="A378" s="17" t="s">
        <v>1921</v>
      </c>
      <c r="B378" s="17" t="s">
        <v>1921</v>
      </c>
      <c r="C378" s="17" t="s">
        <v>1922</v>
      </c>
      <c r="D378" s="17" t="s">
        <v>21</v>
      </c>
      <c r="E378" s="24" t="s">
        <v>6453</v>
      </c>
      <c r="F378" s="17" t="s">
        <v>80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30</v>
      </c>
      <c r="L378" s="17" t="s">
        <v>24</v>
      </c>
      <c r="M378" s="17" t="s">
        <v>478</v>
      </c>
      <c r="N378" s="17" t="s">
        <v>1923</v>
      </c>
      <c r="O378" s="17" t="s">
        <v>26</v>
      </c>
      <c r="P378" s="17" t="s">
        <v>1924</v>
      </c>
      <c r="Q378" s="17" t="s">
        <v>478</v>
      </c>
      <c r="R378" s="17" t="s">
        <v>1925</v>
      </c>
      <c r="S378" s="17" t="s">
        <v>26</v>
      </c>
      <c r="T378" s="17" t="s">
        <v>1926</v>
      </c>
      <c r="U378" s="17"/>
      <c r="V378" s="17"/>
      <c r="W378" s="17"/>
      <c r="X378" s="17"/>
      <c r="Y378" s="17"/>
      <c r="Z378" s="17" t="str">
        <f t="shared" si="6"/>
        <v>GPR080530R</v>
      </c>
    </row>
    <row r="379" spans="1:26">
      <c r="A379" s="17" t="s">
        <v>1927</v>
      </c>
      <c r="B379" s="17" t="s">
        <v>1927</v>
      </c>
      <c r="C379" s="17" t="s">
        <v>1928</v>
      </c>
      <c r="D379" s="17" t="s">
        <v>21</v>
      </c>
      <c r="E379" s="24" t="s">
        <v>6453</v>
      </c>
      <c r="F379" s="17" t="s">
        <v>82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33</v>
      </c>
      <c r="L379" s="17" t="s">
        <v>24</v>
      </c>
      <c r="M379" s="17" t="s">
        <v>478</v>
      </c>
      <c r="N379" s="17" t="s">
        <v>1929</v>
      </c>
      <c r="O379" s="17" t="s">
        <v>26</v>
      </c>
      <c r="P379" s="17" t="s">
        <v>1930</v>
      </c>
      <c r="Q379" s="17" t="s">
        <v>478</v>
      </c>
      <c r="R379" s="17" t="s">
        <v>1931</v>
      </c>
      <c r="S379" s="17" t="s">
        <v>26</v>
      </c>
      <c r="T379" s="17" t="s">
        <v>1932</v>
      </c>
      <c r="U379" s="17"/>
      <c r="V379" s="17"/>
      <c r="W379" s="17"/>
      <c r="X379" s="17"/>
      <c r="Y379" s="17"/>
      <c r="Z379" s="17" t="str">
        <f t="shared" si="6"/>
        <v>GPR080533R</v>
      </c>
    </row>
    <row r="380" spans="1:26">
      <c r="A380" s="17" t="s">
        <v>1933</v>
      </c>
      <c r="B380" s="17" t="s">
        <v>1933</v>
      </c>
      <c r="C380" s="17" t="s">
        <v>1934</v>
      </c>
      <c r="D380" s="17" t="s">
        <v>21</v>
      </c>
      <c r="E380" s="24" t="s">
        <v>6453</v>
      </c>
      <c r="F380" s="17" t="s">
        <v>84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36</v>
      </c>
      <c r="L380" s="17" t="s">
        <v>1037</v>
      </c>
      <c r="M380" s="17" t="s">
        <v>478</v>
      </c>
      <c r="N380" s="17" t="s">
        <v>1935</v>
      </c>
      <c r="O380" s="17" t="s">
        <v>26</v>
      </c>
      <c r="P380" s="17" t="s">
        <v>1936</v>
      </c>
      <c r="Q380" s="17"/>
      <c r="R380" s="17"/>
      <c r="S380" s="17"/>
      <c r="T380" s="17"/>
      <c r="U380" s="17"/>
      <c r="V380" s="17"/>
      <c r="W380" s="17"/>
      <c r="X380" s="17"/>
      <c r="Y380" s="17"/>
      <c r="Z380" s="17" t="str">
        <f t="shared" si="6"/>
        <v>GPR080536R</v>
      </c>
    </row>
    <row r="381" spans="1:26">
      <c r="A381" s="17" t="s">
        <v>1937</v>
      </c>
      <c r="B381" s="17" t="s">
        <v>1937</v>
      </c>
      <c r="C381" s="17" t="s">
        <v>1938</v>
      </c>
      <c r="D381" s="17" t="s">
        <v>21</v>
      </c>
      <c r="E381" s="24" t="s">
        <v>6453</v>
      </c>
      <c r="F381" s="17" t="s">
        <v>86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39</v>
      </c>
      <c r="L381" s="17" t="s">
        <v>1037</v>
      </c>
      <c r="M381" s="17" t="s">
        <v>478</v>
      </c>
      <c r="N381" s="17" t="s">
        <v>1939</v>
      </c>
      <c r="O381" s="17" t="s">
        <v>26</v>
      </c>
      <c r="P381" s="17" t="s">
        <v>1940</v>
      </c>
      <c r="Q381" s="17" t="s">
        <v>478</v>
      </c>
      <c r="R381" s="17" t="s">
        <v>1941</v>
      </c>
      <c r="S381" s="17" t="s">
        <v>26</v>
      </c>
      <c r="T381" s="17" t="s">
        <v>1942</v>
      </c>
      <c r="U381" s="17"/>
      <c r="V381" s="17"/>
      <c r="W381" s="17"/>
      <c r="X381" s="17"/>
      <c r="Y381" s="17"/>
      <c r="Z381" s="17" t="str">
        <f t="shared" si="6"/>
        <v>GPR080539R</v>
      </c>
    </row>
    <row r="382" spans="1:26">
      <c r="A382" s="17" t="s">
        <v>1943</v>
      </c>
      <c r="B382" s="17" t="s">
        <v>1943</v>
      </c>
      <c r="C382" s="17" t="s">
        <v>1944</v>
      </c>
      <c r="D382" s="17" t="s">
        <v>21</v>
      </c>
      <c r="E382" s="24" t="s">
        <v>6453</v>
      </c>
      <c r="F382" s="17" t="s">
        <v>88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43</v>
      </c>
      <c r="L382" s="17" t="s">
        <v>1037</v>
      </c>
      <c r="M382" s="17" t="s">
        <v>478</v>
      </c>
      <c r="N382" s="17" t="s">
        <v>1945</v>
      </c>
      <c r="O382" s="17" t="s">
        <v>26</v>
      </c>
      <c r="P382" s="17" t="s">
        <v>1946</v>
      </c>
      <c r="Q382" s="17"/>
      <c r="R382" s="17"/>
      <c r="S382" s="17"/>
      <c r="T382" s="17"/>
      <c r="U382" s="17"/>
      <c r="V382" s="17"/>
      <c r="W382" s="17"/>
      <c r="X382" s="17"/>
      <c r="Y382" s="17"/>
      <c r="Z382" s="17" t="str">
        <f t="shared" si="6"/>
        <v>GPR080543R</v>
      </c>
    </row>
    <row r="383" spans="1:26">
      <c r="A383" s="17" t="s">
        <v>1947</v>
      </c>
      <c r="B383" s="17" t="s">
        <v>1947</v>
      </c>
      <c r="C383" s="17" t="s">
        <v>1948</v>
      </c>
      <c r="D383" s="17" t="s">
        <v>21</v>
      </c>
      <c r="E383" s="24" t="s">
        <v>6453</v>
      </c>
      <c r="F383" s="17" t="s">
        <v>90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47</v>
      </c>
      <c r="L383" s="17" t="s">
        <v>24</v>
      </c>
      <c r="M383" s="17" t="s">
        <v>478</v>
      </c>
      <c r="N383" s="17" t="s">
        <v>1949</v>
      </c>
      <c r="O383" s="17" t="s">
        <v>26</v>
      </c>
      <c r="P383" s="17" t="s">
        <v>1950</v>
      </c>
      <c r="Q383" s="17" t="s">
        <v>478</v>
      </c>
      <c r="R383" s="17" t="s">
        <v>1951</v>
      </c>
      <c r="S383" s="17" t="s">
        <v>26</v>
      </c>
      <c r="T383" s="17" t="s">
        <v>1952</v>
      </c>
      <c r="U383" s="17"/>
      <c r="V383" s="17"/>
      <c r="W383" s="17"/>
      <c r="X383" s="17"/>
      <c r="Y383" s="17"/>
      <c r="Z383" s="17" t="str">
        <f t="shared" si="6"/>
        <v>GPR080547R</v>
      </c>
    </row>
    <row r="384" spans="1:26">
      <c r="A384" s="17" t="s">
        <v>1953</v>
      </c>
      <c r="B384" s="17" t="s">
        <v>1953</v>
      </c>
      <c r="C384" s="17" t="s">
        <v>1954</v>
      </c>
      <c r="D384" s="17" t="s">
        <v>21</v>
      </c>
      <c r="E384" s="24" t="s">
        <v>6453</v>
      </c>
      <c r="F384" s="17" t="s">
        <v>92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51</v>
      </c>
      <c r="L384" s="17" t="s">
        <v>1037</v>
      </c>
      <c r="M384" s="17" t="s">
        <v>478</v>
      </c>
      <c r="N384" s="17" t="s">
        <v>1955</v>
      </c>
      <c r="O384" s="17" t="s">
        <v>26</v>
      </c>
      <c r="P384" s="17" t="s">
        <v>1956</v>
      </c>
      <c r="Q384" s="17" t="s">
        <v>478</v>
      </c>
      <c r="R384" s="17" t="s">
        <v>1957</v>
      </c>
      <c r="S384" s="17" t="s">
        <v>26</v>
      </c>
      <c r="T384" s="17" t="s">
        <v>1958</v>
      </c>
      <c r="U384" s="17"/>
      <c r="V384" s="17"/>
      <c r="W384" s="17"/>
      <c r="X384" s="17"/>
      <c r="Y384" s="17"/>
      <c r="Z384" s="17" t="str">
        <f t="shared" si="6"/>
        <v>GPR080551R</v>
      </c>
    </row>
    <row r="385" spans="1:26">
      <c r="A385" s="17" t="s">
        <v>1959</v>
      </c>
      <c r="B385" s="17" t="s">
        <v>1959</v>
      </c>
      <c r="C385" s="17" t="s">
        <v>1960</v>
      </c>
      <c r="D385" s="17" t="s">
        <v>21</v>
      </c>
      <c r="E385" s="24" t="s">
        <v>6453</v>
      </c>
      <c r="F385" s="17" t="s">
        <v>94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56</v>
      </c>
      <c r="L385" s="17" t="s">
        <v>24</v>
      </c>
      <c r="M385" s="17" t="s">
        <v>478</v>
      </c>
      <c r="N385" s="17" t="s">
        <v>1961</v>
      </c>
      <c r="O385" s="17" t="s">
        <v>26</v>
      </c>
      <c r="P385" s="17" t="s">
        <v>1962</v>
      </c>
      <c r="Q385" s="17" t="s">
        <v>478</v>
      </c>
      <c r="R385" s="17" t="s">
        <v>1963</v>
      </c>
      <c r="S385" s="17" t="s">
        <v>26</v>
      </c>
      <c r="T385" s="17" t="s">
        <v>1964</v>
      </c>
      <c r="U385" s="17"/>
      <c r="V385" s="17"/>
      <c r="W385" s="17"/>
      <c r="X385" s="17"/>
      <c r="Y385" s="17"/>
      <c r="Z385" s="17" t="str">
        <f t="shared" si="6"/>
        <v>GPR080556R</v>
      </c>
    </row>
    <row r="386" spans="1:26">
      <c r="A386" s="17" t="s">
        <v>1965</v>
      </c>
      <c r="B386" s="17" t="s">
        <v>1965</v>
      </c>
      <c r="C386" s="17" t="s">
        <v>1966</v>
      </c>
      <c r="D386" s="17" t="s">
        <v>21</v>
      </c>
      <c r="E386" s="24" t="s">
        <v>6453</v>
      </c>
      <c r="F386" s="17" t="s">
        <v>96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62</v>
      </c>
      <c r="L386" s="17" t="s">
        <v>1037</v>
      </c>
      <c r="M386" s="17" t="s">
        <v>478</v>
      </c>
      <c r="N386" s="17" t="s">
        <v>1967</v>
      </c>
      <c r="O386" s="17" t="s">
        <v>26</v>
      </c>
      <c r="P386" s="17" t="s">
        <v>1968</v>
      </c>
      <c r="Q386" s="17"/>
      <c r="R386" s="17"/>
      <c r="S386" s="17"/>
      <c r="T386" s="17"/>
      <c r="U386" s="17"/>
      <c r="V386" s="17"/>
      <c r="W386" s="17"/>
      <c r="X386" s="17"/>
      <c r="Y386" s="17"/>
      <c r="Z386" s="17" t="str">
        <f t="shared" si="6"/>
        <v>GPR080562R</v>
      </c>
    </row>
    <row r="387" spans="1:26">
      <c r="A387" s="17" t="s">
        <v>1969</v>
      </c>
      <c r="B387" s="17" t="s">
        <v>1969</v>
      </c>
      <c r="C387" s="17" t="s">
        <v>1970</v>
      </c>
      <c r="D387" s="17" t="s">
        <v>21</v>
      </c>
      <c r="E387" s="24" t="s">
        <v>6453</v>
      </c>
      <c r="F387" s="17" t="s">
        <v>98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68</v>
      </c>
      <c r="L387" s="17" t="s">
        <v>24</v>
      </c>
      <c r="M387" s="17" t="s">
        <v>478</v>
      </c>
      <c r="N387" s="17" t="s">
        <v>1971</v>
      </c>
      <c r="O387" s="17" t="s">
        <v>26</v>
      </c>
      <c r="P387" s="17" t="s">
        <v>1972</v>
      </c>
      <c r="Q387" s="17" t="s">
        <v>478</v>
      </c>
      <c r="R387" s="17" t="s">
        <v>1973</v>
      </c>
      <c r="S387" s="17" t="s">
        <v>26</v>
      </c>
      <c r="T387" s="17" t="s">
        <v>1974</v>
      </c>
      <c r="U387" s="17"/>
      <c r="V387" s="17"/>
      <c r="W387" s="17"/>
      <c r="X387" s="17"/>
      <c r="Y387" s="17"/>
      <c r="Z387" s="17" t="str">
        <f t="shared" si="6"/>
        <v>GPR080568R</v>
      </c>
    </row>
    <row r="388" spans="1:26">
      <c r="A388" s="17" t="s">
        <v>1975</v>
      </c>
      <c r="B388" s="17" t="s">
        <v>1975</v>
      </c>
      <c r="C388" s="17" t="s">
        <v>1976</v>
      </c>
      <c r="D388" s="17" t="s">
        <v>21</v>
      </c>
      <c r="E388" s="24" t="s">
        <v>6453</v>
      </c>
      <c r="F388" s="17" t="s">
        <v>100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75</v>
      </c>
      <c r="L388" s="17" t="s">
        <v>24</v>
      </c>
      <c r="M388" s="17" t="s">
        <v>478</v>
      </c>
      <c r="N388" s="17" t="s">
        <v>1977</v>
      </c>
      <c r="O388" s="17" t="s">
        <v>26</v>
      </c>
      <c r="P388" s="17" t="s">
        <v>1978</v>
      </c>
      <c r="Q388" s="17" t="s">
        <v>478</v>
      </c>
      <c r="R388" s="17" t="s">
        <v>1979</v>
      </c>
      <c r="S388" s="17" t="s">
        <v>26</v>
      </c>
      <c r="T388" s="17" t="s">
        <v>1980</v>
      </c>
      <c r="U388" s="17"/>
      <c r="V388" s="17"/>
      <c r="W388" s="17"/>
      <c r="X388" s="17"/>
      <c r="Y388" s="17"/>
      <c r="Z388" s="17" t="str">
        <f t="shared" si="6"/>
        <v>GPR080575R</v>
      </c>
    </row>
    <row r="389" spans="1:26">
      <c r="A389" s="17" t="s">
        <v>1981</v>
      </c>
      <c r="B389" s="17" t="s">
        <v>1981</v>
      </c>
      <c r="C389" s="17" t="s">
        <v>1982</v>
      </c>
      <c r="D389" s="17" t="s">
        <v>21</v>
      </c>
      <c r="E389" s="24" t="s">
        <v>6453</v>
      </c>
      <c r="F389" s="17" t="s">
        <v>102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82</v>
      </c>
      <c r="L389" s="17" t="s">
        <v>24</v>
      </c>
      <c r="M389" s="17" t="s">
        <v>478</v>
      </c>
      <c r="N389" s="17" t="s">
        <v>1983</v>
      </c>
      <c r="O389" s="17" t="s">
        <v>26</v>
      </c>
      <c r="P389" s="17" t="s">
        <v>1984</v>
      </c>
      <c r="Q389" s="17" t="s">
        <v>478</v>
      </c>
      <c r="R389" s="17" t="s">
        <v>1985</v>
      </c>
      <c r="S389" s="17" t="s">
        <v>26</v>
      </c>
      <c r="T389" s="17" t="s">
        <v>1986</v>
      </c>
      <c r="U389" s="17"/>
      <c r="V389" s="17"/>
      <c r="W389" s="17"/>
      <c r="X389" s="17"/>
      <c r="Y389" s="17"/>
      <c r="Z389" s="17" t="str">
        <f t="shared" si="6"/>
        <v>GPR080582R</v>
      </c>
    </row>
    <row r="390" spans="1:26">
      <c r="A390" s="17" t="s">
        <v>1987</v>
      </c>
      <c r="B390" s="17" t="s">
        <v>1987</v>
      </c>
      <c r="C390" s="17" t="s">
        <v>1988</v>
      </c>
      <c r="D390" s="17" t="s">
        <v>21</v>
      </c>
      <c r="E390" s="24" t="s">
        <v>6453</v>
      </c>
      <c r="F390" s="17" t="s">
        <v>104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91</v>
      </c>
      <c r="L390" s="17" t="s">
        <v>24</v>
      </c>
      <c r="M390" s="17" t="s">
        <v>478</v>
      </c>
      <c r="N390" s="17" t="s">
        <v>1989</v>
      </c>
      <c r="O390" s="17" t="s">
        <v>26</v>
      </c>
      <c r="P390" s="17" t="s">
        <v>1990</v>
      </c>
      <c r="Q390" s="17" t="s">
        <v>478</v>
      </c>
      <c r="R390" s="17" t="s">
        <v>1991</v>
      </c>
      <c r="S390" s="17" t="s">
        <v>26</v>
      </c>
      <c r="T390" s="17" t="s">
        <v>1992</v>
      </c>
      <c r="U390" s="17"/>
      <c r="V390" s="17"/>
      <c r="W390" s="17"/>
      <c r="X390" s="17"/>
      <c r="Y390" s="17"/>
      <c r="Z390" s="17" t="str">
        <f t="shared" si="6"/>
        <v>GPR080591R</v>
      </c>
    </row>
    <row r="391" spans="1:26">
      <c r="A391" s="17" t="s">
        <v>1993</v>
      </c>
      <c r="B391" s="17" t="s">
        <v>1993</v>
      </c>
      <c r="C391" s="17" t="s">
        <v>1994</v>
      </c>
      <c r="D391" s="17" t="s">
        <v>21</v>
      </c>
      <c r="E391" s="24" t="s">
        <v>6453</v>
      </c>
      <c r="F391" s="17" t="s">
        <v>106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100</v>
      </c>
      <c r="L391" s="17" t="s">
        <v>1037</v>
      </c>
      <c r="M391" s="17" t="s">
        <v>478</v>
      </c>
      <c r="N391" s="17" t="s">
        <v>1995</v>
      </c>
      <c r="O391" s="17" t="s">
        <v>26</v>
      </c>
      <c r="P391" s="17" t="s">
        <v>1996</v>
      </c>
      <c r="Q391" s="17" t="s">
        <v>478</v>
      </c>
      <c r="R391" s="17" t="s">
        <v>1997</v>
      </c>
      <c r="S391" s="17" t="s">
        <v>26</v>
      </c>
      <c r="T391" s="17" t="s">
        <v>1998</v>
      </c>
      <c r="U391" s="17"/>
      <c r="V391" s="17"/>
      <c r="W391" s="17"/>
      <c r="X391" s="17"/>
      <c r="Y391" s="17"/>
      <c r="Z391" s="17" t="str">
        <f t="shared" si="6"/>
        <v>GPR0805100R</v>
      </c>
    </row>
    <row r="392" spans="1:26">
      <c r="A392" s="17" t="s">
        <v>1999</v>
      </c>
      <c r="B392" s="17" t="s">
        <v>1999</v>
      </c>
      <c r="C392" s="17" t="s">
        <v>2000</v>
      </c>
      <c r="D392" s="17" t="s">
        <v>21</v>
      </c>
      <c r="E392" s="24" t="s">
        <v>6453</v>
      </c>
      <c r="F392" s="17" t="s">
        <v>110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110</v>
      </c>
      <c r="L392" s="17" t="s">
        <v>1037</v>
      </c>
      <c r="M392" s="17" t="s">
        <v>478</v>
      </c>
      <c r="N392" s="17" t="s">
        <v>2001</v>
      </c>
      <c r="O392" s="17" t="s">
        <v>26</v>
      </c>
      <c r="P392" s="17" t="s">
        <v>2002</v>
      </c>
      <c r="Q392" s="17"/>
      <c r="R392" s="17"/>
      <c r="S392" s="17"/>
      <c r="T392" s="17"/>
      <c r="U392" s="17"/>
      <c r="V392" s="17"/>
      <c r="W392" s="17"/>
      <c r="X392" s="17"/>
      <c r="Y392" s="17"/>
      <c r="Z392" s="17" t="str">
        <f t="shared" si="6"/>
        <v>GPR0805110R</v>
      </c>
    </row>
    <row r="393" spans="1:26">
      <c r="A393" s="17" t="s">
        <v>2003</v>
      </c>
      <c r="B393" s="17" t="s">
        <v>2003</v>
      </c>
      <c r="C393" s="17" t="s">
        <v>2004</v>
      </c>
      <c r="D393" s="17" t="s">
        <v>21</v>
      </c>
      <c r="E393" s="24" t="s">
        <v>6453</v>
      </c>
      <c r="F393" s="17" t="s">
        <v>112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120</v>
      </c>
      <c r="L393" s="17" t="s">
        <v>24</v>
      </c>
      <c r="M393" s="17" t="s">
        <v>478</v>
      </c>
      <c r="N393" s="17" t="s">
        <v>2005</v>
      </c>
      <c r="O393" s="17" t="s">
        <v>26</v>
      </c>
      <c r="P393" s="17" t="s">
        <v>2006</v>
      </c>
      <c r="Q393" s="17" t="s">
        <v>478</v>
      </c>
      <c r="R393" s="17" t="s">
        <v>2007</v>
      </c>
      <c r="S393" s="17" t="s">
        <v>26</v>
      </c>
      <c r="T393" s="17" t="s">
        <v>2008</v>
      </c>
      <c r="U393" s="17"/>
      <c r="V393" s="17"/>
      <c r="W393" s="17"/>
      <c r="X393" s="17"/>
      <c r="Y393" s="17"/>
      <c r="Z393" s="17" t="str">
        <f t="shared" si="6"/>
        <v>GPR0805120R</v>
      </c>
    </row>
    <row r="394" spans="1:26">
      <c r="A394" s="17" t="s">
        <v>2009</v>
      </c>
      <c r="B394" s="17" t="s">
        <v>2009</v>
      </c>
      <c r="C394" s="17" t="s">
        <v>2010</v>
      </c>
      <c r="D394" s="17" t="s">
        <v>21</v>
      </c>
      <c r="E394" s="24" t="s">
        <v>6453</v>
      </c>
      <c r="F394" s="17" t="s">
        <v>114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130</v>
      </c>
      <c r="L394" s="17" t="s">
        <v>1037</v>
      </c>
      <c r="M394" s="17" t="s">
        <v>478</v>
      </c>
      <c r="N394" s="17" t="s">
        <v>2011</v>
      </c>
      <c r="O394" s="17" t="s">
        <v>26</v>
      </c>
      <c r="P394" s="17" t="s">
        <v>2012</v>
      </c>
      <c r="Q394" s="17"/>
      <c r="R394" s="17"/>
      <c r="S394" s="17"/>
      <c r="T394" s="17"/>
      <c r="U394" s="17"/>
      <c r="V394" s="17"/>
      <c r="W394" s="17"/>
      <c r="X394" s="17"/>
      <c r="Y394" s="17"/>
      <c r="Z394" s="17" t="str">
        <f t="shared" si="6"/>
        <v>GPR0805130R</v>
      </c>
    </row>
    <row r="395" spans="1:26">
      <c r="A395" s="17" t="s">
        <v>2013</v>
      </c>
      <c r="B395" s="17" t="s">
        <v>2013</v>
      </c>
      <c r="C395" s="17" t="s">
        <v>2014</v>
      </c>
      <c r="D395" s="17" t="s">
        <v>21</v>
      </c>
      <c r="E395" s="24" t="s">
        <v>6453</v>
      </c>
      <c r="F395" s="17" t="s">
        <v>116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150</v>
      </c>
      <c r="L395" s="17" t="s">
        <v>24</v>
      </c>
      <c r="M395" s="17" t="s">
        <v>478</v>
      </c>
      <c r="N395" s="17" t="s">
        <v>2015</v>
      </c>
      <c r="O395" s="17" t="s">
        <v>26</v>
      </c>
      <c r="P395" s="17" t="s">
        <v>2016</v>
      </c>
      <c r="Q395" s="17" t="s">
        <v>478</v>
      </c>
      <c r="R395" s="17" t="s">
        <v>2017</v>
      </c>
      <c r="S395" s="17" t="s">
        <v>26</v>
      </c>
      <c r="T395" s="17" t="s">
        <v>2018</v>
      </c>
      <c r="U395" s="17"/>
      <c r="V395" s="17"/>
      <c r="W395" s="17"/>
      <c r="X395" s="17"/>
      <c r="Y395" s="17"/>
      <c r="Z395" s="17" t="str">
        <f t="shared" si="6"/>
        <v>GPR0805150R</v>
      </c>
    </row>
    <row r="396" spans="1:26">
      <c r="A396" s="17" t="s">
        <v>2019</v>
      </c>
      <c r="B396" s="17" t="s">
        <v>2019</v>
      </c>
      <c r="C396" s="17" t="s">
        <v>2020</v>
      </c>
      <c r="D396" s="17" t="s">
        <v>21</v>
      </c>
      <c r="E396" s="24" t="s">
        <v>6453</v>
      </c>
      <c r="F396" s="17" t="s">
        <v>118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160</v>
      </c>
      <c r="L396" s="17" t="s">
        <v>24</v>
      </c>
      <c r="M396" s="17" t="s">
        <v>478</v>
      </c>
      <c r="N396" s="17" t="s">
        <v>2021</v>
      </c>
      <c r="O396" s="17" t="s">
        <v>26</v>
      </c>
      <c r="P396" s="17" t="s">
        <v>2022</v>
      </c>
      <c r="Q396" s="17" t="s">
        <v>478</v>
      </c>
      <c r="R396" s="17" t="s">
        <v>2023</v>
      </c>
      <c r="S396" s="17" t="s">
        <v>26</v>
      </c>
      <c r="T396" s="17" t="s">
        <v>2024</v>
      </c>
      <c r="U396" s="17"/>
      <c r="V396" s="17"/>
      <c r="W396" s="17"/>
      <c r="X396" s="17"/>
      <c r="Y396" s="17"/>
      <c r="Z396" s="17" t="str">
        <f t="shared" si="6"/>
        <v>GPR0805160R</v>
      </c>
    </row>
    <row r="397" spans="1:26">
      <c r="A397" s="17" t="s">
        <v>2025</v>
      </c>
      <c r="B397" s="17" t="s">
        <v>2025</v>
      </c>
      <c r="C397" s="17" t="s">
        <v>2026</v>
      </c>
      <c r="D397" s="17" t="s">
        <v>21</v>
      </c>
      <c r="E397" s="24" t="s">
        <v>6453</v>
      </c>
      <c r="F397" s="17" t="s">
        <v>120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180</v>
      </c>
      <c r="L397" s="17" t="s">
        <v>24</v>
      </c>
      <c r="M397" s="17" t="s">
        <v>478</v>
      </c>
      <c r="N397" s="17" t="s">
        <v>2027</v>
      </c>
      <c r="O397" s="17" t="s">
        <v>26</v>
      </c>
      <c r="P397" s="17" t="s">
        <v>2028</v>
      </c>
      <c r="Q397" s="17" t="s">
        <v>478</v>
      </c>
      <c r="R397" s="17" t="s">
        <v>2029</v>
      </c>
      <c r="S397" s="17" t="s">
        <v>26</v>
      </c>
      <c r="T397" s="17" t="s">
        <v>2030</v>
      </c>
      <c r="U397" s="17"/>
      <c r="V397" s="17"/>
      <c r="W397" s="17"/>
      <c r="X397" s="17"/>
      <c r="Y397" s="17"/>
      <c r="Z397" s="17" t="str">
        <f t="shared" si="6"/>
        <v>GPR0805180R</v>
      </c>
    </row>
    <row r="398" spans="1:26">
      <c r="A398" s="17" t="s">
        <v>2031</v>
      </c>
      <c r="B398" s="17" t="s">
        <v>2031</v>
      </c>
      <c r="C398" s="17" t="s">
        <v>2032</v>
      </c>
      <c r="D398" s="17" t="s">
        <v>21</v>
      </c>
      <c r="E398" s="24" t="s">
        <v>6453</v>
      </c>
      <c r="F398" s="17" t="s">
        <v>124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200</v>
      </c>
      <c r="L398" s="17" t="s">
        <v>24</v>
      </c>
      <c r="M398" s="17" t="s">
        <v>478</v>
      </c>
      <c r="N398" s="17" t="s">
        <v>2033</v>
      </c>
      <c r="O398" s="17" t="s">
        <v>26</v>
      </c>
      <c r="P398" s="17" t="s">
        <v>2034</v>
      </c>
      <c r="Q398" s="17" t="s">
        <v>478</v>
      </c>
      <c r="R398" s="17" t="s">
        <v>2035</v>
      </c>
      <c r="S398" s="17" t="s">
        <v>26</v>
      </c>
      <c r="T398" s="17" t="s">
        <v>2036</v>
      </c>
      <c r="U398" s="17"/>
      <c r="V398" s="17"/>
      <c r="W398" s="17"/>
      <c r="X398" s="17"/>
      <c r="Y398" s="17"/>
      <c r="Z398" s="17" t="str">
        <f t="shared" si="6"/>
        <v>GPR0805200R</v>
      </c>
    </row>
    <row r="399" spans="1:26">
      <c r="A399" s="17" t="s">
        <v>2037</v>
      </c>
      <c r="B399" s="17" t="s">
        <v>2037</v>
      </c>
      <c r="C399" s="17" t="s">
        <v>2038</v>
      </c>
      <c r="D399" s="17" t="s">
        <v>21</v>
      </c>
      <c r="E399" s="24" t="s">
        <v>6453</v>
      </c>
      <c r="F399" s="17" t="s">
        <v>126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220</v>
      </c>
      <c r="L399" s="17" t="s">
        <v>24</v>
      </c>
      <c r="M399" s="17" t="s">
        <v>478</v>
      </c>
      <c r="N399" s="17" t="s">
        <v>2039</v>
      </c>
      <c r="O399" s="17" t="s">
        <v>26</v>
      </c>
      <c r="P399" s="17" t="s">
        <v>2040</v>
      </c>
      <c r="Q399" s="17" t="s">
        <v>478</v>
      </c>
      <c r="R399" s="17" t="s">
        <v>2041</v>
      </c>
      <c r="S399" s="17" t="s">
        <v>26</v>
      </c>
      <c r="T399" s="17" t="s">
        <v>2042</v>
      </c>
      <c r="U399" s="17"/>
      <c r="V399" s="17"/>
      <c r="W399" s="17"/>
      <c r="X399" s="17"/>
      <c r="Y399" s="17"/>
      <c r="Z399" s="17" t="str">
        <f t="shared" si="6"/>
        <v>GPR0805220R</v>
      </c>
    </row>
    <row r="400" spans="1:26">
      <c r="A400" s="17" t="s">
        <v>2043</v>
      </c>
      <c r="B400" s="17" t="s">
        <v>2043</v>
      </c>
      <c r="C400" s="17" t="s">
        <v>2044</v>
      </c>
      <c r="D400" s="17" t="s">
        <v>21</v>
      </c>
      <c r="E400" s="24" t="s">
        <v>6453</v>
      </c>
      <c r="F400" s="17" t="s">
        <v>130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240</v>
      </c>
      <c r="L400" s="17" t="s">
        <v>24</v>
      </c>
      <c r="M400" s="17" t="s">
        <v>478</v>
      </c>
      <c r="N400" s="17" t="s">
        <v>2045</v>
      </c>
      <c r="O400" s="17" t="s">
        <v>26</v>
      </c>
      <c r="P400" s="17" t="s">
        <v>2046</v>
      </c>
      <c r="Q400" s="17" t="s">
        <v>478</v>
      </c>
      <c r="R400" s="17" t="s">
        <v>2047</v>
      </c>
      <c r="S400" s="17" t="s">
        <v>26</v>
      </c>
      <c r="T400" s="17" t="s">
        <v>2048</v>
      </c>
      <c r="U400" s="17"/>
      <c r="V400" s="17"/>
      <c r="W400" s="17"/>
      <c r="X400" s="17"/>
      <c r="Y400" s="17"/>
      <c r="Z400" s="17" t="str">
        <f t="shared" si="6"/>
        <v>GPR0805240R</v>
      </c>
    </row>
    <row r="401" spans="1:26">
      <c r="A401" s="17" t="s">
        <v>2049</v>
      </c>
      <c r="B401" s="17" t="s">
        <v>2049</v>
      </c>
      <c r="C401" s="17" t="s">
        <v>2050</v>
      </c>
      <c r="D401" s="17" t="s">
        <v>21</v>
      </c>
      <c r="E401" s="24" t="s">
        <v>6453</v>
      </c>
      <c r="F401" s="17" t="s">
        <v>132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270</v>
      </c>
      <c r="L401" s="17" t="s">
        <v>24</v>
      </c>
      <c r="M401" s="17" t="s">
        <v>478</v>
      </c>
      <c r="N401" s="17" t="s">
        <v>2051</v>
      </c>
      <c r="O401" s="17" t="s">
        <v>26</v>
      </c>
      <c r="P401" s="17" t="s">
        <v>2052</v>
      </c>
      <c r="Q401" s="17" t="s">
        <v>478</v>
      </c>
      <c r="R401" s="17" t="s">
        <v>2053</v>
      </c>
      <c r="S401" s="17" t="s">
        <v>26</v>
      </c>
      <c r="T401" s="17" t="s">
        <v>2054</v>
      </c>
      <c r="U401" s="17"/>
      <c r="V401" s="17"/>
      <c r="W401" s="17"/>
      <c r="X401" s="17"/>
      <c r="Y401" s="17"/>
      <c r="Z401" s="17" t="str">
        <f t="shared" si="6"/>
        <v>GPR0805270R</v>
      </c>
    </row>
    <row r="402" spans="1:26">
      <c r="A402" s="17" t="s">
        <v>2055</v>
      </c>
      <c r="B402" s="17" t="s">
        <v>2055</v>
      </c>
      <c r="C402" s="17" t="s">
        <v>2056</v>
      </c>
      <c r="D402" s="17" t="s">
        <v>21</v>
      </c>
      <c r="E402" s="24" t="s">
        <v>6453</v>
      </c>
      <c r="F402" s="17" t="s">
        <v>134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300</v>
      </c>
      <c r="L402" s="17" t="s">
        <v>24</v>
      </c>
      <c r="M402" s="17" t="s">
        <v>478</v>
      </c>
      <c r="N402" s="17" t="s">
        <v>2057</v>
      </c>
      <c r="O402" s="17" t="s">
        <v>26</v>
      </c>
      <c r="P402" s="17" t="s">
        <v>2058</v>
      </c>
      <c r="Q402" s="17" t="s">
        <v>478</v>
      </c>
      <c r="R402" s="17" t="s">
        <v>2059</v>
      </c>
      <c r="S402" s="17" t="s">
        <v>26</v>
      </c>
      <c r="T402" s="17" t="s">
        <v>2060</v>
      </c>
      <c r="U402" s="17"/>
      <c r="V402" s="17"/>
      <c r="W402" s="17"/>
      <c r="X402" s="17"/>
      <c r="Y402" s="17"/>
      <c r="Z402" s="17" t="str">
        <f t="shared" si="6"/>
        <v>GPR0805300R</v>
      </c>
    </row>
    <row r="403" spans="1:26">
      <c r="A403" s="17" t="s">
        <v>2061</v>
      </c>
      <c r="B403" s="17" t="s">
        <v>2061</v>
      </c>
      <c r="C403" s="17" t="s">
        <v>2062</v>
      </c>
      <c r="D403" s="17" t="s">
        <v>21</v>
      </c>
      <c r="E403" s="24" t="s">
        <v>6453</v>
      </c>
      <c r="F403" s="17" t="s">
        <v>138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330</v>
      </c>
      <c r="L403" s="17" t="s">
        <v>24</v>
      </c>
      <c r="M403" s="17" t="s">
        <v>478</v>
      </c>
      <c r="N403" s="17" t="s">
        <v>2063</v>
      </c>
      <c r="O403" s="17" t="s">
        <v>26</v>
      </c>
      <c r="P403" s="17" t="s">
        <v>2064</v>
      </c>
      <c r="Q403" s="17" t="s">
        <v>478</v>
      </c>
      <c r="R403" s="17" t="s">
        <v>2065</v>
      </c>
      <c r="S403" s="17" t="s">
        <v>26</v>
      </c>
      <c r="T403" s="17" t="s">
        <v>2066</v>
      </c>
      <c r="U403" s="17"/>
      <c r="V403" s="17"/>
      <c r="W403" s="17"/>
      <c r="X403" s="17"/>
      <c r="Y403" s="17"/>
      <c r="Z403" s="17" t="str">
        <f t="shared" si="6"/>
        <v>GPR0805330R</v>
      </c>
    </row>
    <row r="404" spans="1:26">
      <c r="A404" s="17" t="s">
        <v>2067</v>
      </c>
      <c r="B404" s="17" t="s">
        <v>2067</v>
      </c>
      <c r="C404" s="17" t="s">
        <v>2068</v>
      </c>
      <c r="D404" s="17" t="s">
        <v>21</v>
      </c>
      <c r="E404" s="24" t="s">
        <v>6453</v>
      </c>
      <c r="F404" s="17" t="s">
        <v>140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360</v>
      </c>
      <c r="L404" s="17" t="s">
        <v>24</v>
      </c>
      <c r="M404" s="17" t="s">
        <v>478</v>
      </c>
      <c r="N404" s="17" t="s">
        <v>2069</v>
      </c>
      <c r="O404" s="17" t="s">
        <v>26</v>
      </c>
      <c r="P404" s="17" t="s">
        <v>2070</v>
      </c>
      <c r="Q404" s="17" t="s">
        <v>478</v>
      </c>
      <c r="R404" s="17" t="s">
        <v>2071</v>
      </c>
      <c r="S404" s="17" t="s">
        <v>26</v>
      </c>
      <c r="T404" s="17" t="s">
        <v>2072</v>
      </c>
      <c r="U404" s="17"/>
      <c r="V404" s="17"/>
      <c r="W404" s="17"/>
      <c r="X404" s="17"/>
      <c r="Y404" s="17"/>
      <c r="Z404" s="17" t="str">
        <f t="shared" si="6"/>
        <v>GPR0805360R</v>
      </c>
    </row>
    <row r="405" spans="1:26">
      <c r="A405" s="17" t="s">
        <v>2073</v>
      </c>
      <c r="B405" s="17" t="s">
        <v>2073</v>
      </c>
      <c r="C405" s="17" t="s">
        <v>2074</v>
      </c>
      <c r="D405" s="17" t="s">
        <v>21</v>
      </c>
      <c r="E405" s="24" t="s">
        <v>6453</v>
      </c>
      <c r="F405" s="17" t="s">
        <v>142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390</v>
      </c>
      <c r="L405" s="17" t="s">
        <v>24</v>
      </c>
      <c r="M405" s="17" t="s">
        <v>478</v>
      </c>
      <c r="N405" s="17" t="s">
        <v>2075</v>
      </c>
      <c r="O405" s="17" t="s">
        <v>26</v>
      </c>
      <c r="P405" s="17" t="s">
        <v>2076</v>
      </c>
      <c r="Q405" s="17" t="s">
        <v>478</v>
      </c>
      <c r="R405" s="17" t="s">
        <v>2077</v>
      </c>
      <c r="S405" s="17" t="s">
        <v>26</v>
      </c>
      <c r="T405" s="17" t="s">
        <v>2078</v>
      </c>
      <c r="U405" s="17"/>
      <c r="V405" s="17"/>
      <c r="W405" s="17"/>
      <c r="X405" s="17"/>
      <c r="Y405" s="17"/>
      <c r="Z405" s="17" t="str">
        <f t="shared" si="6"/>
        <v>GPR0805390R</v>
      </c>
    </row>
    <row r="406" spans="1:26">
      <c r="A406" s="17" t="s">
        <v>2079</v>
      </c>
      <c r="B406" s="17" t="s">
        <v>2079</v>
      </c>
      <c r="C406" s="17" t="s">
        <v>2080</v>
      </c>
      <c r="D406" s="17" t="s">
        <v>21</v>
      </c>
      <c r="E406" s="24" t="s">
        <v>6453</v>
      </c>
      <c r="F406" s="17" t="s">
        <v>144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430</v>
      </c>
      <c r="L406" s="17" t="s">
        <v>24</v>
      </c>
      <c r="M406" s="17" t="s">
        <v>478</v>
      </c>
      <c r="N406" s="17" t="s">
        <v>2081</v>
      </c>
      <c r="O406" s="17" t="s">
        <v>26</v>
      </c>
      <c r="P406" s="17" t="s">
        <v>2082</v>
      </c>
      <c r="Q406" s="17" t="s">
        <v>478</v>
      </c>
      <c r="R406" s="17" t="s">
        <v>2083</v>
      </c>
      <c r="S406" s="17" t="s">
        <v>26</v>
      </c>
      <c r="T406" s="17" t="s">
        <v>2084</v>
      </c>
      <c r="U406" s="17"/>
      <c r="V406" s="17"/>
      <c r="W406" s="17"/>
      <c r="X406" s="17"/>
      <c r="Y406" s="17"/>
      <c r="Z406" s="17" t="str">
        <f t="shared" si="6"/>
        <v>GPR0805430R</v>
      </c>
    </row>
    <row r="407" spans="1:26">
      <c r="A407" s="17" t="s">
        <v>2085</v>
      </c>
      <c r="B407" s="17" t="s">
        <v>2085</v>
      </c>
      <c r="C407" s="17" t="s">
        <v>2086</v>
      </c>
      <c r="D407" s="17" t="s">
        <v>21</v>
      </c>
      <c r="E407" s="24" t="s">
        <v>6453</v>
      </c>
      <c r="F407" s="17" t="s">
        <v>146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470</v>
      </c>
      <c r="L407" s="17" t="s">
        <v>24</v>
      </c>
      <c r="M407" s="17" t="s">
        <v>478</v>
      </c>
      <c r="N407" s="17" t="s">
        <v>2087</v>
      </c>
      <c r="O407" s="17" t="s">
        <v>26</v>
      </c>
      <c r="P407" s="17" t="s">
        <v>2088</v>
      </c>
      <c r="Q407" s="17" t="s">
        <v>478</v>
      </c>
      <c r="R407" s="17" t="s">
        <v>2089</v>
      </c>
      <c r="S407" s="17" t="s">
        <v>26</v>
      </c>
      <c r="T407" s="17" t="s">
        <v>2090</v>
      </c>
      <c r="U407" s="17"/>
      <c r="V407" s="17"/>
      <c r="W407" s="17"/>
      <c r="X407" s="17"/>
      <c r="Y407" s="17"/>
      <c r="Z407" s="17" t="str">
        <f t="shared" si="6"/>
        <v>GPR0805470R</v>
      </c>
    </row>
    <row r="408" spans="1:26">
      <c r="A408" s="17" t="s">
        <v>2091</v>
      </c>
      <c r="B408" s="17" t="s">
        <v>2091</v>
      </c>
      <c r="C408" s="17" t="s">
        <v>2092</v>
      </c>
      <c r="D408" s="17" t="s">
        <v>21</v>
      </c>
      <c r="E408" s="24" t="s">
        <v>6453</v>
      </c>
      <c r="F408" s="17" t="s">
        <v>150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510</v>
      </c>
      <c r="L408" s="17" t="s">
        <v>24</v>
      </c>
      <c r="M408" s="17" t="s">
        <v>478</v>
      </c>
      <c r="N408" s="17" t="s">
        <v>2093</v>
      </c>
      <c r="O408" s="17" t="s">
        <v>26</v>
      </c>
      <c r="P408" s="17" t="s">
        <v>2094</v>
      </c>
      <c r="Q408" s="17" t="s">
        <v>478</v>
      </c>
      <c r="R408" s="17" t="s">
        <v>2095</v>
      </c>
      <c r="S408" s="17" t="s">
        <v>26</v>
      </c>
      <c r="T408" s="17" t="s">
        <v>2096</v>
      </c>
      <c r="U408" s="17"/>
      <c r="V408" s="17"/>
      <c r="W408" s="17"/>
      <c r="X408" s="17"/>
      <c r="Y408" s="17"/>
      <c r="Z408" s="17" t="str">
        <f t="shared" si="6"/>
        <v>GPR0805510R</v>
      </c>
    </row>
    <row r="409" spans="1:26">
      <c r="A409" s="17" t="s">
        <v>2097</v>
      </c>
      <c r="B409" s="17" t="s">
        <v>2097</v>
      </c>
      <c r="C409" s="17" t="s">
        <v>2098</v>
      </c>
      <c r="D409" s="17" t="s">
        <v>21</v>
      </c>
      <c r="E409" s="24" t="s">
        <v>6453</v>
      </c>
      <c r="F409" s="17" t="s">
        <v>152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560</v>
      </c>
      <c r="L409" s="17" t="s">
        <v>24</v>
      </c>
      <c r="M409" s="17" t="s">
        <v>478</v>
      </c>
      <c r="N409" s="17" t="s">
        <v>2099</v>
      </c>
      <c r="O409" s="17" t="s">
        <v>26</v>
      </c>
      <c r="P409" s="17" t="s">
        <v>2100</v>
      </c>
      <c r="Q409" s="17" t="s">
        <v>478</v>
      </c>
      <c r="R409" s="17" t="s">
        <v>2101</v>
      </c>
      <c r="S409" s="17" t="s">
        <v>26</v>
      </c>
      <c r="T409" s="17" t="s">
        <v>2102</v>
      </c>
      <c r="U409" s="17"/>
      <c r="V409" s="17"/>
      <c r="W409" s="17"/>
      <c r="X409" s="17"/>
      <c r="Y409" s="17"/>
      <c r="Z409" s="17" t="str">
        <f t="shared" si="6"/>
        <v>GPR0805560R</v>
      </c>
    </row>
    <row r="410" spans="1:26">
      <c r="A410" s="17" t="s">
        <v>2103</v>
      </c>
      <c r="B410" s="17" t="s">
        <v>2103</v>
      </c>
      <c r="C410" s="17" t="s">
        <v>2104</v>
      </c>
      <c r="D410" s="17" t="s">
        <v>21</v>
      </c>
      <c r="E410" s="24" t="s">
        <v>6453</v>
      </c>
      <c r="F410" s="17" t="s">
        <v>154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620</v>
      </c>
      <c r="L410" s="17" t="s">
        <v>1037</v>
      </c>
      <c r="M410" s="17" t="s">
        <v>478</v>
      </c>
      <c r="N410" s="17" t="s">
        <v>2105</v>
      </c>
      <c r="O410" s="17" t="s">
        <v>26</v>
      </c>
      <c r="P410" s="17" t="s">
        <v>2106</v>
      </c>
      <c r="Q410" s="17" t="s">
        <v>478</v>
      </c>
      <c r="R410" s="17" t="s">
        <v>2107</v>
      </c>
      <c r="S410" s="17" t="s">
        <v>26</v>
      </c>
      <c r="T410" s="17" t="s">
        <v>2108</v>
      </c>
      <c r="U410" s="17"/>
      <c r="V410" s="17"/>
      <c r="W410" s="17"/>
      <c r="X410" s="17"/>
      <c r="Y410" s="17"/>
      <c r="Z410" s="17" t="str">
        <f t="shared" si="6"/>
        <v>GPR0805620R</v>
      </c>
    </row>
    <row r="411" spans="1:26">
      <c r="A411" s="17" t="s">
        <v>2109</v>
      </c>
      <c r="B411" s="17" t="s">
        <v>2109</v>
      </c>
      <c r="C411" s="17" t="s">
        <v>2110</v>
      </c>
      <c r="D411" s="17" t="s">
        <v>21</v>
      </c>
      <c r="E411" s="24" t="s">
        <v>6453</v>
      </c>
      <c r="F411" s="17" t="s">
        <v>156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680</v>
      </c>
      <c r="L411" s="17" t="s">
        <v>24</v>
      </c>
      <c r="M411" s="17" t="s">
        <v>478</v>
      </c>
      <c r="N411" s="17" t="s">
        <v>2111</v>
      </c>
      <c r="O411" s="17" t="s">
        <v>26</v>
      </c>
      <c r="P411" s="17" t="s">
        <v>2112</v>
      </c>
      <c r="Q411" s="17" t="s">
        <v>478</v>
      </c>
      <c r="R411" s="17" t="s">
        <v>2113</v>
      </c>
      <c r="S411" s="17" t="s">
        <v>26</v>
      </c>
      <c r="T411" s="17" t="s">
        <v>2114</v>
      </c>
      <c r="U411" s="17"/>
      <c r="V411" s="17"/>
      <c r="W411" s="17"/>
      <c r="X411" s="17"/>
      <c r="Y411" s="17"/>
      <c r="Z411" s="17" t="str">
        <f t="shared" si="6"/>
        <v>GPR0805680R</v>
      </c>
    </row>
    <row r="412" spans="1:26">
      <c r="A412" s="17" t="s">
        <v>2115</v>
      </c>
      <c r="B412" s="17" t="s">
        <v>2115</v>
      </c>
      <c r="C412" s="17" t="s">
        <v>2116</v>
      </c>
      <c r="D412" s="17" t="s">
        <v>21</v>
      </c>
      <c r="E412" s="24" t="s">
        <v>6453</v>
      </c>
      <c r="F412" s="17" t="s">
        <v>158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750</v>
      </c>
      <c r="L412" s="17" t="s">
        <v>1037</v>
      </c>
      <c r="M412" s="17" t="s">
        <v>478</v>
      </c>
      <c r="N412" s="17" t="s">
        <v>2117</v>
      </c>
      <c r="O412" s="17" t="s">
        <v>26</v>
      </c>
      <c r="P412" s="17" t="s">
        <v>2118</v>
      </c>
      <c r="Q412" s="17" t="s">
        <v>478</v>
      </c>
      <c r="R412" s="17" t="s">
        <v>2119</v>
      </c>
      <c r="S412" s="17" t="s">
        <v>26</v>
      </c>
      <c r="T412" s="17" t="s">
        <v>2120</v>
      </c>
      <c r="U412" s="17"/>
      <c r="V412" s="17"/>
      <c r="W412" s="17"/>
      <c r="X412" s="17"/>
      <c r="Y412" s="17"/>
      <c r="Z412" s="17" t="str">
        <f t="shared" si="6"/>
        <v>GPR0805750R</v>
      </c>
    </row>
    <row r="413" spans="1:26">
      <c r="A413" s="17" t="s">
        <v>2121</v>
      </c>
      <c r="B413" s="17" t="s">
        <v>2121</v>
      </c>
      <c r="C413" s="17" t="s">
        <v>2122</v>
      </c>
      <c r="D413" s="17" t="s">
        <v>21</v>
      </c>
      <c r="E413" s="24" t="s">
        <v>6453</v>
      </c>
      <c r="F413" s="17" t="s">
        <v>160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820</v>
      </c>
      <c r="L413" s="17" t="s">
        <v>24</v>
      </c>
      <c r="M413" s="17" t="s">
        <v>478</v>
      </c>
      <c r="N413" s="17" t="s">
        <v>2123</v>
      </c>
      <c r="O413" s="17" t="s">
        <v>26</v>
      </c>
      <c r="P413" s="17" t="s">
        <v>2124</v>
      </c>
      <c r="Q413" s="17" t="s">
        <v>478</v>
      </c>
      <c r="R413" s="17" t="s">
        <v>2125</v>
      </c>
      <c r="S413" s="17" t="s">
        <v>26</v>
      </c>
      <c r="T413" s="17" t="s">
        <v>2126</v>
      </c>
      <c r="U413" s="17"/>
      <c r="V413" s="17"/>
      <c r="W413" s="17"/>
      <c r="X413" s="17"/>
      <c r="Y413" s="17"/>
      <c r="Z413" s="17" t="str">
        <f t="shared" si="6"/>
        <v>GPR0805820R</v>
      </c>
    </row>
    <row r="414" spans="1:26">
      <c r="A414" s="17" t="s">
        <v>2127</v>
      </c>
      <c r="B414" s="17" t="s">
        <v>2127</v>
      </c>
      <c r="C414" s="17" t="s">
        <v>2128</v>
      </c>
      <c r="D414" s="17" t="s">
        <v>21</v>
      </c>
      <c r="E414" s="24" t="s">
        <v>6453</v>
      </c>
      <c r="F414" s="17" t="s">
        <v>162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910</v>
      </c>
      <c r="L414" s="17" t="s">
        <v>1037</v>
      </c>
      <c r="M414" s="17" t="s">
        <v>478</v>
      </c>
      <c r="N414" s="17" t="s">
        <v>2129</v>
      </c>
      <c r="O414" s="17" t="s">
        <v>26</v>
      </c>
      <c r="P414" s="17" t="s">
        <v>2130</v>
      </c>
      <c r="Q414" s="17"/>
      <c r="R414" s="17"/>
      <c r="S414" s="17"/>
      <c r="T414" s="17"/>
      <c r="U414" s="17"/>
      <c r="V414" s="17"/>
      <c r="W414" s="17"/>
      <c r="X414" s="17"/>
      <c r="Y414" s="17"/>
      <c r="Z414" s="17" t="str">
        <f t="shared" si="6"/>
        <v>GPR0805910R</v>
      </c>
    </row>
    <row r="415" spans="1:26">
      <c r="A415" s="17" t="s">
        <v>2131</v>
      </c>
      <c r="B415" s="17" t="s">
        <v>2131</v>
      </c>
      <c r="C415" s="17" t="s">
        <v>2132</v>
      </c>
      <c r="D415" s="17" t="s">
        <v>21</v>
      </c>
      <c r="E415" s="24" t="s">
        <v>6453</v>
      </c>
      <c r="F415" s="17" t="s">
        <v>164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1000</v>
      </c>
      <c r="L415" s="17" t="s">
        <v>24</v>
      </c>
      <c r="M415" s="17" t="s">
        <v>478</v>
      </c>
      <c r="N415" s="17" t="s">
        <v>2133</v>
      </c>
      <c r="O415" s="17" t="s">
        <v>26</v>
      </c>
      <c r="P415" s="17" t="s">
        <v>2134</v>
      </c>
      <c r="Q415" s="17" t="s">
        <v>478</v>
      </c>
      <c r="R415" s="17" t="s">
        <v>2135</v>
      </c>
      <c r="S415" s="17" t="s">
        <v>26</v>
      </c>
      <c r="T415" s="17" t="s">
        <v>2136</v>
      </c>
      <c r="U415" s="17"/>
      <c r="V415" s="17"/>
      <c r="W415" s="17"/>
      <c r="X415" s="17"/>
      <c r="Y415" s="17"/>
      <c r="Z415" s="17" t="str">
        <f t="shared" si="6"/>
        <v>GPR08051K</v>
      </c>
    </row>
    <row r="416" spans="1:26">
      <c r="A416" s="17" t="s">
        <v>2137</v>
      </c>
      <c r="B416" s="17" t="s">
        <v>2137</v>
      </c>
      <c r="C416" s="17" t="s">
        <v>2138</v>
      </c>
      <c r="D416" s="17" t="s">
        <v>21</v>
      </c>
      <c r="E416" s="24" t="s">
        <v>6453</v>
      </c>
      <c r="F416" s="17" t="s">
        <v>166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1100</v>
      </c>
      <c r="L416" s="17" t="s">
        <v>24</v>
      </c>
      <c r="M416" s="17" t="s">
        <v>478</v>
      </c>
      <c r="N416" s="17" t="s">
        <v>2139</v>
      </c>
      <c r="O416" s="17" t="s">
        <v>26</v>
      </c>
      <c r="P416" s="17" t="s">
        <v>2140</v>
      </c>
      <c r="Q416" s="17" t="s">
        <v>478</v>
      </c>
      <c r="R416" s="17" t="s">
        <v>2141</v>
      </c>
      <c r="S416" s="17" t="s">
        <v>26</v>
      </c>
      <c r="T416" s="17" t="s">
        <v>2142</v>
      </c>
      <c r="U416" s="17"/>
      <c r="V416" s="17"/>
      <c r="W416" s="17"/>
      <c r="X416" s="17"/>
      <c r="Y416" s="17"/>
      <c r="Z416" s="17" t="str">
        <f t="shared" si="6"/>
        <v>GPR08051K1</v>
      </c>
    </row>
    <row r="417" spans="1:26">
      <c r="A417" s="17" t="s">
        <v>2143</v>
      </c>
      <c r="B417" s="17" t="s">
        <v>2143</v>
      </c>
      <c r="C417" s="17" t="s">
        <v>2144</v>
      </c>
      <c r="D417" s="17" t="s">
        <v>21</v>
      </c>
      <c r="E417" s="24" t="s">
        <v>6453</v>
      </c>
      <c r="F417" s="17" t="s">
        <v>168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1200</v>
      </c>
      <c r="L417" s="17" t="s">
        <v>24</v>
      </c>
      <c r="M417" s="17" t="s">
        <v>478</v>
      </c>
      <c r="N417" s="17" t="s">
        <v>2145</v>
      </c>
      <c r="O417" s="17" t="s">
        <v>26</v>
      </c>
      <c r="P417" s="17" t="s">
        <v>2146</v>
      </c>
      <c r="Q417" s="17" t="s">
        <v>478</v>
      </c>
      <c r="R417" s="17" t="s">
        <v>2147</v>
      </c>
      <c r="S417" s="17" t="s">
        <v>26</v>
      </c>
      <c r="T417" s="17" t="s">
        <v>2148</v>
      </c>
      <c r="U417" s="17"/>
      <c r="V417" s="17"/>
      <c r="W417" s="17"/>
      <c r="X417" s="17"/>
      <c r="Y417" s="17"/>
      <c r="Z417" s="17" t="str">
        <f t="shared" si="6"/>
        <v>GPR08051K2</v>
      </c>
    </row>
    <row r="418" spans="1:26">
      <c r="A418" s="17" t="s">
        <v>2149</v>
      </c>
      <c r="B418" s="17" t="s">
        <v>2149</v>
      </c>
      <c r="C418" s="17" t="s">
        <v>2150</v>
      </c>
      <c r="D418" s="17" t="s">
        <v>21</v>
      </c>
      <c r="E418" s="24" t="s">
        <v>6453</v>
      </c>
      <c r="F418" s="17" t="s">
        <v>170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1300</v>
      </c>
      <c r="L418" s="17" t="s">
        <v>24</v>
      </c>
      <c r="M418" s="17" t="s">
        <v>478</v>
      </c>
      <c r="N418" s="17" t="s">
        <v>2151</v>
      </c>
      <c r="O418" s="17" t="s">
        <v>26</v>
      </c>
      <c r="P418" s="17" t="s">
        <v>2152</v>
      </c>
      <c r="Q418" s="17" t="s">
        <v>478</v>
      </c>
      <c r="R418" s="17" t="s">
        <v>2153</v>
      </c>
      <c r="S418" s="17" t="s">
        <v>26</v>
      </c>
      <c r="T418" s="17" t="s">
        <v>2154</v>
      </c>
      <c r="U418" s="17"/>
      <c r="V418" s="17"/>
      <c r="W418" s="17"/>
      <c r="X418" s="17"/>
      <c r="Y418" s="17"/>
      <c r="Z418" s="17" t="str">
        <f t="shared" si="6"/>
        <v>GPR08051K3</v>
      </c>
    </row>
    <row r="419" spans="1:26">
      <c r="A419" s="17" t="s">
        <v>2155</v>
      </c>
      <c r="B419" s="17" t="s">
        <v>2155</v>
      </c>
      <c r="C419" s="17" t="s">
        <v>2156</v>
      </c>
      <c r="D419" s="17" t="s">
        <v>21</v>
      </c>
      <c r="E419" s="24" t="s">
        <v>6453</v>
      </c>
      <c r="F419" s="17" t="s">
        <v>172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1500</v>
      </c>
      <c r="L419" s="17" t="s">
        <v>24</v>
      </c>
      <c r="M419" s="17" t="s">
        <v>478</v>
      </c>
      <c r="N419" s="17" t="s">
        <v>2157</v>
      </c>
      <c r="O419" s="17" t="s">
        <v>26</v>
      </c>
      <c r="P419" s="17" t="s">
        <v>2158</v>
      </c>
      <c r="Q419" s="17" t="s">
        <v>478</v>
      </c>
      <c r="R419" s="17" t="s">
        <v>2159</v>
      </c>
      <c r="S419" s="17" t="s">
        <v>26</v>
      </c>
      <c r="T419" s="17" t="s">
        <v>2160</v>
      </c>
      <c r="U419" s="17"/>
      <c r="V419" s="17"/>
      <c r="W419" s="17"/>
      <c r="X419" s="17"/>
      <c r="Y419" s="17"/>
      <c r="Z419" s="17" t="str">
        <f t="shared" si="6"/>
        <v>GPR08051K5</v>
      </c>
    </row>
    <row r="420" spans="1:26">
      <c r="A420" s="17" t="s">
        <v>2161</v>
      </c>
      <c r="B420" s="17" t="s">
        <v>2161</v>
      </c>
      <c r="C420" s="17" t="s">
        <v>2162</v>
      </c>
      <c r="D420" s="17" t="s">
        <v>21</v>
      </c>
      <c r="E420" s="24" t="s">
        <v>6453</v>
      </c>
      <c r="F420" s="17" t="s">
        <v>176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1600</v>
      </c>
      <c r="L420" s="17" t="s">
        <v>24</v>
      </c>
      <c r="M420" s="17" t="s">
        <v>478</v>
      </c>
      <c r="N420" s="17" t="s">
        <v>2163</v>
      </c>
      <c r="O420" s="17" t="s">
        <v>26</v>
      </c>
      <c r="P420" s="17" t="s">
        <v>2164</v>
      </c>
      <c r="Q420" s="17" t="s">
        <v>478</v>
      </c>
      <c r="R420" s="17" t="s">
        <v>2165</v>
      </c>
      <c r="S420" s="17" t="s">
        <v>26</v>
      </c>
      <c r="T420" s="17" t="s">
        <v>2166</v>
      </c>
      <c r="U420" s="17"/>
      <c r="V420" s="17"/>
      <c r="W420" s="17"/>
      <c r="X420" s="17"/>
      <c r="Y420" s="17"/>
      <c r="Z420" s="17" t="str">
        <f t="shared" si="6"/>
        <v>GPR08051K6</v>
      </c>
    </row>
    <row r="421" spans="1:26">
      <c r="A421" s="17" t="s">
        <v>2167</v>
      </c>
      <c r="B421" s="17" t="s">
        <v>2167</v>
      </c>
      <c r="C421" s="17" t="s">
        <v>2168</v>
      </c>
      <c r="D421" s="17" t="s">
        <v>21</v>
      </c>
      <c r="E421" s="24" t="s">
        <v>6453</v>
      </c>
      <c r="F421" s="17" t="s">
        <v>182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1800</v>
      </c>
      <c r="L421" s="17" t="s">
        <v>24</v>
      </c>
      <c r="M421" s="17" t="s">
        <v>478</v>
      </c>
      <c r="N421" s="17" t="s">
        <v>2169</v>
      </c>
      <c r="O421" s="17" t="s">
        <v>26</v>
      </c>
      <c r="P421" s="17" t="s">
        <v>2170</v>
      </c>
      <c r="Q421" s="17" t="s">
        <v>478</v>
      </c>
      <c r="R421" s="17" t="s">
        <v>2171</v>
      </c>
      <c r="S421" s="17" t="s">
        <v>26</v>
      </c>
      <c r="T421" s="17" t="s">
        <v>2172</v>
      </c>
      <c r="U421" s="17"/>
      <c r="V421" s="17"/>
      <c r="W421" s="17"/>
      <c r="X421" s="17"/>
      <c r="Y421" s="17"/>
      <c r="Z421" s="17" t="str">
        <f t="shared" si="6"/>
        <v>GPR08051K8</v>
      </c>
    </row>
    <row r="422" spans="1:26">
      <c r="A422" s="17" t="s">
        <v>2173</v>
      </c>
      <c r="B422" s="17" t="s">
        <v>2173</v>
      </c>
      <c r="C422" s="17" t="s">
        <v>2174</v>
      </c>
      <c r="D422" s="17" t="s">
        <v>21</v>
      </c>
      <c r="E422" s="24" t="s">
        <v>6453</v>
      </c>
      <c r="F422" s="17" t="s">
        <v>184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2000</v>
      </c>
      <c r="L422" s="17" t="s">
        <v>1037</v>
      </c>
      <c r="M422" s="17" t="s">
        <v>478</v>
      </c>
      <c r="N422" s="17" t="s">
        <v>2175</v>
      </c>
      <c r="O422" s="17" t="s">
        <v>26</v>
      </c>
      <c r="P422" s="17" t="s">
        <v>2176</v>
      </c>
      <c r="Q422" s="17" t="s">
        <v>478</v>
      </c>
      <c r="R422" s="17" t="s">
        <v>2177</v>
      </c>
      <c r="S422" s="17" t="s">
        <v>26</v>
      </c>
      <c r="T422" s="17" t="s">
        <v>2178</v>
      </c>
      <c r="U422" s="17"/>
      <c r="V422" s="17"/>
      <c r="W422" s="17"/>
      <c r="X422" s="17"/>
      <c r="Y422" s="17"/>
      <c r="Z422" s="17" t="str">
        <f t="shared" si="6"/>
        <v>GPR08052K</v>
      </c>
    </row>
    <row r="423" spans="1:26">
      <c r="A423" s="17" t="s">
        <v>2179</v>
      </c>
      <c r="B423" s="17" t="s">
        <v>2179</v>
      </c>
      <c r="C423" s="17" t="s">
        <v>2180</v>
      </c>
      <c r="D423" s="17" t="s">
        <v>21</v>
      </c>
      <c r="E423" s="24" t="s">
        <v>6453</v>
      </c>
      <c r="F423" s="17" t="s">
        <v>188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2200</v>
      </c>
      <c r="L423" s="17" t="s">
        <v>24</v>
      </c>
      <c r="M423" s="17" t="s">
        <v>478</v>
      </c>
      <c r="N423" s="17" t="s">
        <v>2181</v>
      </c>
      <c r="O423" s="17" t="s">
        <v>26</v>
      </c>
      <c r="P423" s="17" t="s">
        <v>2182</v>
      </c>
      <c r="Q423" s="17" t="s">
        <v>478</v>
      </c>
      <c r="R423" s="17" t="s">
        <v>2183</v>
      </c>
      <c r="S423" s="17" t="s">
        <v>26</v>
      </c>
      <c r="T423" s="17" t="s">
        <v>2184</v>
      </c>
      <c r="U423" s="17"/>
      <c r="V423" s="17"/>
      <c r="W423" s="17"/>
      <c r="X423" s="17"/>
      <c r="Y423" s="17"/>
      <c r="Z423" s="17" t="str">
        <f t="shared" si="6"/>
        <v>GPR08052K2</v>
      </c>
    </row>
    <row r="424" spans="1:26">
      <c r="A424" s="17" t="s">
        <v>2185</v>
      </c>
      <c r="B424" s="17" t="s">
        <v>2185</v>
      </c>
      <c r="C424" s="17" t="s">
        <v>2186</v>
      </c>
      <c r="D424" s="17" t="s">
        <v>21</v>
      </c>
      <c r="E424" s="24" t="s">
        <v>6453</v>
      </c>
      <c r="F424" s="17" t="s">
        <v>192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2400</v>
      </c>
      <c r="L424" s="17" t="s">
        <v>24</v>
      </c>
      <c r="M424" s="17" t="s">
        <v>478</v>
      </c>
      <c r="N424" s="17" t="s">
        <v>2187</v>
      </c>
      <c r="O424" s="17" t="s">
        <v>26</v>
      </c>
      <c r="P424" s="17" t="s">
        <v>2188</v>
      </c>
      <c r="Q424" s="17" t="s">
        <v>478</v>
      </c>
      <c r="R424" s="17" t="s">
        <v>2189</v>
      </c>
      <c r="S424" s="17" t="s">
        <v>26</v>
      </c>
      <c r="T424" s="17" t="s">
        <v>2190</v>
      </c>
      <c r="U424" s="17"/>
      <c r="V424" s="17"/>
      <c r="W424" s="17"/>
      <c r="X424" s="17"/>
      <c r="Y424" s="17"/>
      <c r="Z424" s="17" t="str">
        <f t="shared" si="6"/>
        <v>GPR08052K4</v>
      </c>
    </row>
    <row r="425" spans="1:26">
      <c r="A425" s="17" t="s">
        <v>2191</v>
      </c>
      <c r="B425" s="17" t="s">
        <v>2191</v>
      </c>
      <c r="C425" s="17" t="s">
        <v>2192</v>
      </c>
      <c r="D425" s="17" t="s">
        <v>21</v>
      </c>
      <c r="E425" s="24" t="s">
        <v>6453</v>
      </c>
      <c r="F425" s="17" t="s">
        <v>194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2700</v>
      </c>
      <c r="L425" s="17" t="s">
        <v>24</v>
      </c>
      <c r="M425" s="17" t="s">
        <v>478</v>
      </c>
      <c r="N425" s="17" t="s">
        <v>2193</v>
      </c>
      <c r="O425" s="17" t="s">
        <v>26</v>
      </c>
      <c r="P425" s="17" t="s">
        <v>2194</v>
      </c>
      <c r="Q425" s="17" t="s">
        <v>478</v>
      </c>
      <c r="R425" s="17" t="s">
        <v>2195</v>
      </c>
      <c r="S425" s="17" t="s">
        <v>26</v>
      </c>
      <c r="T425" s="17" t="s">
        <v>2196</v>
      </c>
      <c r="U425" s="17"/>
      <c r="V425" s="17"/>
      <c r="W425" s="17"/>
      <c r="X425" s="17"/>
      <c r="Y425" s="17"/>
      <c r="Z425" s="17" t="str">
        <f t="shared" si="6"/>
        <v>GPR08052K7</v>
      </c>
    </row>
    <row r="426" spans="1:26">
      <c r="A426" s="17" t="s">
        <v>2197</v>
      </c>
      <c r="B426" s="17" t="s">
        <v>2197</v>
      </c>
      <c r="C426" s="17" t="s">
        <v>2198</v>
      </c>
      <c r="D426" s="17" t="s">
        <v>21</v>
      </c>
      <c r="E426" s="24" t="s">
        <v>6453</v>
      </c>
      <c r="F426" s="17" t="s">
        <v>198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3000</v>
      </c>
      <c r="L426" s="17" t="s">
        <v>24</v>
      </c>
      <c r="M426" s="17" t="s">
        <v>478</v>
      </c>
      <c r="N426" s="17" t="s">
        <v>2199</v>
      </c>
      <c r="O426" s="17" t="s">
        <v>26</v>
      </c>
      <c r="P426" s="17" t="s">
        <v>2200</v>
      </c>
      <c r="Q426" s="17" t="s">
        <v>478</v>
      </c>
      <c r="R426" s="17" t="s">
        <v>2201</v>
      </c>
      <c r="S426" s="17" t="s">
        <v>26</v>
      </c>
      <c r="T426" s="17" t="s">
        <v>2202</v>
      </c>
      <c r="U426" s="17"/>
      <c r="V426" s="17"/>
      <c r="W426" s="17"/>
      <c r="X426" s="17"/>
      <c r="Y426" s="17"/>
      <c r="Z426" s="17" t="str">
        <f t="shared" si="6"/>
        <v>GPR08053K</v>
      </c>
    </row>
    <row r="427" spans="1:26">
      <c r="A427" s="17" t="s">
        <v>2203</v>
      </c>
      <c r="B427" s="17" t="s">
        <v>2203</v>
      </c>
      <c r="C427" s="17" t="s">
        <v>2204</v>
      </c>
      <c r="D427" s="17" t="s">
        <v>21</v>
      </c>
      <c r="E427" s="24" t="s">
        <v>6453</v>
      </c>
      <c r="F427" s="17" t="s">
        <v>202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3300</v>
      </c>
      <c r="L427" s="17" t="s">
        <v>24</v>
      </c>
      <c r="M427" s="17" t="s">
        <v>478</v>
      </c>
      <c r="N427" s="17" t="s">
        <v>2205</v>
      </c>
      <c r="O427" s="17" t="s">
        <v>26</v>
      </c>
      <c r="P427" s="17" t="s">
        <v>2206</v>
      </c>
      <c r="Q427" s="17" t="s">
        <v>478</v>
      </c>
      <c r="R427" s="17" t="s">
        <v>2207</v>
      </c>
      <c r="S427" s="17" t="s">
        <v>26</v>
      </c>
      <c r="T427" s="17" t="s">
        <v>2208</v>
      </c>
      <c r="U427" s="17"/>
      <c r="V427" s="17"/>
      <c r="W427" s="17"/>
      <c r="X427" s="17"/>
      <c r="Y427" s="17"/>
      <c r="Z427" s="17" t="str">
        <f t="shared" si="6"/>
        <v>GPR08053K3</v>
      </c>
    </row>
    <row r="428" spans="1:26">
      <c r="A428" s="17" t="s">
        <v>2209</v>
      </c>
      <c r="B428" s="17" t="s">
        <v>2209</v>
      </c>
      <c r="C428" s="17" t="s">
        <v>2210</v>
      </c>
      <c r="D428" s="17" t="s">
        <v>21</v>
      </c>
      <c r="E428" s="24" t="s">
        <v>6453</v>
      </c>
      <c r="F428" s="17" t="s">
        <v>204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3600</v>
      </c>
      <c r="L428" s="17" t="s">
        <v>24</v>
      </c>
      <c r="M428" s="17" t="s">
        <v>478</v>
      </c>
      <c r="N428" s="17" t="s">
        <v>2211</v>
      </c>
      <c r="O428" s="17" t="s">
        <v>26</v>
      </c>
      <c r="P428" s="17" t="s">
        <v>2212</v>
      </c>
      <c r="Q428" s="17" t="s">
        <v>478</v>
      </c>
      <c r="R428" s="17" t="s">
        <v>2213</v>
      </c>
      <c r="S428" s="17" t="s">
        <v>26</v>
      </c>
      <c r="T428" s="17" t="s">
        <v>2214</v>
      </c>
      <c r="U428" s="17"/>
      <c r="V428" s="17"/>
      <c r="W428" s="17"/>
      <c r="X428" s="17"/>
      <c r="Y428" s="17"/>
      <c r="Z428" s="17" t="str">
        <f t="shared" si="6"/>
        <v>GPR08053K6</v>
      </c>
    </row>
    <row r="429" spans="1:26">
      <c r="A429" s="17" t="s">
        <v>2215</v>
      </c>
      <c r="B429" s="17" t="s">
        <v>2215</v>
      </c>
      <c r="C429" s="17" t="s">
        <v>2216</v>
      </c>
      <c r="D429" s="17" t="s">
        <v>21</v>
      </c>
      <c r="E429" s="24" t="s">
        <v>6453</v>
      </c>
      <c r="F429" s="17" t="s">
        <v>206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3900</v>
      </c>
      <c r="L429" s="17" t="s">
        <v>24</v>
      </c>
      <c r="M429" s="17" t="s">
        <v>478</v>
      </c>
      <c r="N429" s="17" t="s">
        <v>2217</v>
      </c>
      <c r="O429" s="17" t="s">
        <v>26</v>
      </c>
      <c r="P429" s="17" t="s">
        <v>2218</v>
      </c>
      <c r="Q429" s="17" t="s">
        <v>478</v>
      </c>
      <c r="R429" s="17" t="s">
        <v>2219</v>
      </c>
      <c r="S429" s="17" t="s">
        <v>26</v>
      </c>
      <c r="T429" s="17" t="s">
        <v>2220</v>
      </c>
      <c r="U429" s="17"/>
      <c r="V429" s="17"/>
      <c r="W429" s="17"/>
      <c r="X429" s="17"/>
      <c r="Y429" s="17"/>
      <c r="Z429" s="17" t="str">
        <f t="shared" ref="Z429:Z492" si="7">"GPR"&amp;E429&amp;F429</f>
        <v>GPR08053K9</v>
      </c>
    </row>
    <row r="430" spans="1:26">
      <c r="A430" s="17" t="s">
        <v>2221</v>
      </c>
      <c r="B430" s="17" t="s">
        <v>2221</v>
      </c>
      <c r="C430" s="17" t="s">
        <v>2222</v>
      </c>
      <c r="D430" s="17" t="s">
        <v>21</v>
      </c>
      <c r="E430" s="24" t="s">
        <v>6453</v>
      </c>
      <c r="F430" s="17" t="s">
        <v>208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4300</v>
      </c>
      <c r="L430" s="17" t="s">
        <v>24</v>
      </c>
      <c r="M430" s="17" t="s">
        <v>478</v>
      </c>
      <c r="N430" s="17" t="s">
        <v>2223</v>
      </c>
      <c r="O430" s="17" t="s">
        <v>26</v>
      </c>
      <c r="P430" s="17" t="s">
        <v>2224</v>
      </c>
      <c r="Q430" s="17" t="s">
        <v>478</v>
      </c>
      <c r="R430" s="17" t="s">
        <v>2225</v>
      </c>
      <c r="S430" s="17" t="s">
        <v>26</v>
      </c>
      <c r="T430" s="17" t="s">
        <v>2226</v>
      </c>
      <c r="U430" s="17"/>
      <c r="V430" s="17"/>
      <c r="W430" s="17"/>
      <c r="X430" s="17"/>
      <c r="Y430" s="17"/>
      <c r="Z430" s="17" t="str">
        <f t="shared" si="7"/>
        <v>GPR08054K3</v>
      </c>
    </row>
    <row r="431" spans="1:26">
      <c r="A431" s="17" t="s">
        <v>2227</v>
      </c>
      <c r="B431" s="17" t="s">
        <v>2227</v>
      </c>
      <c r="C431" s="17" t="s">
        <v>2228</v>
      </c>
      <c r="D431" s="17" t="s">
        <v>21</v>
      </c>
      <c r="E431" s="24" t="s">
        <v>6453</v>
      </c>
      <c r="F431" s="17" t="s">
        <v>210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4700</v>
      </c>
      <c r="L431" s="17" t="s">
        <v>24</v>
      </c>
      <c r="M431" s="17" t="s">
        <v>478</v>
      </c>
      <c r="N431" s="17" t="s">
        <v>2229</v>
      </c>
      <c r="O431" s="17" t="s">
        <v>26</v>
      </c>
      <c r="P431" s="17" t="s">
        <v>2230</v>
      </c>
      <c r="Q431" s="17" t="s">
        <v>478</v>
      </c>
      <c r="R431" s="17" t="s">
        <v>2231</v>
      </c>
      <c r="S431" s="17" t="s">
        <v>26</v>
      </c>
      <c r="T431" s="17" t="s">
        <v>2232</v>
      </c>
      <c r="U431" s="17"/>
      <c r="V431" s="17"/>
      <c r="W431" s="17"/>
      <c r="X431" s="17"/>
      <c r="Y431" s="17"/>
      <c r="Z431" s="17" t="str">
        <f t="shared" si="7"/>
        <v>GPR08054K7</v>
      </c>
    </row>
    <row r="432" spans="1:26">
      <c r="A432" s="17" t="s">
        <v>2233</v>
      </c>
      <c r="B432" s="17" t="s">
        <v>2233</v>
      </c>
      <c r="C432" s="17" t="s">
        <v>2234</v>
      </c>
      <c r="D432" s="17" t="s">
        <v>21</v>
      </c>
      <c r="E432" s="24" t="s">
        <v>6453</v>
      </c>
      <c r="F432" s="17" t="s">
        <v>214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5100</v>
      </c>
      <c r="L432" s="17" t="s">
        <v>24</v>
      </c>
      <c r="M432" s="17" t="s">
        <v>478</v>
      </c>
      <c r="N432" s="17" t="s">
        <v>2235</v>
      </c>
      <c r="O432" s="17" t="s">
        <v>26</v>
      </c>
      <c r="P432" s="17" t="s">
        <v>2236</v>
      </c>
      <c r="Q432" s="17" t="s">
        <v>478</v>
      </c>
      <c r="R432" s="17" t="s">
        <v>2237</v>
      </c>
      <c r="S432" s="17" t="s">
        <v>26</v>
      </c>
      <c r="T432" s="17" t="s">
        <v>2238</v>
      </c>
      <c r="U432" s="17"/>
      <c r="V432" s="17"/>
      <c r="W432" s="17"/>
      <c r="X432" s="17"/>
      <c r="Y432" s="17"/>
      <c r="Z432" s="17" t="str">
        <f t="shared" si="7"/>
        <v>GPR08055K1</v>
      </c>
    </row>
    <row r="433" spans="1:26">
      <c r="A433" s="17" t="s">
        <v>2239</v>
      </c>
      <c r="B433" s="17" t="s">
        <v>2239</v>
      </c>
      <c r="C433" s="17" t="s">
        <v>2240</v>
      </c>
      <c r="D433" s="17" t="s">
        <v>21</v>
      </c>
      <c r="E433" s="24" t="s">
        <v>6453</v>
      </c>
      <c r="F433" s="17" t="s">
        <v>216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5600</v>
      </c>
      <c r="L433" s="17" t="s">
        <v>24</v>
      </c>
      <c r="M433" s="17" t="s">
        <v>478</v>
      </c>
      <c r="N433" s="17" t="s">
        <v>2241</v>
      </c>
      <c r="O433" s="17" t="s">
        <v>26</v>
      </c>
      <c r="P433" s="17" t="s">
        <v>2242</v>
      </c>
      <c r="Q433" s="17" t="s">
        <v>478</v>
      </c>
      <c r="R433" s="17" t="s">
        <v>2243</v>
      </c>
      <c r="S433" s="17" t="s">
        <v>26</v>
      </c>
      <c r="T433" s="17" t="s">
        <v>2244</v>
      </c>
      <c r="U433" s="17"/>
      <c r="V433" s="17"/>
      <c r="W433" s="17"/>
      <c r="X433" s="17"/>
      <c r="Y433" s="17"/>
      <c r="Z433" s="17" t="str">
        <f t="shared" si="7"/>
        <v>GPR08055K6</v>
      </c>
    </row>
    <row r="434" spans="1:26">
      <c r="A434" s="17" t="s">
        <v>2245</v>
      </c>
      <c r="B434" s="17" t="s">
        <v>2245</v>
      </c>
      <c r="C434" s="17" t="s">
        <v>2246</v>
      </c>
      <c r="D434" s="17" t="s">
        <v>21</v>
      </c>
      <c r="E434" s="24" t="s">
        <v>6453</v>
      </c>
      <c r="F434" s="17" t="s">
        <v>218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6200</v>
      </c>
      <c r="L434" s="17" t="s">
        <v>24</v>
      </c>
      <c r="M434" s="17" t="s">
        <v>478</v>
      </c>
      <c r="N434" s="17" t="s">
        <v>2247</v>
      </c>
      <c r="O434" s="17" t="s">
        <v>26</v>
      </c>
      <c r="P434" s="17" t="s">
        <v>2248</v>
      </c>
      <c r="Q434" s="17" t="s">
        <v>478</v>
      </c>
      <c r="R434" s="17" t="s">
        <v>2249</v>
      </c>
      <c r="S434" s="17" t="s">
        <v>26</v>
      </c>
      <c r="T434" s="17" t="s">
        <v>2250</v>
      </c>
      <c r="U434" s="17"/>
      <c r="V434" s="17"/>
      <c r="W434" s="17"/>
      <c r="X434" s="17"/>
      <c r="Y434" s="17"/>
      <c r="Z434" s="17" t="str">
        <f t="shared" si="7"/>
        <v>GPR08056K2</v>
      </c>
    </row>
    <row r="435" spans="1:26">
      <c r="A435" s="17" t="s">
        <v>2251</v>
      </c>
      <c r="B435" s="17" t="s">
        <v>2251</v>
      </c>
      <c r="C435" s="17" t="s">
        <v>2252</v>
      </c>
      <c r="D435" s="17" t="s">
        <v>21</v>
      </c>
      <c r="E435" s="24" t="s">
        <v>6453</v>
      </c>
      <c r="F435" s="17" t="s">
        <v>220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6800</v>
      </c>
      <c r="L435" s="17" t="s">
        <v>24</v>
      </c>
      <c r="M435" s="17" t="s">
        <v>478</v>
      </c>
      <c r="N435" s="17" t="s">
        <v>2253</v>
      </c>
      <c r="O435" s="17" t="s">
        <v>26</v>
      </c>
      <c r="P435" s="17" t="s">
        <v>2254</v>
      </c>
      <c r="Q435" s="17" t="s">
        <v>478</v>
      </c>
      <c r="R435" s="17" t="s">
        <v>2255</v>
      </c>
      <c r="S435" s="17" t="s">
        <v>26</v>
      </c>
      <c r="T435" s="17" t="s">
        <v>2256</v>
      </c>
      <c r="U435" s="17"/>
      <c r="V435" s="17"/>
      <c r="W435" s="17"/>
      <c r="X435" s="17"/>
      <c r="Y435" s="17"/>
      <c r="Z435" s="17" t="str">
        <f t="shared" si="7"/>
        <v>GPR08056K8</v>
      </c>
    </row>
    <row r="436" spans="1:26">
      <c r="A436" s="17" t="s">
        <v>2257</v>
      </c>
      <c r="B436" s="17" t="s">
        <v>2257</v>
      </c>
      <c r="C436" s="17" t="s">
        <v>2258</v>
      </c>
      <c r="D436" s="17" t="s">
        <v>21</v>
      </c>
      <c r="E436" s="24" t="s">
        <v>6453</v>
      </c>
      <c r="F436" s="17" t="s">
        <v>222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7500</v>
      </c>
      <c r="L436" s="17" t="s">
        <v>24</v>
      </c>
      <c r="M436" s="17" t="s">
        <v>478</v>
      </c>
      <c r="N436" s="17" t="s">
        <v>2259</v>
      </c>
      <c r="O436" s="17" t="s">
        <v>26</v>
      </c>
      <c r="P436" s="17" t="s">
        <v>2260</v>
      </c>
      <c r="Q436" s="17" t="s">
        <v>478</v>
      </c>
      <c r="R436" s="17" t="s">
        <v>2261</v>
      </c>
      <c r="S436" s="17" t="s">
        <v>26</v>
      </c>
      <c r="T436" s="17" t="s">
        <v>2262</v>
      </c>
      <c r="U436" s="17"/>
      <c r="V436" s="17"/>
      <c r="W436" s="17"/>
      <c r="X436" s="17"/>
      <c r="Y436" s="17"/>
      <c r="Z436" s="17" t="str">
        <f t="shared" si="7"/>
        <v>GPR08057K5</v>
      </c>
    </row>
    <row r="437" spans="1:26">
      <c r="A437" s="17" t="s">
        <v>2263</v>
      </c>
      <c r="B437" s="17" t="s">
        <v>2263</v>
      </c>
      <c r="C437" s="17" t="s">
        <v>2264</v>
      </c>
      <c r="D437" s="17" t="s">
        <v>21</v>
      </c>
      <c r="E437" s="24" t="s">
        <v>6453</v>
      </c>
      <c r="F437" s="17" t="s">
        <v>224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8200</v>
      </c>
      <c r="L437" s="17" t="s">
        <v>24</v>
      </c>
      <c r="M437" s="17" t="s">
        <v>478</v>
      </c>
      <c r="N437" s="17" t="s">
        <v>2265</v>
      </c>
      <c r="O437" s="17" t="s">
        <v>26</v>
      </c>
      <c r="P437" s="17" t="s">
        <v>2266</v>
      </c>
      <c r="Q437" s="17" t="s">
        <v>478</v>
      </c>
      <c r="R437" s="17" t="s">
        <v>2267</v>
      </c>
      <c r="S437" s="17" t="s">
        <v>26</v>
      </c>
      <c r="T437" s="17" t="s">
        <v>2268</v>
      </c>
      <c r="U437" s="17"/>
      <c r="V437" s="17"/>
      <c r="W437" s="17"/>
      <c r="X437" s="17"/>
      <c r="Y437" s="17"/>
      <c r="Z437" s="17" t="str">
        <f t="shared" si="7"/>
        <v>GPR08058K2</v>
      </c>
    </row>
    <row r="438" spans="1:26">
      <c r="A438" s="17" t="s">
        <v>2269</v>
      </c>
      <c r="B438" s="17" t="s">
        <v>2269</v>
      </c>
      <c r="C438" s="17" t="s">
        <v>2270</v>
      </c>
      <c r="D438" s="17" t="s">
        <v>21</v>
      </c>
      <c r="E438" s="24" t="s">
        <v>6453</v>
      </c>
      <c r="F438" s="17" t="s">
        <v>226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9100</v>
      </c>
      <c r="L438" s="17" t="s">
        <v>1037</v>
      </c>
      <c r="M438" s="17" t="s">
        <v>478</v>
      </c>
      <c r="N438" s="17" t="s">
        <v>2271</v>
      </c>
      <c r="O438" s="17" t="s">
        <v>26</v>
      </c>
      <c r="P438" s="17" t="s">
        <v>2272</v>
      </c>
      <c r="Q438" s="17"/>
      <c r="R438" s="17"/>
      <c r="S438" s="17"/>
      <c r="T438" s="17"/>
      <c r="U438" s="17"/>
      <c r="V438" s="17"/>
      <c r="W438" s="17"/>
      <c r="X438" s="17"/>
      <c r="Y438" s="17"/>
      <c r="Z438" s="17" t="str">
        <f t="shared" si="7"/>
        <v>GPR08059K1</v>
      </c>
    </row>
    <row r="439" spans="1:26" ht="15.75">
      <c r="A439" s="17" t="s">
        <v>2273</v>
      </c>
      <c r="B439" s="17" t="s">
        <v>2273</v>
      </c>
      <c r="C439" s="17" t="s">
        <v>2274</v>
      </c>
      <c r="D439" s="17" t="s">
        <v>21</v>
      </c>
      <c r="E439" s="24" t="s">
        <v>6453</v>
      </c>
      <c r="F439" s="17" t="s">
        <v>230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10000</v>
      </c>
      <c r="L439" s="17" t="s">
        <v>24</v>
      </c>
      <c r="M439" s="17" t="s">
        <v>478</v>
      </c>
      <c r="N439" s="17" t="s">
        <v>2275</v>
      </c>
      <c r="O439" s="17" t="s">
        <v>26</v>
      </c>
      <c r="P439" s="17" t="s">
        <v>2276</v>
      </c>
      <c r="Q439" s="17" t="s">
        <v>478</v>
      </c>
      <c r="R439" s="17" t="s">
        <v>2277</v>
      </c>
      <c r="S439" s="17" t="s">
        <v>26</v>
      </c>
      <c r="T439" s="17" t="s">
        <v>2278</v>
      </c>
      <c r="U439" s="42" t="s">
        <v>4731</v>
      </c>
      <c r="V439" s="8" t="s">
        <v>13601</v>
      </c>
      <c r="W439" t="s">
        <v>4561</v>
      </c>
      <c r="X439" s="8" t="s">
        <v>13600</v>
      </c>
      <c r="Y439" t="s">
        <v>4730</v>
      </c>
      <c r="Z439" s="17" t="str">
        <f t="shared" si="7"/>
        <v>GPR080510K</v>
      </c>
    </row>
    <row r="440" spans="1:26">
      <c r="A440" s="17" t="s">
        <v>2279</v>
      </c>
      <c r="B440" s="17" t="s">
        <v>2279</v>
      </c>
      <c r="C440" s="17" t="s">
        <v>2280</v>
      </c>
      <c r="D440" s="17" t="s">
        <v>21</v>
      </c>
      <c r="E440" s="24" t="s">
        <v>6453</v>
      </c>
      <c r="F440" s="17" t="s">
        <v>234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11000</v>
      </c>
      <c r="L440" s="17" t="s">
        <v>24</v>
      </c>
      <c r="M440" s="17" t="s">
        <v>478</v>
      </c>
      <c r="N440" s="17" t="s">
        <v>2281</v>
      </c>
      <c r="O440" s="17" t="s">
        <v>26</v>
      </c>
      <c r="P440" s="17" t="s">
        <v>2282</v>
      </c>
      <c r="Q440" s="17" t="s">
        <v>478</v>
      </c>
      <c r="R440" s="17" t="s">
        <v>2283</v>
      </c>
      <c r="S440" s="17" t="s">
        <v>26</v>
      </c>
      <c r="T440" s="17" t="s">
        <v>2284</v>
      </c>
      <c r="U440" s="17"/>
      <c r="V440" s="17"/>
      <c r="W440" s="17"/>
      <c r="X440" s="17"/>
      <c r="Y440" s="17"/>
      <c r="Z440" s="17" t="str">
        <f t="shared" si="7"/>
        <v>GPR080511K</v>
      </c>
    </row>
    <row r="441" spans="1:26">
      <c r="A441" s="17" t="s">
        <v>2285</v>
      </c>
      <c r="B441" s="17" t="s">
        <v>2285</v>
      </c>
      <c r="C441" s="17" t="s">
        <v>2286</v>
      </c>
      <c r="D441" s="17" t="s">
        <v>21</v>
      </c>
      <c r="E441" s="24" t="s">
        <v>6453</v>
      </c>
      <c r="F441" s="17" t="s">
        <v>236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12000</v>
      </c>
      <c r="L441" s="17" t="s">
        <v>1037</v>
      </c>
      <c r="M441" s="17" t="s">
        <v>478</v>
      </c>
      <c r="N441" s="17" t="s">
        <v>2287</v>
      </c>
      <c r="O441" s="17" t="s">
        <v>26</v>
      </c>
      <c r="P441" s="17" t="s">
        <v>2288</v>
      </c>
      <c r="Q441" s="17" t="s">
        <v>478</v>
      </c>
      <c r="R441" s="17" t="s">
        <v>2289</v>
      </c>
      <c r="S441" s="17" t="s">
        <v>26</v>
      </c>
      <c r="T441" s="17" t="s">
        <v>2290</v>
      </c>
      <c r="U441" s="17"/>
      <c r="V441" s="17"/>
      <c r="W441" s="17"/>
      <c r="X441" s="17"/>
      <c r="Y441" s="17"/>
      <c r="Z441" s="17" t="str">
        <f t="shared" si="7"/>
        <v>GPR080512K</v>
      </c>
    </row>
    <row r="442" spans="1:26">
      <c r="A442" s="17" t="s">
        <v>2291</v>
      </c>
      <c r="B442" s="17" t="s">
        <v>2291</v>
      </c>
      <c r="C442" s="17" t="s">
        <v>2292</v>
      </c>
      <c r="D442" s="17" t="s">
        <v>21</v>
      </c>
      <c r="E442" s="24" t="s">
        <v>6453</v>
      </c>
      <c r="F442" s="17" t="s">
        <v>240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13000</v>
      </c>
      <c r="L442" s="17" t="s">
        <v>1037</v>
      </c>
      <c r="M442" s="17" t="s">
        <v>478</v>
      </c>
      <c r="N442" s="17" t="s">
        <v>2293</v>
      </c>
      <c r="O442" s="17" t="s">
        <v>26</v>
      </c>
      <c r="P442" s="17" t="s">
        <v>2294</v>
      </c>
      <c r="Q442" s="17"/>
      <c r="R442" s="17"/>
      <c r="S442" s="17"/>
      <c r="T442" s="17"/>
      <c r="U442" s="17"/>
      <c r="V442" s="17"/>
      <c r="W442" s="17"/>
      <c r="X442" s="17"/>
      <c r="Y442" s="17"/>
      <c r="Z442" s="17" t="str">
        <f t="shared" si="7"/>
        <v>GPR080513K</v>
      </c>
    </row>
    <row r="443" spans="1:26">
      <c r="A443" s="17" t="s">
        <v>2295</v>
      </c>
      <c r="B443" s="17" t="s">
        <v>2295</v>
      </c>
      <c r="C443" s="17" t="s">
        <v>2296</v>
      </c>
      <c r="D443" s="17" t="s">
        <v>21</v>
      </c>
      <c r="E443" s="24" t="s">
        <v>6453</v>
      </c>
      <c r="F443" s="17" t="s">
        <v>244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15000</v>
      </c>
      <c r="L443" s="17" t="s">
        <v>24</v>
      </c>
      <c r="M443" s="17" t="s">
        <v>478</v>
      </c>
      <c r="N443" s="17" t="s">
        <v>2297</v>
      </c>
      <c r="O443" s="17" t="s">
        <v>26</v>
      </c>
      <c r="P443" s="17" t="s">
        <v>2298</v>
      </c>
      <c r="Q443" s="17" t="s">
        <v>478</v>
      </c>
      <c r="R443" s="17" t="s">
        <v>2299</v>
      </c>
      <c r="S443" s="17" t="s">
        <v>26</v>
      </c>
      <c r="T443" s="17" t="s">
        <v>2300</v>
      </c>
      <c r="U443" s="17"/>
      <c r="V443" s="17"/>
      <c r="W443" s="17"/>
      <c r="X443" s="17"/>
      <c r="Y443" s="17"/>
      <c r="Z443" s="17" t="str">
        <f t="shared" si="7"/>
        <v>GPR080515K</v>
      </c>
    </row>
    <row r="444" spans="1:26">
      <c r="A444" s="17" t="s">
        <v>2301</v>
      </c>
      <c r="B444" s="17" t="s">
        <v>2301</v>
      </c>
      <c r="C444" s="17" t="s">
        <v>2302</v>
      </c>
      <c r="D444" s="17" t="s">
        <v>21</v>
      </c>
      <c r="E444" s="24" t="s">
        <v>6453</v>
      </c>
      <c r="F444" s="17" t="s">
        <v>248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16000</v>
      </c>
      <c r="L444" s="17" t="s">
        <v>1037</v>
      </c>
      <c r="M444" s="17" t="s">
        <v>478</v>
      </c>
      <c r="N444" s="17" t="s">
        <v>2303</v>
      </c>
      <c r="O444" s="17" t="s">
        <v>26</v>
      </c>
      <c r="P444" s="17" t="s">
        <v>2304</v>
      </c>
      <c r="Q444" s="17"/>
      <c r="R444" s="17"/>
      <c r="S444" s="17"/>
      <c r="T444" s="17"/>
      <c r="U444" s="17"/>
      <c r="V444" s="17"/>
      <c r="W444" s="17"/>
      <c r="X444" s="17"/>
      <c r="Y444" s="17"/>
      <c r="Z444" s="17" t="str">
        <f t="shared" si="7"/>
        <v>GPR080516K</v>
      </c>
    </row>
    <row r="445" spans="1:26">
      <c r="A445" s="17" t="s">
        <v>2305</v>
      </c>
      <c r="B445" s="17" t="s">
        <v>2305</v>
      </c>
      <c r="C445" s="17" t="s">
        <v>2306</v>
      </c>
      <c r="D445" s="17" t="s">
        <v>21</v>
      </c>
      <c r="E445" s="24" t="s">
        <v>6453</v>
      </c>
      <c r="F445" s="17" t="s">
        <v>252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18000</v>
      </c>
      <c r="L445" s="17" t="s">
        <v>24</v>
      </c>
      <c r="M445" s="17" t="s">
        <v>478</v>
      </c>
      <c r="N445" s="17" t="s">
        <v>2307</v>
      </c>
      <c r="O445" s="17" t="s">
        <v>26</v>
      </c>
      <c r="P445" s="17" t="s">
        <v>2308</v>
      </c>
      <c r="Q445" s="17" t="s">
        <v>478</v>
      </c>
      <c r="R445" s="17" t="s">
        <v>2309</v>
      </c>
      <c r="S445" s="17" t="s">
        <v>26</v>
      </c>
      <c r="T445" s="17" t="s">
        <v>2310</v>
      </c>
      <c r="U445" s="17"/>
      <c r="V445" s="17"/>
      <c r="W445" s="17"/>
      <c r="X445" s="17"/>
      <c r="Y445" s="17"/>
      <c r="Z445" s="17" t="str">
        <f t="shared" si="7"/>
        <v>GPR080518K</v>
      </c>
    </row>
    <row r="446" spans="1:26">
      <c r="A446" s="17" t="s">
        <v>2311</v>
      </c>
      <c r="B446" s="17" t="s">
        <v>2311</v>
      </c>
      <c r="C446" s="17" t="s">
        <v>2312</v>
      </c>
      <c r="D446" s="17" t="s">
        <v>21</v>
      </c>
      <c r="E446" s="24" t="s">
        <v>6453</v>
      </c>
      <c r="F446" s="17" t="s">
        <v>256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20000</v>
      </c>
      <c r="L446" s="17" t="s">
        <v>24</v>
      </c>
      <c r="M446" s="17" t="s">
        <v>478</v>
      </c>
      <c r="N446" s="17" t="s">
        <v>2313</v>
      </c>
      <c r="O446" s="17" t="s">
        <v>26</v>
      </c>
      <c r="P446" s="17" t="s">
        <v>2314</v>
      </c>
      <c r="Q446" s="17" t="s">
        <v>478</v>
      </c>
      <c r="R446" s="17" t="s">
        <v>2315</v>
      </c>
      <c r="S446" s="17" t="s">
        <v>26</v>
      </c>
      <c r="T446" s="17" t="s">
        <v>2316</v>
      </c>
      <c r="U446" s="17"/>
      <c r="V446" s="17"/>
      <c r="W446" s="17"/>
      <c r="X446" s="17"/>
      <c r="Y446" s="17"/>
      <c r="Z446" s="17" t="str">
        <f t="shared" si="7"/>
        <v>GPR080520K</v>
      </c>
    </row>
    <row r="447" spans="1:26">
      <c r="A447" s="17" t="s">
        <v>2317</v>
      </c>
      <c r="B447" s="17" t="s">
        <v>2317</v>
      </c>
      <c r="C447" s="17" t="s">
        <v>2318</v>
      </c>
      <c r="D447" s="17" t="s">
        <v>21</v>
      </c>
      <c r="E447" s="24" t="s">
        <v>6453</v>
      </c>
      <c r="F447" s="17" t="s">
        <v>258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22000</v>
      </c>
      <c r="L447" s="17" t="s">
        <v>24</v>
      </c>
      <c r="M447" s="17" t="s">
        <v>478</v>
      </c>
      <c r="N447" s="17" t="s">
        <v>2319</v>
      </c>
      <c r="O447" s="17" t="s">
        <v>26</v>
      </c>
      <c r="P447" s="17" t="s">
        <v>2320</v>
      </c>
      <c r="Q447" s="17" t="s">
        <v>478</v>
      </c>
      <c r="R447" s="17" t="s">
        <v>2321</v>
      </c>
      <c r="S447" s="17" t="s">
        <v>26</v>
      </c>
      <c r="T447" s="17" t="s">
        <v>2322</v>
      </c>
      <c r="U447" s="17"/>
      <c r="V447" s="17"/>
      <c r="W447" s="17"/>
      <c r="X447" s="17"/>
      <c r="Y447" s="17"/>
      <c r="Z447" s="17" t="str">
        <f t="shared" si="7"/>
        <v>GPR080522K</v>
      </c>
    </row>
    <row r="448" spans="1:26">
      <c r="A448" s="17" t="s">
        <v>2323</v>
      </c>
      <c r="B448" s="17" t="s">
        <v>2323</v>
      </c>
      <c r="C448" s="17" t="s">
        <v>2324</v>
      </c>
      <c r="D448" s="17" t="s">
        <v>21</v>
      </c>
      <c r="E448" s="24" t="s">
        <v>6453</v>
      </c>
      <c r="F448" s="17" t="s">
        <v>260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24000</v>
      </c>
      <c r="L448" s="17" t="s">
        <v>24</v>
      </c>
      <c r="M448" s="17" t="s">
        <v>478</v>
      </c>
      <c r="N448" s="17" t="s">
        <v>2325</v>
      </c>
      <c r="O448" s="17" t="s">
        <v>26</v>
      </c>
      <c r="P448" s="17" t="s">
        <v>2326</v>
      </c>
      <c r="Q448" s="17" t="s">
        <v>478</v>
      </c>
      <c r="R448" s="17" t="s">
        <v>2327</v>
      </c>
      <c r="S448" s="17" t="s">
        <v>26</v>
      </c>
      <c r="T448" s="17" t="s">
        <v>2328</v>
      </c>
      <c r="U448" s="17"/>
      <c r="V448" s="17"/>
      <c r="W448" s="17"/>
      <c r="X448" s="17"/>
      <c r="Y448" s="17"/>
      <c r="Z448" s="17" t="str">
        <f t="shared" si="7"/>
        <v>GPR080524K</v>
      </c>
    </row>
    <row r="449" spans="1:26">
      <c r="A449" s="17" t="s">
        <v>2329</v>
      </c>
      <c r="B449" s="17" t="s">
        <v>2329</v>
      </c>
      <c r="C449" s="17" t="s">
        <v>2330</v>
      </c>
      <c r="D449" s="17" t="s">
        <v>21</v>
      </c>
      <c r="E449" s="24" t="s">
        <v>6453</v>
      </c>
      <c r="F449" s="17" t="s">
        <v>264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27000</v>
      </c>
      <c r="L449" s="17" t="s">
        <v>24</v>
      </c>
      <c r="M449" s="17" t="s">
        <v>478</v>
      </c>
      <c r="N449" s="17" t="s">
        <v>2331</v>
      </c>
      <c r="O449" s="17" t="s">
        <v>26</v>
      </c>
      <c r="P449" s="17" t="s">
        <v>2332</v>
      </c>
      <c r="Q449" s="17" t="s">
        <v>478</v>
      </c>
      <c r="R449" s="17" t="s">
        <v>2333</v>
      </c>
      <c r="S449" s="17" t="s">
        <v>26</v>
      </c>
      <c r="T449" s="17" t="s">
        <v>2334</v>
      </c>
      <c r="U449" s="17"/>
      <c r="V449" s="17"/>
      <c r="W449" s="17"/>
      <c r="X449" s="17"/>
      <c r="Y449" s="17"/>
      <c r="Z449" s="17" t="str">
        <f t="shared" si="7"/>
        <v>GPR080527K</v>
      </c>
    </row>
    <row r="450" spans="1:26">
      <c r="A450" s="17" t="s">
        <v>2335</v>
      </c>
      <c r="B450" s="17" t="s">
        <v>2335</v>
      </c>
      <c r="C450" s="17" t="s">
        <v>2336</v>
      </c>
      <c r="D450" s="17" t="s">
        <v>21</v>
      </c>
      <c r="E450" s="24" t="s">
        <v>6453</v>
      </c>
      <c r="F450" s="17" t="s">
        <v>266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30000</v>
      </c>
      <c r="L450" s="17" t="s">
        <v>24</v>
      </c>
      <c r="M450" s="17" t="s">
        <v>478</v>
      </c>
      <c r="N450" s="17" t="s">
        <v>2337</v>
      </c>
      <c r="O450" s="17" t="s">
        <v>26</v>
      </c>
      <c r="P450" s="17" t="s">
        <v>2338</v>
      </c>
      <c r="Q450" s="17" t="s">
        <v>478</v>
      </c>
      <c r="R450" s="17" t="s">
        <v>2339</v>
      </c>
      <c r="S450" s="17" t="s">
        <v>26</v>
      </c>
      <c r="T450" s="17" t="s">
        <v>2340</v>
      </c>
      <c r="U450" s="17"/>
      <c r="V450" s="17"/>
      <c r="W450" s="17"/>
      <c r="X450" s="17"/>
      <c r="Y450" s="17"/>
      <c r="Z450" s="17" t="str">
        <f t="shared" si="7"/>
        <v>GPR080530K</v>
      </c>
    </row>
    <row r="451" spans="1:26">
      <c r="A451" s="17" t="s">
        <v>2341</v>
      </c>
      <c r="B451" s="17" t="s">
        <v>2341</v>
      </c>
      <c r="C451" s="17" t="s">
        <v>2342</v>
      </c>
      <c r="D451" s="17" t="s">
        <v>21</v>
      </c>
      <c r="E451" s="24" t="s">
        <v>6453</v>
      </c>
      <c r="F451" s="17" t="s">
        <v>268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33000</v>
      </c>
      <c r="L451" s="17" t="s">
        <v>24</v>
      </c>
      <c r="M451" s="17" t="s">
        <v>478</v>
      </c>
      <c r="N451" s="17" t="s">
        <v>2343</v>
      </c>
      <c r="O451" s="17" t="s">
        <v>26</v>
      </c>
      <c r="P451" s="17" t="s">
        <v>2344</v>
      </c>
      <c r="Q451" s="17" t="s">
        <v>478</v>
      </c>
      <c r="R451" s="17" t="s">
        <v>2345</v>
      </c>
      <c r="S451" s="17" t="s">
        <v>26</v>
      </c>
      <c r="T451" s="17" t="s">
        <v>2346</v>
      </c>
      <c r="U451" s="17"/>
      <c r="V451" s="17"/>
      <c r="W451" s="17"/>
      <c r="X451" s="17"/>
      <c r="Y451" s="17"/>
      <c r="Z451" s="17" t="str">
        <f t="shared" si="7"/>
        <v>GPR080533K</v>
      </c>
    </row>
    <row r="452" spans="1:26">
      <c r="A452" s="17" t="s">
        <v>2347</v>
      </c>
      <c r="B452" s="17" t="s">
        <v>2347</v>
      </c>
      <c r="C452" s="17" t="s">
        <v>2348</v>
      </c>
      <c r="D452" s="17" t="s">
        <v>21</v>
      </c>
      <c r="E452" s="24" t="s">
        <v>6453</v>
      </c>
      <c r="F452" s="17" t="s">
        <v>270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36000</v>
      </c>
      <c r="L452" s="17" t="s">
        <v>1037</v>
      </c>
      <c r="M452" s="17" t="s">
        <v>478</v>
      </c>
      <c r="N452" s="17" t="s">
        <v>2349</v>
      </c>
      <c r="O452" s="17" t="s">
        <v>26</v>
      </c>
      <c r="P452" s="17" t="s">
        <v>2350</v>
      </c>
      <c r="Q452" s="17" t="s">
        <v>478</v>
      </c>
      <c r="R452" s="17" t="s">
        <v>2351</v>
      </c>
      <c r="S452" s="17" t="s">
        <v>26</v>
      </c>
      <c r="T452" s="17" t="s">
        <v>2352</v>
      </c>
      <c r="U452" s="17"/>
      <c r="V452" s="17"/>
      <c r="W452" s="17"/>
      <c r="X452" s="17"/>
      <c r="Y452" s="17"/>
      <c r="Z452" s="17" t="str">
        <f t="shared" si="7"/>
        <v>GPR080536K</v>
      </c>
    </row>
    <row r="453" spans="1:26">
      <c r="A453" s="17" t="s">
        <v>2353</v>
      </c>
      <c r="B453" s="17" t="s">
        <v>2353</v>
      </c>
      <c r="C453" s="17" t="s">
        <v>2354</v>
      </c>
      <c r="D453" s="17" t="s">
        <v>21</v>
      </c>
      <c r="E453" s="24" t="s">
        <v>6453</v>
      </c>
      <c r="F453" s="17" t="s">
        <v>274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39000</v>
      </c>
      <c r="L453" s="17" t="s">
        <v>24</v>
      </c>
      <c r="M453" s="17" t="s">
        <v>478</v>
      </c>
      <c r="N453" s="17" t="s">
        <v>2355</v>
      </c>
      <c r="O453" s="17" t="s">
        <v>26</v>
      </c>
      <c r="P453" s="17" t="s">
        <v>2356</v>
      </c>
      <c r="Q453" s="17" t="s">
        <v>478</v>
      </c>
      <c r="R453" s="17" t="s">
        <v>2357</v>
      </c>
      <c r="S453" s="17" t="s">
        <v>26</v>
      </c>
      <c r="T453" s="17" t="s">
        <v>2358</v>
      </c>
      <c r="U453" s="17"/>
      <c r="V453" s="17"/>
      <c r="W453" s="17"/>
      <c r="X453" s="17"/>
      <c r="Y453" s="17"/>
      <c r="Z453" s="17" t="str">
        <f t="shared" si="7"/>
        <v>GPR080539K</v>
      </c>
    </row>
    <row r="454" spans="1:26">
      <c r="A454" s="17" t="s">
        <v>2359</v>
      </c>
      <c r="B454" s="17" t="s">
        <v>2359</v>
      </c>
      <c r="C454" s="17" t="s">
        <v>2360</v>
      </c>
      <c r="D454" s="17" t="s">
        <v>21</v>
      </c>
      <c r="E454" s="24" t="s">
        <v>6453</v>
      </c>
      <c r="F454" s="17" t="s">
        <v>278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43000</v>
      </c>
      <c r="L454" s="17" t="s">
        <v>1037</v>
      </c>
      <c r="M454" s="17" t="s">
        <v>478</v>
      </c>
      <c r="N454" s="17" t="s">
        <v>2361</v>
      </c>
      <c r="O454" s="17" t="s">
        <v>26</v>
      </c>
      <c r="P454" s="17" t="s">
        <v>2362</v>
      </c>
      <c r="Q454" s="17"/>
      <c r="R454" s="17"/>
      <c r="S454" s="17"/>
      <c r="T454" s="17"/>
      <c r="U454" s="17"/>
      <c r="V454" s="17"/>
      <c r="W454" s="17"/>
      <c r="X454" s="17"/>
      <c r="Y454" s="17"/>
      <c r="Z454" s="17" t="str">
        <f t="shared" si="7"/>
        <v>GPR080543K</v>
      </c>
    </row>
    <row r="455" spans="1:26">
      <c r="A455" s="17" t="s">
        <v>2363</v>
      </c>
      <c r="B455" s="17" t="s">
        <v>2363</v>
      </c>
      <c r="C455" s="17" t="s">
        <v>2364</v>
      </c>
      <c r="D455" s="17" t="s">
        <v>21</v>
      </c>
      <c r="E455" s="24" t="s">
        <v>6453</v>
      </c>
      <c r="F455" s="17" t="s">
        <v>280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47000</v>
      </c>
      <c r="L455" s="17" t="s">
        <v>24</v>
      </c>
      <c r="M455" s="17" t="s">
        <v>478</v>
      </c>
      <c r="N455" s="17" t="s">
        <v>2365</v>
      </c>
      <c r="O455" s="17" t="s">
        <v>26</v>
      </c>
      <c r="P455" s="17" t="s">
        <v>2366</v>
      </c>
      <c r="Q455" s="17" t="s">
        <v>478</v>
      </c>
      <c r="R455" s="17" t="s">
        <v>2367</v>
      </c>
      <c r="S455" s="17" t="s">
        <v>26</v>
      </c>
      <c r="T455" s="17" t="s">
        <v>2368</v>
      </c>
      <c r="U455" s="17"/>
      <c r="V455" s="17"/>
      <c r="W455" s="17"/>
      <c r="X455" s="17"/>
      <c r="Y455" s="17"/>
      <c r="Z455" s="17" t="str">
        <f t="shared" si="7"/>
        <v>GPR080547K</v>
      </c>
    </row>
    <row r="456" spans="1:26">
      <c r="A456" s="17" t="s">
        <v>2369</v>
      </c>
      <c r="B456" s="17" t="s">
        <v>2369</v>
      </c>
      <c r="C456" s="17" t="s">
        <v>2370</v>
      </c>
      <c r="D456" s="17" t="s">
        <v>21</v>
      </c>
      <c r="E456" s="24" t="s">
        <v>6453</v>
      </c>
      <c r="F456" s="17" t="s">
        <v>284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51000</v>
      </c>
      <c r="L456" s="17" t="s">
        <v>24</v>
      </c>
      <c r="M456" s="17" t="s">
        <v>478</v>
      </c>
      <c r="N456" s="17" t="s">
        <v>2371</v>
      </c>
      <c r="O456" s="17" t="s">
        <v>26</v>
      </c>
      <c r="P456" s="17" t="s">
        <v>2372</v>
      </c>
      <c r="Q456" s="17" t="s">
        <v>478</v>
      </c>
      <c r="R456" s="17" t="s">
        <v>2373</v>
      </c>
      <c r="S456" s="17" t="s">
        <v>26</v>
      </c>
      <c r="T456" s="17" t="s">
        <v>2374</v>
      </c>
      <c r="U456" s="17"/>
      <c r="V456" s="17"/>
      <c r="W456" s="17"/>
      <c r="X456" s="17"/>
      <c r="Y456" s="17"/>
      <c r="Z456" s="17" t="str">
        <f t="shared" si="7"/>
        <v>GPR080551K</v>
      </c>
    </row>
    <row r="457" spans="1:26">
      <c r="A457" s="17" t="s">
        <v>2375</v>
      </c>
      <c r="B457" s="17" t="s">
        <v>2375</v>
      </c>
      <c r="C457" s="17" t="s">
        <v>2376</v>
      </c>
      <c r="D457" s="17" t="s">
        <v>21</v>
      </c>
      <c r="E457" s="24" t="s">
        <v>6453</v>
      </c>
      <c r="F457" s="17" t="s">
        <v>288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56000</v>
      </c>
      <c r="L457" s="17" t="s">
        <v>1037</v>
      </c>
      <c r="M457" s="17" t="s">
        <v>478</v>
      </c>
      <c r="N457" s="17" t="s">
        <v>2377</v>
      </c>
      <c r="O457" s="17" t="s">
        <v>26</v>
      </c>
      <c r="P457" s="17" t="s">
        <v>2378</v>
      </c>
      <c r="Q457" s="17" t="s">
        <v>478</v>
      </c>
      <c r="R457" s="17" t="s">
        <v>2379</v>
      </c>
      <c r="S457" s="17" t="s">
        <v>26</v>
      </c>
      <c r="T457" s="17" t="s">
        <v>2380</v>
      </c>
      <c r="U457" s="17"/>
      <c r="V457" s="17"/>
      <c r="W457" s="17"/>
      <c r="X457" s="17"/>
      <c r="Y457" s="17"/>
      <c r="Z457" s="17" t="str">
        <f t="shared" si="7"/>
        <v>GPR080556K</v>
      </c>
    </row>
    <row r="458" spans="1:26">
      <c r="A458" s="17" t="s">
        <v>2381</v>
      </c>
      <c r="B458" s="17" t="s">
        <v>2381</v>
      </c>
      <c r="C458" s="17" t="s">
        <v>2382</v>
      </c>
      <c r="D458" s="17" t="s">
        <v>21</v>
      </c>
      <c r="E458" s="24" t="s">
        <v>6453</v>
      </c>
      <c r="F458" s="17" t="s">
        <v>292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62000</v>
      </c>
      <c r="L458" s="17" t="s">
        <v>1037</v>
      </c>
      <c r="M458" s="17" t="s">
        <v>478</v>
      </c>
      <c r="N458" s="17" t="s">
        <v>2383</v>
      </c>
      <c r="O458" s="17" t="s">
        <v>26</v>
      </c>
      <c r="P458" s="17" t="s">
        <v>2384</v>
      </c>
      <c r="Q458" s="17"/>
      <c r="R458" s="17"/>
      <c r="S458" s="17"/>
      <c r="T458" s="17"/>
      <c r="U458" s="17"/>
      <c r="V458" s="17"/>
      <c r="W458" s="17"/>
      <c r="X458" s="17"/>
      <c r="Y458" s="17"/>
      <c r="Z458" s="17" t="str">
        <f t="shared" si="7"/>
        <v>GPR080562K</v>
      </c>
    </row>
    <row r="459" spans="1:26">
      <c r="A459" s="17" t="s">
        <v>2385</v>
      </c>
      <c r="B459" s="17" t="s">
        <v>2385</v>
      </c>
      <c r="C459" s="17" t="s">
        <v>2386</v>
      </c>
      <c r="D459" s="17" t="s">
        <v>21</v>
      </c>
      <c r="E459" s="24" t="s">
        <v>6453</v>
      </c>
      <c r="F459" s="17" t="s">
        <v>296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68000</v>
      </c>
      <c r="L459" s="17" t="s">
        <v>24</v>
      </c>
      <c r="M459" s="17" t="s">
        <v>478</v>
      </c>
      <c r="N459" s="17" t="s">
        <v>2387</v>
      </c>
      <c r="O459" s="17" t="s">
        <v>26</v>
      </c>
      <c r="P459" s="17" t="s">
        <v>2388</v>
      </c>
      <c r="Q459" s="17" t="s">
        <v>478</v>
      </c>
      <c r="R459" s="17" t="s">
        <v>2389</v>
      </c>
      <c r="S459" s="17" t="s">
        <v>26</v>
      </c>
      <c r="T459" s="17" t="s">
        <v>2390</v>
      </c>
      <c r="U459" s="17"/>
      <c r="V459" s="17"/>
      <c r="W459" s="17"/>
      <c r="X459" s="17"/>
      <c r="Y459" s="17"/>
      <c r="Z459" s="17" t="str">
        <f t="shared" si="7"/>
        <v>GPR080568K</v>
      </c>
    </row>
    <row r="460" spans="1:26">
      <c r="A460" s="17" t="s">
        <v>2391</v>
      </c>
      <c r="B460" s="17" t="s">
        <v>2391</v>
      </c>
      <c r="C460" s="17" t="s">
        <v>2392</v>
      </c>
      <c r="D460" s="17" t="s">
        <v>21</v>
      </c>
      <c r="E460" s="24" t="s">
        <v>6453</v>
      </c>
      <c r="F460" s="17" t="s">
        <v>300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75000</v>
      </c>
      <c r="L460" s="17" t="s">
        <v>24</v>
      </c>
      <c r="M460" s="17" t="s">
        <v>478</v>
      </c>
      <c r="N460" s="17" t="s">
        <v>2393</v>
      </c>
      <c r="O460" s="17" t="s">
        <v>26</v>
      </c>
      <c r="P460" s="17" t="s">
        <v>2394</v>
      </c>
      <c r="Q460" s="17" t="s">
        <v>478</v>
      </c>
      <c r="R460" s="17" t="s">
        <v>2395</v>
      </c>
      <c r="S460" s="17" t="s">
        <v>26</v>
      </c>
      <c r="T460" s="17" t="s">
        <v>2396</v>
      </c>
      <c r="U460" s="17"/>
      <c r="V460" s="17"/>
      <c r="W460" s="17"/>
      <c r="X460" s="17"/>
      <c r="Y460" s="17"/>
      <c r="Z460" s="17" t="str">
        <f t="shared" si="7"/>
        <v>GPR080575K</v>
      </c>
    </row>
    <row r="461" spans="1:26">
      <c r="A461" s="17" t="s">
        <v>2397</v>
      </c>
      <c r="B461" s="17" t="s">
        <v>2397</v>
      </c>
      <c r="C461" s="17" t="s">
        <v>2398</v>
      </c>
      <c r="D461" s="17" t="s">
        <v>21</v>
      </c>
      <c r="E461" s="24" t="s">
        <v>6453</v>
      </c>
      <c r="F461" s="17" t="s">
        <v>302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82000</v>
      </c>
      <c r="L461" s="17" t="s">
        <v>1037</v>
      </c>
      <c r="M461" s="17" t="s">
        <v>478</v>
      </c>
      <c r="N461" s="17" t="s">
        <v>2399</v>
      </c>
      <c r="O461" s="17" t="s">
        <v>26</v>
      </c>
      <c r="P461" s="17" t="s">
        <v>2400</v>
      </c>
      <c r="Q461" s="17" t="s">
        <v>478</v>
      </c>
      <c r="R461" s="17" t="s">
        <v>2401</v>
      </c>
      <c r="S461" s="17" t="s">
        <v>26</v>
      </c>
      <c r="T461" s="17" t="s">
        <v>2402</v>
      </c>
      <c r="U461" s="17"/>
      <c r="V461" s="17"/>
      <c r="W461" s="17"/>
      <c r="X461" s="17"/>
      <c r="Y461" s="17"/>
      <c r="Z461" s="17" t="str">
        <f t="shared" si="7"/>
        <v>GPR080582K</v>
      </c>
    </row>
    <row r="462" spans="1:26">
      <c r="A462" s="17" t="s">
        <v>2403</v>
      </c>
      <c r="B462" s="17" t="s">
        <v>2403</v>
      </c>
      <c r="C462" s="17" t="s">
        <v>2404</v>
      </c>
      <c r="D462" s="17" t="s">
        <v>21</v>
      </c>
      <c r="E462" s="24" t="s">
        <v>6453</v>
      </c>
      <c r="F462" s="17" t="s">
        <v>304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91000</v>
      </c>
      <c r="L462" s="17" t="s">
        <v>1037</v>
      </c>
      <c r="M462" s="17" t="s">
        <v>478</v>
      </c>
      <c r="N462" s="17" t="s">
        <v>2405</v>
      </c>
      <c r="O462" s="17" t="s">
        <v>26</v>
      </c>
      <c r="P462" s="17" t="s">
        <v>2406</v>
      </c>
      <c r="Q462" s="17"/>
      <c r="R462" s="17"/>
      <c r="S462" s="17"/>
      <c r="T462" s="17"/>
      <c r="U462" s="17"/>
      <c r="V462" s="17"/>
      <c r="W462" s="17"/>
      <c r="X462" s="17"/>
      <c r="Y462" s="17"/>
      <c r="Z462" s="17" t="str">
        <f t="shared" si="7"/>
        <v>GPR080591K</v>
      </c>
    </row>
    <row r="463" spans="1:26">
      <c r="A463" s="17" t="s">
        <v>2407</v>
      </c>
      <c r="B463" s="17" t="s">
        <v>2407</v>
      </c>
      <c r="C463" s="17" t="s">
        <v>2408</v>
      </c>
      <c r="D463" s="17" t="s">
        <v>21</v>
      </c>
      <c r="E463" s="24" t="s">
        <v>6453</v>
      </c>
      <c r="F463" s="17" t="s">
        <v>306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100000</v>
      </c>
      <c r="L463" s="17" t="s">
        <v>24</v>
      </c>
      <c r="M463" s="17" t="s">
        <v>478</v>
      </c>
      <c r="N463" s="17" t="s">
        <v>2409</v>
      </c>
      <c r="O463" s="17" t="s">
        <v>26</v>
      </c>
      <c r="P463" s="17" t="s">
        <v>2410</v>
      </c>
      <c r="Q463" s="17" t="s">
        <v>478</v>
      </c>
      <c r="R463" s="17" t="s">
        <v>2411</v>
      </c>
      <c r="S463" s="17" t="s">
        <v>26</v>
      </c>
      <c r="T463" s="17" t="s">
        <v>2412</v>
      </c>
      <c r="U463" s="17"/>
      <c r="V463" s="17"/>
      <c r="W463" s="17"/>
      <c r="X463" s="17"/>
      <c r="Y463" s="17"/>
      <c r="Z463" s="17" t="str">
        <f t="shared" si="7"/>
        <v>GPR0805100K</v>
      </c>
    </row>
    <row r="464" spans="1:26">
      <c r="A464" s="17" t="s">
        <v>2413</v>
      </c>
      <c r="B464" s="17" t="s">
        <v>2413</v>
      </c>
      <c r="C464" s="17" t="s">
        <v>2414</v>
      </c>
      <c r="D464" s="17" t="s">
        <v>21</v>
      </c>
      <c r="E464" s="24" t="s">
        <v>6453</v>
      </c>
      <c r="F464" s="17" t="s">
        <v>310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110000</v>
      </c>
      <c r="L464" s="17" t="s">
        <v>1037</v>
      </c>
      <c r="M464" s="17" t="s">
        <v>478</v>
      </c>
      <c r="N464" s="17" t="s">
        <v>2415</v>
      </c>
      <c r="O464" s="17" t="s">
        <v>26</v>
      </c>
      <c r="P464" s="17" t="s">
        <v>2416</v>
      </c>
      <c r="Q464" s="17"/>
      <c r="R464" s="17"/>
      <c r="S464" s="17"/>
      <c r="T464" s="17"/>
      <c r="U464" s="17"/>
      <c r="V464" s="17"/>
      <c r="W464" s="17"/>
      <c r="X464" s="17"/>
      <c r="Y464" s="17"/>
      <c r="Z464" s="17" t="str">
        <f t="shared" si="7"/>
        <v>GPR0805110K</v>
      </c>
    </row>
    <row r="465" spans="1:26">
      <c r="A465" s="17" t="s">
        <v>2417</v>
      </c>
      <c r="B465" s="17" t="s">
        <v>2417</v>
      </c>
      <c r="C465" s="17" t="s">
        <v>2418</v>
      </c>
      <c r="D465" s="17" t="s">
        <v>21</v>
      </c>
      <c r="E465" s="24" t="s">
        <v>6453</v>
      </c>
      <c r="F465" s="17" t="s">
        <v>314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120000</v>
      </c>
      <c r="L465" s="17" t="s">
        <v>24</v>
      </c>
      <c r="M465" s="17" t="s">
        <v>478</v>
      </c>
      <c r="N465" s="17" t="s">
        <v>2419</v>
      </c>
      <c r="O465" s="17" t="s">
        <v>26</v>
      </c>
      <c r="P465" s="17" t="s">
        <v>2420</v>
      </c>
      <c r="Q465" s="17" t="s">
        <v>478</v>
      </c>
      <c r="R465" s="17" t="s">
        <v>2421</v>
      </c>
      <c r="S465" s="17" t="s">
        <v>26</v>
      </c>
      <c r="T465" s="17" t="s">
        <v>2422</v>
      </c>
      <c r="U465" s="17"/>
      <c r="V465" s="17"/>
      <c r="W465" s="17"/>
      <c r="X465" s="17"/>
      <c r="Y465" s="17"/>
      <c r="Z465" s="17" t="str">
        <f t="shared" si="7"/>
        <v>GPR0805120K</v>
      </c>
    </row>
    <row r="466" spans="1:26">
      <c r="A466" s="17" t="s">
        <v>2423</v>
      </c>
      <c r="B466" s="17" t="s">
        <v>2423</v>
      </c>
      <c r="C466" s="17" t="s">
        <v>2424</v>
      </c>
      <c r="D466" s="17" t="s">
        <v>21</v>
      </c>
      <c r="E466" s="24" t="s">
        <v>6453</v>
      </c>
      <c r="F466" s="17" t="s">
        <v>318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130000</v>
      </c>
      <c r="L466" s="17" t="s">
        <v>24</v>
      </c>
      <c r="M466" s="17" t="s">
        <v>478</v>
      </c>
      <c r="N466" s="17" t="s">
        <v>2425</v>
      </c>
      <c r="O466" s="17" t="s">
        <v>26</v>
      </c>
      <c r="P466" s="17" t="s">
        <v>2426</v>
      </c>
      <c r="Q466" s="17" t="s">
        <v>478</v>
      </c>
      <c r="R466" s="17" t="s">
        <v>2427</v>
      </c>
      <c r="S466" s="17" t="s">
        <v>26</v>
      </c>
      <c r="T466" s="17" t="s">
        <v>2428</v>
      </c>
      <c r="U466" s="17"/>
      <c r="V466" s="17"/>
      <c r="W466" s="17"/>
      <c r="X466" s="17"/>
      <c r="Y466" s="17"/>
      <c r="Z466" s="17" t="str">
        <f t="shared" si="7"/>
        <v>GPR0805130K</v>
      </c>
    </row>
    <row r="467" spans="1:26">
      <c r="A467" s="17" t="s">
        <v>2429</v>
      </c>
      <c r="B467" s="17" t="s">
        <v>2429</v>
      </c>
      <c r="C467" s="17" t="s">
        <v>2430</v>
      </c>
      <c r="D467" s="17" t="s">
        <v>21</v>
      </c>
      <c r="E467" s="24" t="s">
        <v>6453</v>
      </c>
      <c r="F467" s="17" t="s">
        <v>322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150000</v>
      </c>
      <c r="L467" s="17" t="s">
        <v>24</v>
      </c>
      <c r="M467" s="17" t="s">
        <v>478</v>
      </c>
      <c r="N467" s="17" t="s">
        <v>2431</v>
      </c>
      <c r="O467" s="17" t="s">
        <v>26</v>
      </c>
      <c r="P467" s="17" t="s">
        <v>2432</v>
      </c>
      <c r="Q467" s="17" t="s">
        <v>478</v>
      </c>
      <c r="R467" s="17" t="s">
        <v>2433</v>
      </c>
      <c r="S467" s="17" t="s">
        <v>26</v>
      </c>
      <c r="T467" s="17" t="s">
        <v>2434</v>
      </c>
      <c r="U467" s="17"/>
      <c r="V467" s="17"/>
      <c r="W467" s="17"/>
      <c r="X467" s="17"/>
      <c r="Y467" s="17"/>
      <c r="Z467" s="17" t="str">
        <f t="shared" si="7"/>
        <v>GPR0805150K</v>
      </c>
    </row>
    <row r="468" spans="1:26">
      <c r="A468" s="17" t="s">
        <v>2435</v>
      </c>
      <c r="B468" s="17" t="s">
        <v>2435</v>
      </c>
      <c r="C468" s="17" t="s">
        <v>2436</v>
      </c>
      <c r="D468" s="17" t="s">
        <v>21</v>
      </c>
      <c r="E468" s="24" t="s">
        <v>6453</v>
      </c>
      <c r="F468" s="17" t="s">
        <v>324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160000</v>
      </c>
      <c r="L468" s="17" t="s">
        <v>1037</v>
      </c>
      <c r="M468" s="17" t="s">
        <v>478</v>
      </c>
      <c r="N468" s="17" t="s">
        <v>2437</v>
      </c>
      <c r="O468" s="17" t="s">
        <v>26</v>
      </c>
      <c r="P468" s="17" t="s">
        <v>2438</v>
      </c>
      <c r="Q468" s="17"/>
      <c r="R468" s="17"/>
      <c r="S468" s="17"/>
      <c r="T468" s="17"/>
      <c r="U468" s="17"/>
      <c r="V468" s="17"/>
      <c r="W468" s="17"/>
      <c r="X468" s="17"/>
      <c r="Y468" s="17"/>
      <c r="Z468" s="17" t="str">
        <f t="shared" si="7"/>
        <v>GPR0805160K</v>
      </c>
    </row>
    <row r="469" spans="1:26">
      <c r="A469" s="17" t="s">
        <v>2439</v>
      </c>
      <c r="B469" s="17" t="s">
        <v>2439</v>
      </c>
      <c r="C469" s="17" t="s">
        <v>2440</v>
      </c>
      <c r="D469" s="17" t="s">
        <v>21</v>
      </c>
      <c r="E469" s="24" t="s">
        <v>6453</v>
      </c>
      <c r="F469" s="17" t="s">
        <v>328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180000</v>
      </c>
      <c r="L469" s="17" t="s">
        <v>24</v>
      </c>
      <c r="M469" s="17" t="s">
        <v>478</v>
      </c>
      <c r="N469" s="17" t="s">
        <v>2441</v>
      </c>
      <c r="O469" s="17" t="s">
        <v>26</v>
      </c>
      <c r="P469" s="17" t="s">
        <v>2442</v>
      </c>
      <c r="Q469" s="17" t="s">
        <v>478</v>
      </c>
      <c r="R469" s="17" t="s">
        <v>2443</v>
      </c>
      <c r="S469" s="17" t="s">
        <v>26</v>
      </c>
      <c r="T469" s="17" t="s">
        <v>2444</v>
      </c>
      <c r="U469" s="17"/>
      <c r="V469" s="17"/>
      <c r="W469" s="17"/>
      <c r="X469" s="17"/>
      <c r="Y469" s="17"/>
      <c r="Z469" s="17" t="str">
        <f t="shared" si="7"/>
        <v>GPR0805180K</v>
      </c>
    </row>
    <row r="470" spans="1:26">
      <c r="A470" s="17" t="s">
        <v>2445</v>
      </c>
      <c r="B470" s="17" t="s">
        <v>2445</v>
      </c>
      <c r="C470" s="17" t="s">
        <v>2446</v>
      </c>
      <c r="D470" s="17" t="s">
        <v>21</v>
      </c>
      <c r="E470" s="24" t="s">
        <v>6453</v>
      </c>
      <c r="F470" s="17" t="s">
        <v>332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200000</v>
      </c>
      <c r="L470" s="17" t="s">
        <v>24</v>
      </c>
      <c r="M470" s="17" t="s">
        <v>478</v>
      </c>
      <c r="N470" s="17" t="s">
        <v>2447</v>
      </c>
      <c r="O470" s="17" t="s">
        <v>26</v>
      </c>
      <c r="P470" s="17" t="s">
        <v>2448</v>
      </c>
      <c r="Q470" s="17" t="s">
        <v>478</v>
      </c>
      <c r="R470" s="17" t="s">
        <v>2449</v>
      </c>
      <c r="S470" s="17" t="s">
        <v>26</v>
      </c>
      <c r="T470" s="17" t="s">
        <v>2450</v>
      </c>
      <c r="U470" s="17"/>
      <c r="V470" s="17"/>
      <c r="W470" s="17"/>
      <c r="X470" s="17"/>
      <c r="Y470" s="17"/>
      <c r="Z470" s="17" t="str">
        <f t="shared" si="7"/>
        <v>GPR0805200K</v>
      </c>
    </row>
    <row r="471" spans="1:26">
      <c r="A471" s="17" t="s">
        <v>2451</v>
      </c>
      <c r="B471" s="17" t="s">
        <v>2451</v>
      </c>
      <c r="C471" s="17" t="s">
        <v>2452</v>
      </c>
      <c r="D471" s="17" t="s">
        <v>21</v>
      </c>
      <c r="E471" s="24" t="s">
        <v>6453</v>
      </c>
      <c r="F471" s="17" t="s">
        <v>334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220000</v>
      </c>
      <c r="L471" s="17" t="s">
        <v>24</v>
      </c>
      <c r="M471" s="17" t="s">
        <v>478</v>
      </c>
      <c r="N471" s="17" t="s">
        <v>2453</v>
      </c>
      <c r="O471" s="17" t="s">
        <v>26</v>
      </c>
      <c r="P471" s="17" t="s">
        <v>2454</v>
      </c>
      <c r="Q471" s="17" t="s">
        <v>478</v>
      </c>
      <c r="R471" s="17" t="s">
        <v>2455</v>
      </c>
      <c r="S471" s="17" t="s">
        <v>26</v>
      </c>
      <c r="T471" s="17" t="s">
        <v>2456</v>
      </c>
      <c r="U471" s="17"/>
      <c r="V471" s="17"/>
      <c r="W471" s="17"/>
      <c r="X471" s="17"/>
      <c r="Y471" s="17"/>
      <c r="Z471" s="17" t="str">
        <f t="shared" si="7"/>
        <v>GPR0805220K</v>
      </c>
    </row>
    <row r="472" spans="1:26" ht="15.75">
      <c r="A472" s="17" t="s">
        <v>2457</v>
      </c>
      <c r="B472" s="17" t="s">
        <v>2457</v>
      </c>
      <c r="C472" s="17" t="s">
        <v>2458</v>
      </c>
      <c r="D472" s="17" t="s">
        <v>21</v>
      </c>
      <c r="E472" s="24" t="s">
        <v>6453</v>
      </c>
      <c r="F472" s="17" t="s">
        <v>336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240000</v>
      </c>
      <c r="L472" s="17" t="s">
        <v>1037</v>
      </c>
      <c r="M472" s="17" t="s">
        <v>478</v>
      </c>
      <c r="N472" s="17" t="s">
        <v>2459</v>
      </c>
      <c r="O472" s="17" t="s">
        <v>26</v>
      </c>
      <c r="P472" s="17" t="s">
        <v>2460</v>
      </c>
      <c r="Q472" s="17" t="s">
        <v>478</v>
      </c>
      <c r="R472" s="17" t="s">
        <v>2461</v>
      </c>
      <c r="S472" s="17" t="s">
        <v>26</v>
      </c>
      <c r="T472" s="17" t="s">
        <v>2462</v>
      </c>
      <c r="U472" s="8" t="s">
        <v>6386</v>
      </c>
      <c r="V472" s="8" t="s">
        <v>13564</v>
      </c>
      <c r="W472" t="s">
        <v>4561</v>
      </c>
      <c r="X472" s="8" t="s">
        <v>13565</v>
      </c>
      <c r="Y472" s="17" t="s">
        <v>4729</v>
      </c>
      <c r="Z472" s="17" t="str">
        <f t="shared" si="7"/>
        <v>GPR0805240K</v>
      </c>
    </row>
    <row r="473" spans="1:26">
      <c r="A473" s="17" t="s">
        <v>2463</v>
      </c>
      <c r="B473" s="17" t="s">
        <v>2463</v>
      </c>
      <c r="C473" s="17" t="s">
        <v>2464</v>
      </c>
      <c r="D473" s="17" t="s">
        <v>21</v>
      </c>
      <c r="E473" s="24" t="s">
        <v>6453</v>
      </c>
      <c r="F473" s="17" t="s">
        <v>338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270000</v>
      </c>
      <c r="L473" s="17" t="s">
        <v>24</v>
      </c>
      <c r="M473" s="17" t="s">
        <v>478</v>
      </c>
      <c r="N473" s="17" t="s">
        <v>2465</v>
      </c>
      <c r="O473" s="17" t="s">
        <v>26</v>
      </c>
      <c r="P473" s="17" t="s">
        <v>2466</v>
      </c>
      <c r="Q473" s="17" t="s">
        <v>478</v>
      </c>
      <c r="R473" s="17" t="s">
        <v>2467</v>
      </c>
      <c r="S473" s="17" t="s">
        <v>26</v>
      </c>
      <c r="T473" s="17" t="s">
        <v>2468</v>
      </c>
      <c r="U473" s="17"/>
      <c r="V473" s="17"/>
      <c r="W473" s="17"/>
      <c r="X473" s="17"/>
      <c r="Y473" s="17"/>
      <c r="Z473" s="17" t="str">
        <f t="shared" si="7"/>
        <v>GPR0805270K</v>
      </c>
    </row>
    <row r="474" spans="1:26">
      <c r="A474" s="17" t="s">
        <v>2469</v>
      </c>
      <c r="B474" s="17" t="s">
        <v>2469</v>
      </c>
      <c r="C474" s="17" t="s">
        <v>2470</v>
      </c>
      <c r="D474" s="17" t="s">
        <v>21</v>
      </c>
      <c r="E474" s="24" t="s">
        <v>6453</v>
      </c>
      <c r="F474" s="17" t="s">
        <v>340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300000</v>
      </c>
      <c r="L474" s="17" t="s">
        <v>1037</v>
      </c>
      <c r="M474" s="17" t="s">
        <v>478</v>
      </c>
      <c r="N474" s="17" t="s">
        <v>2471</v>
      </c>
      <c r="O474" s="17" t="s">
        <v>26</v>
      </c>
      <c r="P474" s="17" t="s">
        <v>2472</v>
      </c>
      <c r="Q474" s="17"/>
      <c r="R474" s="17"/>
      <c r="S474" s="17"/>
      <c r="T474" s="17"/>
      <c r="U474" s="17"/>
      <c r="V474" s="17"/>
      <c r="W474" s="17"/>
      <c r="X474" s="17"/>
      <c r="Y474" s="17"/>
      <c r="Z474" s="17" t="str">
        <f t="shared" si="7"/>
        <v>GPR0805300K</v>
      </c>
    </row>
    <row r="475" spans="1:26">
      <c r="A475" s="17" t="s">
        <v>2473</v>
      </c>
      <c r="B475" s="17" t="s">
        <v>2473</v>
      </c>
      <c r="C475" s="17" t="s">
        <v>2474</v>
      </c>
      <c r="D475" s="17" t="s">
        <v>21</v>
      </c>
      <c r="E475" s="24" t="s">
        <v>6453</v>
      </c>
      <c r="F475" s="17" t="s">
        <v>342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330000</v>
      </c>
      <c r="L475" s="17" t="s">
        <v>24</v>
      </c>
      <c r="M475" s="17" t="s">
        <v>478</v>
      </c>
      <c r="N475" s="17" t="s">
        <v>2475</v>
      </c>
      <c r="O475" s="17" t="s">
        <v>26</v>
      </c>
      <c r="P475" s="17" t="s">
        <v>2476</v>
      </c>
      <c r="Q475" s="17" t="s">
        <v>478</v>
      </c>
      <c r="R475" s="17" t="s">
        <v>2477</v>
      </c>
      <c r="S475" s="17" t="s">
        <v>26</v>
      </c>
      <c r="T475" s="17" t="s">
        <v>2478</v>
      </c>
      <c r="U475" s="17"/>
      <c r="V475" s="17"/>
      <c r="W475" s="17"/>
      <c r="X475" s="17"/>
      <c r="Y475" s="17"/>
      <c r="Z475" s="17" t="str">
        <f t="shared" si="7"/>
        <v>GPR0805330K</v>
      </c>
    </row>
    <row r="476" spans="1:26">
      <c r="A476" s="17" t="s">
        <v>2479</v>
      </c>
      <c r="B476" s="17" t="s">
        <v>2479</v>
      </c>
      <c r="C476" s="17" t="s">
        <v>2480</v>
      </c>
      <c r="D476" s="17" t="s">
        <v>21</v>
      </c>
      <c r="E476" s="24" t="s">
        <v>6453</v>
      </c>
      <c r="F476" s="17" t="s">
        <v>346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360000</v>
      </c>
      <c r="L476" s="17" t="s">
        <v>24</v>
      </c>
      <c r="M476" s="17" t="s">
        <v>478</v>
      </c>
      <c r="N476" s="17" t="s">
        <v>2481</v>
      </c>
      <c r="O476" s="17" t="s">
        <v>26</v>
      </c>
      <c r="P476" s="17" t="s">
        <v>2482</v>
      </c>
      <c r="Q476" s="17" t="s">
        <v>478</v>
      </c>
      <c r="R476" s="17" t="s">
        <v>2483</v>
      </c>
      <c r="S476" s="17" t="s">
        <v>26</v>
      </c>
      <c r="T476" s="17" t="s">
        <v>2484</v>
      </c>
      <c r="U476" s="17"/>
      <c r="V476" s="17"/>
      <c r="W476" s="17"/>
      <c r="X476" s="17"/>
      <c r="Y476" s="17"/>
      <c r="Z476" s="17" t="str">
        <f t="shared" si="7"/>
        <v>GPR0805360K</v>
      </c>
    </row>
    <row r="477" spans="1:26">
      <c r="A477" s="17" t="s">
        <v>2485</v>
      </c>
      <c r="B477" s="17" t="s">
        <v>2485</v>
      </c>
      <c r="C477" s="17" t="s">
        <v>2486</v>
      </c>
      <c r="D477" s="17" t="s">
        <v>21</v>
      </c>
      <c r="E477" s="24" t="s">
        <v>6453</v>
      </c>
      <c r="F477" s="17" t="s">
        <v>350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390000</v>
      </c>
      <c r="L477" s="17" t="s">
        <v>24</v>
      </c>
      <c r="M477" s="17" t="s">
        <v>478</v>
      </c>
      <c r="N477" s="17" t="s">
        <v>2487</v>
      </c>
      <c r="O477" s="17" t="s">
        <v>26</v>
      </c>
      <c r="P477" s="17" t="s">
        <v>2488</v>
      </c>
      <c r="Q477" s="17" t="s">
        <v>478</v>
      </c>
      <c r="R477" s="17" t="s">
        <v>2489</v>
      </c>
      <c r="S477" s="17" t="s">
        <v>26</v>
      </c>
      <c r="T477" s="17" t="s">
        <v>2490</v>
      </c>
      <c r="U477" s="17"/>
      <c r="V477" s="17"/>
      <c r="W477" s="17"/>
      <c r="X477" s="17"/>
      <c r="Y477" s="17"/>
      <c r="Z477" s="17" t="str">
        <f t="shared" si="7"/>
        <v>GPR0805390K</v>
      </c>
    </row>
    <row r="478" spans="1:26">
      <c r="A478" s="17" t="s">
        <v>2491</v>
      </c>
      <c r="B478" s="17" t="s">
        <v>2491</v>
      </c>
      <c r="C478" s="17" t="s">
        <v>2492</v>
      </c>
      <c r="D478" s="17" t="s">
        <v>21</v>
      </c>
      <c r="E478" s="24" t="s">
        <v>6453</v>
      </c>
      <c r="F478" s="17" t="s">
        <v>352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430000</v>
      </c>
      <c r="L478" s="17" t="s">
        <v>24</v>
      </c>
      <c r="M478" s="17" t="s">
        <v>478</v>
      </c>
      <c r="N478" s="17" t="s">
        <v>2493</v>
      </c>
      <c r="O478" s="17" t="s">
        <v>26</v>
      </c>
      <c r="P478" s="17" t="s">
        <v>2494</v>
      </c>
      <c r="Q478" s="17" t="s">
        <v>478</v>
      </c>
      <c r="R478" s="17" t="s">
        <v>2495</v>
      </c>
      <c r="S478" s="17" t="s">
        <v>26</v>
      </c>
      <c r="T478" s="17" t="s">
        <v>2496</v>
      </c>
      <c r="U478" s="17"/>
      <c r="V478" s="17"/>
      <c r="W478" s="17"/>
      <c r="X478" s="17"/>
      <c r="Y478" s="17"/>
      <c r="Z478" s="17" t="str">
        <f t="shared" si="7"/>
        <v>GPR0805430K</v>
      </c>
    </row>
    <row r="479" spans="1:26">
      <c r="A479" s="17" t="s">
        <v>2497</v>
      </c>
      <c r="B479" s="17" t="s">
        <v>2497</v>
      </c>
      <c r="C479" s="17" t="s">
        <v>2498</v>
      </c>
      <c r="D479" s="17" t="s">
        <v>21</v>
      </c>
      <c r="E479" s="24" t="s">
        <v>6453</v>
      </c>
      <c r="F479" s="17" t="s">
        <v>354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470000</v>
      </c>
      <c r="L479" s="17" t="s">
        <v>24</v>
      </c>
      <c r="M479" s="17" t="s">
        <v>478</v>
      </c>
      <c r="N479" s="17" t="s">
        <v>2499</v>
      </c>
      <c r="O479" s="17" t="s">
        <v>26</v>
      </c>
      <c r="P479" s="17" t="s">
        <v>2500</v>
      </c>
      <c r="Q479" s="17" t="s">
        <v>478</v>
      </c>
      <c r="R479" s="17" t="s">
        <v>2501</v>
      </c>
      <c r="S479" s="17" t="s">
        <v>26</v>
      </c>
      <c r="T479" s="17" t="s">
        <v>2502</v>
      </c>
      <c r="U479" s="17"/>
      <c r="V479" s="17"/>
      <c r="W479" s="17"/>
      <c r="X479" s="17"/>
      <c r="Y479" s="17"/>
      <c r="Z479" s="17" t="str">
        <f t="shared" si="7"/>
        <v>GPR0805470K</v>
      </c>
    </row>
    <row r="480" spans="1:26">
      <c r="A480" s="17" t="s">
        <v>2503</v>
      </c>
      <c r="B480" s="17" t="s">
        <v>2503</v>
      </c>
      <c r="C480" s="17" t="s">
        <v>2504</v>
      </c>
      <c r="D480" s="17" t="s">
        <v>21</v>
      </c>
      <c r="E480" s="24" t="s">
        <v>6453</v>
      </c>
      <c r="F480" s="17" t="s">
        <v>356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510000</v>
      </c>
      <c r="L480" s="17" t="s">
        <v>24</v>
      </c>
      <c r="M480" s="17" t="s">
        <v>478</v>
      </c>
      <c r="N480" s="17" t="s">
        <v>2505</v>
      </c>
      <c r="O480" s="17" t="s">
        <v>26</v>
      </c>
      <c r="P480" s="17" t="s">
        <v>2506</v>
      </c>
      <c r="Q480" s="17" t="s">
        <v>478</v>
      </c>
      <c r="R480" s="17" t="s">
        <v>2507</v>
      </c>
      <c r="S480" s="17" t="s">
        <v>26</v>
      </c>
      <c r="T480" s="17" t="s">
        <v>2508</v>
      </c>
      <c r="U480" s="17"/>
      <c r="V480" s="17"/>
      <c r="W480" s="17"/>
      <c r="X480" s="17"/>
      <c r="Y480" s="17"/>
      <c r="Z480" s="17" t="str">
        <f t="shared" si="7"/>
        <v>GPR0805510K</v>
      </c>
    </row>
    <row r="481" spans="1:26">
      <c r="A481" s="17" t="s">
        <v>2509</v>
      </c>
      <c r="B481" s="17" t="s">
        <v>2509</v>
      </c>
      <c r="C481" s="17" t="s">
        <v>2510</v>
      </c>
      <c r="D481" s="17" t="s">
        <v>21</v>
      </c>
      <c r="E481" s="24" t="s">
        <v>6453</v>
      </c>
      <c r="F481" s="17" t="s">
        <v>358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560000</v>
      </c>
      <c r="L481" s="17" t="s">
        <v>1037</v>
      </c>
      <c r="M481" s="17" t="s">
        <v>478</v>
      </c>
      <c r="N481" s="17" t="s">
        <v>2511</v>
      </c>
      <c r="O481" s="17" t="s">
        <v>26</v>
      </c>
      <c r="P481" s="17" t="s">
        <v>2512</v>
      </c>
      <c r="Q481" s="17"/>
      <c r="R481" s="17"/>
      <c r="S481" s="17"/>
      <c r="T481" s="17"/>
      <c r="U481" s="17"/>
      <c r="V481" s="17"/>
      <c r="W481" s="17"/>
      <c r="X481" s="17"/>
      <c r="Y481" s="17"/>
      <c r="Z481" s="17" t="str">
        <f t="shared" si="7"/>
        <v>GPR0805560K</v>
      </c>
    </row>
    <row r="482" spans="1:26">
      <c r="A482" s="17" t="s">
        <v>2513</v>
      </c>
      <c r="B482" s="17" t="s">
        <v>2513</v>
      </c>
      <c r="C482" s="17" t="s">
        <v>2514</v>
      </c>
      <c r="D482" s="17" t="s">
        <v>21</v>
      </c>
      <c r="E482" s="24" t="s">
        <v>6453</v>
      </c>
      <c r="F482" s="17" t="s">
        <v>360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620000</v>
      </c>
      <c r="L482" s="17" t="s">
        <v>1037</v>
      </c>
      <c r="M482" s="17" t="s">
        <v>478</v>
      </c>
      <c r="N482" s="17" t="s">
        <v>2515</v>
      </c>
      <c r="O482" s="17" t="s">
        <v>26</v>
      </c>
      <c r="P482" s="17" t="s">
        <v>2516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GPR0805620K</v>
      </c>
    </row>
    <row r="483" spans="1:26">
      <c r="A483" s="17" t="s">
        <v>2517</v>
      </c>
      <c r="B483" s="17" t="s">
        <v>2517</v>
      </c>
      <c r="C483" s="17" t="s">
        <v>2518</v>
      </c>
      <c r="D483" s="17" t="s">
        <v>21</v>
      </c>
      <c r="E483" s="24" t="s">
        <v>6453</v>
      </c>
      <c r="F483" s="17" t="s">
        <v>362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680000</v>
      </c>
      <c r="L483" s="17" t="s">
        <v>1037</v>
      </c>
      <c r="M483" s="17" t="s">
        <v>478</v>
      </c>
      <c r="N483" s="17" t="s">
        <v>2519</v>
      </c>
      <c r="O483" s="17" t="s">
        <v>26</v>
      </c>
      <c r="P483" s="17" t="s">
        <v>2520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GPR0805680K</v>
      </c>
    </row>
    <row r="484" spans="1:26">
      <c r="A484" s="17" t="s">
        <v>2521</v>
      </c>
      <c r="B484" s="17" t="s">
        <v>2521</v>
      </c>
      <c r="C484" s="17" t="s">
        <v>2522</v>
      </c>
      <c r="D484" s="17" t="s">
        <v>21</v>
      </c>
      <c r="E484" s="24" t="s">
        <v>6453</v>
      </c>
      <c r="F484" s="17" t="s">
        <v>364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750000</v>
      </c>
      <c r="L484" s="17" t="s">
        <v>1037</v>
      </c>
      <c r="M484" s="17" t="s">
        <v>478</v>
      </c>
      <c r="N484" s="17" t="s">
        <v>2523</v>
      </c>
      <c r="O484" s="17" t="s">
        <v>26</v>
      </c>
      <c r="P484" s="17" t="s">
        <v>2524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GPR0805750K</v>
      </c>
    </row>
    <row r="485" spans="1:26">
      <c r="A485" s="17" t="s">
        <v>2525</v>
      </c>
      <c r="B485" s="17" t="s">
        <v>2525</v>
      </c>
      <c r="C485" s="17" t="s">
        <v>2526</v>
      </c>
      <c r="D485" s="17" t="s">
        <v>21</v>
      </c>
      <c r="E485" s="24" t="s">
        <v>6453</v>
      </c>
      <c r="F485" s="17" t="s">
        <v>366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820000</v>
      </c>
      <c r="L485" s="17" t="s">
        <v>1037</v>
      </c>
      <c r="M485" s="17" t="s">
        <v>478</v>
      </c>
      <c r="N485" s="17" t="s">
        <v>2527</v>
      </c>
      <c r="O485" s="17" t="s">
        <v>26</v>
      </c>
      <c r="P485" s="17" t="s">
        <v>2528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GPR0805820K</v>
      </c>
    </row>
    <row r="486" spans="1:26">
      <c r="A486" s="17" t="s">
        <v>2529</v>
      </c>
      <c r="B486" s="17" t="s">
        <v>2529</v>
      </c>
      <c r="C486" s="17" t="s">
        <v>2530</v>
      </c>
      <c r="D486" s="17" t="s">
        <v>21</v>
      </c>
      <c r="E486" s="24" t="s">
        <v>6453</v>
      </c>
      <c r="F486" s="17" t="s">
        <v>368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910000</v>
      </c>
      <c r="L486" s="17" t="s">
        <v>1037</v>
      </c>
      <c r="M486" s="17" t="s">
        <v>478</v>
      </c>
      <c r="N486" s="17" t="s">
        <v>2531</v>
      </c>
      <c r="O486" s="17" t="s">
        <v>26</v>
      </c>
      <c r="P486" s="17" t="s">
        <v>2532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GPR0805910K</v>
      </c>
    </row>
    <row r="487" spans="1:26" ht="15.75">
      <c r="A487" s="17" t="s">
        <v>2533</v>
      </c>
      <c r="B487" s="17" t="s">
        <v>2533</v>
      </c>
      <c r="C487" s="17" t="s">
        <v>2534</v>
      </c>
      <c r="D487" s="17" t="s">
        <v>21</v>
      </c>
      <c r="E487" s="24" t="s">
        <v>6453</v>
      </c>
      <c r="F487" s="17" t="s">
        <v>370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1000000</v>
      </c>
      <c r="L487" s="17" t="s">
        <v>24</v>
      </c>
      <c r="M487" s="17" t="s">
        <v>478</v>
      </c>
      <c r="N487" s="17" t="s">
        <v>2535</v>
      </c>
      <c r="O487" s="17" t="s">
        <v>26</v>
      </c>
      <c r="P487" s="17" t="s">
        <v>2536</v>
      </c>
      <c r="Q487" s="17" t="s">
        <v>478</v>
      </c>
      <c r="R487" s="17" t="s">
        <v>2537</v>
      </c>
      <c r="S487" s="17" t="s">
        <v>26</v>
      </c>
      <c r="T487" s="17" t="s">
        <v>2538</v>
      </c>
      <c r="U487" s="42" t="s">
        <v>4731</v>
      </c>
      <c r="V487" s="8" t="s">
        <v>13575</v>
      </c>
      <c r="W487" t="s">
        <v>4561</v>
      </c>
      <c r="X487" s="8" t="s">
        <v>13574</v>
      </c>
      <c r="Y487" s="17" t="s">
        <v>4730</v>
      </c>
      <c r="Z487" s="17" t="str">
        <f t="shared" si="7"/>
        <v>GPR08051M</v>
      </c>
    </row>
    <row r="488" spans="1:26">
      <c r="A488" s="17" t="s">
        <v>2539</v>
      </c>
      <c r="B488" s="17" t="s">
        <v>2539</v>
      </c>
      <c r="C488" s="17" t="s">
        <v>2540</v>
      </c>
      <c r="D488" s="17" t="s">
        <v>21</v>
      </c>
      <c r="E488" s="24" t="s">
        <v>6453</v>
      </c>
      <c r="F488" s="17" t="s">
        <v>372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1100000</v>
      </c>
      <c r="L488" s="17" t="s">
        <v>1037</v>
      </c>
      <c r="M488" s="17" t="s">
        <v>478</v>
      </c>
      <c r="N488" s="17" t="s">
        <v>2541</v>
      </c>
      <c r="O488" s="17" t="s">
        <v>26</v>
      </c>
      <c r="P488" s="17" t="s">
        <v>2542</v>
      </c>
      <c r="Q488" s="17"/>
      <c r="R488" s="17"/>
      <c r="S488" s="17"/>
      <c r="T488" s="17"/>
      <c r="U488" s="17"/>
      <c r="V488" s="17"/>
      <c r="W488" s="17"/>
      <c r="X488" s="17"/>
      <c r="Y488" s="17"/>
      <c r="Z488" s="17" t="str">
        <f t="shared" si="7"/>
        <v>GPR08051M1</v>
      </c>
    </row>
    <row r="489" spans="1:26">
      <c r="A489" s="17" t="s">
        <v>2543</v>
      </c>
      <c r="B489" s="17" t="s">
        <v>2543</v>
      </c>
      <c r="C489" s="17" t="s">
        <v>2544</v>
      </c>
      <c r="D489" s="17" t="s">
        <v>21</v>
      </c>
      <c r="E489" s="24" t="s">
        <v>6453</v>
      </c>
      <c r="F489" s="17" t="s">
        <v>374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1200000</v>
      </c>
      <c r="L489" s="17" t="s">
        <v>24</v>
      </c>
      <c r="M489" s="17" t="s">
        <v>478</v>
      </c>
      <c r="N489" s="17" t="s">
        <v>2545</v>
      </c>
      <c r="O489" s="17" t="s">
        <v>26</v>
      </c>
      <c r="P489" s="17" t="s">
        <v>2546</v>
      </c>
      <c r="Q489" s="17" t="s">
        <v>478</v>
      </c>
      <c r="R489" s="17" t="s">
        <v>2547</v>
      </c>
      <c r="S489" s="17" t="s">
        <v>26</v>
      </c>
      <c r="T489" s="17" t="s">
        <v>2548</v>
      </c>
      <c r="U489" s="17"/>
      <c r="V489" s="17"/>
      <c r="W489" s="17"/>
      <c r="X489" s="17"/>
      <c r="Y489" s="17"/>
      <c r="Z489" s="17" t="str">
        <f t="shared" si="7"/>
        <v>GPR08051M2</v>
      </c>
    </row>
    <row r="490" spans="1:26">
      <c r="A490" s="17" t="s">
        <v>2549</v>
      </c>
      <c r="B490" s="17" t="s">
        <v>2549</v>
      </c>
      <c r="C490" s="17" t="s">
        <v>2550</v>
      </c>
      <c r="D490" s="17" t="s">
        <v>21</v>
      </c>
      <c r="E490" s="24" t="s">
        <v>6453</v>
      </c>
      <c r="F490" s="17" t="s">
        <v>376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1300000</v>
      </c>
      <c r="L490" s="17" t="s">
        <v>1037</v>
      </c>
      <c r="M490" s="17" t="s">
        <v>478</v>
      </c>
      <c r="N490" s="17" t="s">
        <v>2551</v>
      </c>
      <c r="O490" s="17" t="s">
        <v>26</v>
      </c>
      <c r="P490" s="17" t="s">
        <v>2552</v>
      </c>
      <c r="Q490" s="17"/>
      <c r="R490" s="17"/>
      <c r="S490" s="17"/>
      <c r="T490" s="17"/>
      <c r="U490" s="17"/>
      <c r="V490" s="17"/>
      <c r="W490" s="17"/>
      <c r="X490" s="17"/>
      <c r="Y490" s="17"/>
      <c r="Z490" s="17" t="str">
        <f t="shared" si="7"/>
        <v>GPR08051M3</v>
      </c>
    </row>
    <row r="491" spans="1:26">
      <c r="A491" s="17" t="s">
        <v>2553</v>
      </c>
      <c r="B491" s="17" t="s">
        <v>2553</v>
      </c>
      <c r="C491" s="17" t="s">
        <v>2554</v>
      </c>
      <c r="D491" s="17" t="s">
        <v>21</v>
      </c>
      <c r="E491" s="24" t="s">
        <v>6453</v>
      </c>
      <c r="F491" s="17" t="s">
        <v>378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1500000</v>
      </c>
      <c r="L491" s="17" t="s">
        <v>1037</v>
      </c>
      <c r="M491" s="17" t="s">
        <v>478</v>
      </c>
      <c r="N491" s="17" t="s">
        <v>2555</v>
      </c>
      <c r="O491" s="17" t="s">
        <v>26</v>
      </c>
      <c r="P491" s="17" t="s">
        <v>2556</v>
      </c>
      <c r="Q491" s="17" t="s">
        <v>478</v>
      </c>
      <c r="R491" s="17" t="s">
        <v>2557</v>
      </c>
      <c r="S491" s="17" t="s">
        <v>26</v>
      </c>
      <c r="T491" s="17" t="s">
        <v>2558</v>
      </c>
      <c r="U491" s="17"/>
      <c r="V491" s="17"/>
      <c r="W491" s="17"/>
      <c r="X491" s="17"/>
      <c r="Y491" s="17"/>
      <c r="Z491" s="17" t="str">
        <f t="shared" si="7"/>
        <v>GPR08051M5</v>
      </c>
    </row>
    <row r="492" spans="1:26">
      <c r="A492" s="17" t="s">
        <v>2559</v>
      </c>
      <c r="B492" s="17" t="s">
        <v>2559</v>
      </c>
      <c r="C492" s="17" t="s">
        <v>2560</v>
      </c>
      <c r="D492" s="17" t="s">
        <v>21</v>
      </c>
      <c r="E492" s="24" t="s">
        <v>6453</v>
      </c>
      <c r="F492" s="17" t="s">
        <v>380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1600000</v>
      </c>
      <c r="L492" s="17" t="s">
        <v>1037</v>
      </c>
      <c r="M492" s="17" t="s">
        <v>478</v>
      </c>
      <c r="N492" s="17" t="s">
        <v>2561</v>
      </c>
      <c r="O492" s="17" t="s">
        <v>26</v>
      </c>
      <c r="P492" s="17" t="s">
        <v>2562</v>
      </c>
      <c r="Q492" s="17"/>
      <c r="R492" s="17"/>
      <c r="S492" s="17"/>
      <c r="T492" s="17"/>
      <c r="U492" s="17"/>
      <c r="V492" s="17"/>
      <c r="W492" s="17"/>
      <c r="X492" s="17"/>
      <c r="Y492" s="17"/>
      <c r="Z492" s="17" t="str">
        <f t="shared" si="7"/>
        <v>GPR08051M6</v>
      </c>
    </row>
    <row r="493" spans="1:26" ht="15.75">
      <c r="A493" s="17" t="s">
        <v>2563</v>
      </c>
      <c r="B493" s="17" t="s">
        <v>2563</v>
      </c>
      <c r="C493" s="17" t="s">
        <v>2564</v>
      </c>
      <c r="D493" s="17" t="s">
        <v>21</v>
      </c>
      <c r="E493" s="24" t="s">
        <v>6453</v>
      </c>
      <c r="F493" s="17" t="s">
        <v>382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1800000</v>
      </c>
      <c r="L493" s="17" t="s">
        <v>1037</v>
      </c>
      <c r="M493" s="17" t="s">
        <v>478</v>
      </c>
      <c r="N493" s="17" t="s">
        <v>2565</v>
      </c>
      <c r="O493" s="17" t="s">
        <v>26</v>
      </c>
      <c r="P493" s="17" t="s">
        <v>2566</v>
      </c>
      <c r="Q493" s="17" t="s">
        <v>478</v>
      </c>
      <c r="R493" s="17" t="s">
        <v>2567</v>
      </c>
      <c r="S493" s="17" t="s">
        <v>26</v>
      </c>
      <c r="T493" s="17" t="s">
        <v>2568</v>
      </c>
      <c r="U493" s="8" t="s">
        <v>6386</v>
      </c>
      <c r="V493" s="8" t="s">
        <v>13552</v>
      </c>
      <c r="W493" t="s">
        <v>4561</v>
      </c>
      <c r="X493" s="8" t="s">
        <v>13551</v>
      </c>
      <c r="Y493" s="17"/>
      <c r="Z493" s="17" t="str">
        <f t="shared" ref="Z493:Z511" si="8">"GPR"&amp;E493&amp;F493</f>
        <v>GPR08051M8</v>
      </c>
    </row>
    <row r="494" spans="1:26">
      <c r="A494" s="17" t="s">
        <v>2569</v>
      </c>
      <c r="B494" s="17" t="s">
        <v>2569</v>
      </c>
      <c r="C494" s="17" t="s">
        <v>2570</v>
      </c>
      <c r="D494" s="17" t="s">
        <v>21</v>
      </c>
      <c r="E494" s="24" t="s">
        <v>6453</v>
      </c>
      <c r="F494" s="17" t="s">
        <v>384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2000000</v>
      </c>
      <c r="L494" s="17" t="s">
        <v>1037</v>
      </c>
      <c r="M494" s="17" t="s">
        <v>478</v>
      </c>
      <c r="N494" s="17" t="s">
        <v>2571</v>
      </c>
      <c r="O494" s="17" t="s">
        <v>26</v>
      </c>
      <c r="P494" s="17" t="s">
        <v>2572</v>
      </c>
      <c r="Q494" s="17"/>
      <c r="R494" s="17"/>
      <c r="S494" s="17"/>
      <c r="T494" s="17"/>
      <c r="U494" s="17"/>
      <c r="V494" s="17"/>
      <c r="W494" s="17"/>
      <c r="X494" s="17"/>
      <c r="Y494" s="17"/>
      <c r="Z494" s="17" t="str">
        <f t="shared" si="8"/>
        <v>GPR08052M</v>
      </c>
    </row>
    <row r="495" spans="1:26">
      <c r="A495" s="17" t="s">
        <v>2573</v>
      </c>
      <c r="B495" s="17" t="s">
        <v>2573</v>
      </c>
      <c r="C495" s="17" t="s">
        <v>2574</v>
      </c>
      <c r="D495" s="17" t="s">
        <v>21</v>
      </c>
      <c r="E495" s="24" t="s">
        <v>6453</v>
      </c>
      <c r="F495" s="17" t="s">
        <v>386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2200000</v>
      </c>
      <c r="L495" s="17" t="s">
        <v>24</v>
      </c>
      <c r="M495" s="17" t="s">
        <v>478</v>
      </c>
      <c r="N495" s="17" t="s">
        <v>2575</v>
      </c>
      <c r="O495" s="17" t="s">
        <v>26</v>
      </c>
      <c r="P495" s="17" t="s">
        <v>2576</v>
      </c>
      <c r="Q495" s="17" t="s">
        <v>478</v>
      </c>
      <c r="R495" s="17" t="s">
        <v>2577</v>
      </c>
      <c r="S495" s="17" t="s">
        <v>26</v>
      </c>
      <c r="T495" s="17" t="s">
        <v>2578</v>
      </c>
      <c r="U495" s="17"/>
      <c r="V495" s="17"/>
      <c r="W495" s="17"/>
      <c r="X495" s="17"/>
      <c r="Y495" s="17"/>
      <c r="Z495" s="17" t="str">
        <f t="shared" si="8"/>
        <v>GPR08052M2</v>
      </c>
    </row>
    <row r="496" spans="1:26">
      <c r="A496" s="17" t="s">
        <v>2579</v>
      </c>
      <c r="B496" s="17" t="s">
        <v>2579</v>
      </c>
      <c r="C496" s="17" t="s">
        <v>2580</v>
      </c>
      <c r="D496" s="17" t="s">
        <v>21</v>
      </c>
      <c r="E496" s="24" t="s">
        <v>6453</v>
      </c>
      <c r="F496" s="17" t="s">
        <v>388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2400000</v>
      </c>
      <c r="L496" s="17" t="s">
        <v>24</v>
      </c>
      <c r="M496" s="17" t="s">
        <v>478</v>
      </c>
      <c r="N496" s="17" t="s">
        <v>2581</v>
      </c>
      <c r="O496" s="17" t="s">
        <v>26</v>
      </c>
      <c r="P496" s="17" t="s">
        <v>2582</v>
      </c>
      <c r="Q496" s="17"/>
      <c r="R496" s="17"/>
      <c r="S496" s="17"/>
      <c r="T496" s="17"/>
      <c r="U496" s="17"/>
      <c r="V496" s="17"/>
      <c r="W496" s="17"/>
      <c r="X496" s="17"/>
      <c r="Y496" s="17"/>
      <c r="Z496" s="17" t="str">
        <f t="shared" si="8"/>
        <v>GPR08052M4</v>
      </c>
    </row>
    <row r="497" spans="1:26">
      <c r="A497" s="17" t="s">
        <v>2583</v>
      </c>
      <c r="B497" s="17" t="s">
        <v>2583</v>
      </c>
      <c r="C497" s="17" t="s">
        <v>2584</v>
      </c>
      <c r="D497" s="17" t="s">
        <v>21</v>
      </c>
      <c r="E497" s="24" t="s">
        <v>6453</v>
      </c>
      <c r="F497" s="17" t="s">
        <v>390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2700000</v>
      </c>
      <c r="L497" s="17" t="s">
        <v>24</v>
      </c>
      <c r="M497" s="17" t="s">
        <v>478</v>
      </c>
      <c r="N497" s="17" t="s">
        <v>2585</v>
      </c>
      <c r="O497" s="17" t="s">
        <v>26</v>
      </c>
      <c r="P497" s="17" t="s">
        <v>2586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GPR08052M7</v>
      </c>
    </row>
    <row r="498" spans="1:26">
      <c r="A498" s="17" t="s">
        <v>2587</v>
      </c>
      <c r="B498" s="17" t="s">
        <v>2587</v>
      </c>
      <c r="C498" s="17" t="s">
        <v>2588</v>
      </c>
      <c r="D498" s="17" t="s">
        <v>21</v>
      </c>
      <c r="E498" s="24" t="s">
        <v>6453</v>
      </c>
      <c r="F498" s="17" t="s">
        <v>392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3000000</v>
      </c>
      <c r="L498" s="17" t="s">
        <v>24</v>
      </c>
      <c r="M498" s="17" t="s">
        <v>478</v>
      </c>
      <c r="N498" s="17" t="s">
        <v>2589</v>
      </c>
      <c r="O498" s="17" t="s">
        <v>26</v>
      </c>
      <c r="P498" s="17" t="s">
        <v>2590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GPR08053M</v>
      </c>
    </row>
    <row r="499" spans="1:26">
      <c r="A499" s="17" t="s">
        <v>2591</v>
      </c>
      <c r="B499" s="17" t="s">
        <v>2591</v>
      </c>
      <c r="C499" s="17" t="s">
        <v>2592</v>
      </c>
      <c r="D499" s="17" t="s">
        <v>21</v>
      </c>
      <c r="E499" s="24" t="s">
        <v>6453</v>
      </c>
      <c r="F499" s="17" t="s">
        <v>394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3300000</v>
      </c>
      <c r="L499" s="17" t="s">
        <v>1037</v>
      </c>
      <c r="M499" s="17" t="s">
        <v>478</v>
      </c>
      <c r="N499" s="17" t="s">
        <v>2593</v>
      </c>
      <c r="O499" s="17" t="s">
        <v>26</v>
      </c>
      <c r="P499" s="17" t="s">
        <v>2594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GPR08053M3</v>
      </c>
    </row>
    <row r="500" spans="1:26">
      <c r="A500" s="17" t="s">
        <v>2595</v>
      </c>
      <c r="B500" s="17" t="s">
        <v>2595</v>
      </c>
      <c r="C500" s="17" t="s">
        <v>2596</v>
      </c>
      <c r="D500" s="17" t="s">
        <v>21</v>
      </c>
      <c r="E500" s="24" t="s">
        <v>6453</v>
      </c>
      <c r="F500" s="17" t="s">
        <v>396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3600000</v>
      </c>
      <c r="L500" s="17" t="s">
        <v>24</v>
      </c>
      <c r="M500" s="17" t="s">
        <v>478</v>
      </c>
      <c r="N500" s="17" t="s">
        <v>2597</v>
      </c>
      <c r="O500" s="17" t="s">
        <v>26</v>
      </c>
      <c r="P500" s="17" t="s">
        <v>2598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GPR08053M6</v>
      </c>
    </row>
    <row r="501" spans="1:26">
      <c r="A501" s="17" t="s">
        <v>2599</v>
      </c>
      <c r="B501" s="17" t="s">
        <v>2599</v>
      </c>
      <c r="C501" s="17" t="s">
        <v>2600</v>
      </c>
      <c r="D501" s="17" t="s">
        <v>21</v>
      </c>
      <c r="E501" s="24" t="s">
        <v>6453</v>
      </c>
      <c r="F501" s="17" t="s">
        <v>398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3900000</v>
      </c>
      <c r="L501" s="17" t="s">
        <v>1037</v>
      </c>
      <c r="M501" s="17" t="s">
        <v>478</v>
      </c>
      <c r="N501" s="17" t="s">
        <v>2601</v>
      </c>
      <c r="O501" s="17" t="s">
        <v>26</v>
      </c>
      <c r="P501" s="17" t="s">
        <v>2602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GPR08053M9</v>
      </c>
    </row>
    <row r="502" spans="1:26">
      <c r="A502" s="17" t="s">
        <v>2603</v>
      </c>
      <c r="B502" s="17" t="s">
        <v>2603</v>
      </c>
      <c r="C502" s="17" t="s">
        <v>2604</v>
      </c>
      <c r="D502" s="17" t="s">
        <v>21</v>
      </c>
      <c r="E502" s="24" t="s">
        <v>6453</v>
      </c>
      <c r="F502" s="17" t="s">
        <v>400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4300000</v>
      </c>
      <c r="L502" s="17" t="s">
        <v>24</v>
      </c>
      <c r="M502" s="17" t="s">
        <v>478</v>
      </c>
      <c r="N502" s="17" t="s">
        <v>2605</v>
      </c>
      <c r="O502" s="17" t="s">
        <v>26</v>
      </c>
      <c r="P502" s="17" t="s">
        <v>2606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GPR08054M3</v>
      </c>
    </row>
    <row r="503" spans="1:26">
      <c r="A503" s="17" t="s">
        <v>2607</v>
      </c>
      <c r="B503" s="17" t="s">
        <v>2607</v>
      </c>
      <c r="C503" s="17" t="s">
        <v>2608</v>
      </c>
      <c r="D503" s="17" t="s">
        <v>21</v>
      </c>
      <c r="E503" s="24" t="s">
        <v>6453</v>
      </c>
      <c r="F503" s="17" t="s">
        <v>402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4700000</v>
      </c>
      <c r="L503" s="17" t="s">
        <v>24</v>
      </c>
      <c r="M503" s="17" t="s">
        <v>478</v>
      </c>
      <c r="N503" s="17" t="s">
        <v>2609</v>
      </c>
      <c r="O503" s="17" t="s">
        <v>26</v>
      </c>
      <c r="P503" s="17" t="s">
        <v>2610</v>
      </c>
      <c r="Q503" s="17" t="s">
        <v>478</v>
      </c>
      <c r="R503" s="17" t="s">
        <v>2611</v>
      </c>
      <c r="S503" s="17" t="s">
        <v>26</v>
      </c>
      <c r="T503" s="17" t="s">
        <v>2612</v>
      </c>
      <c r="U503" s="17"/>
      <c r="V503" s="17"/>
      <c r="W503" s="17"/>
      <c r="X503" s="17"/>
      <c r="Y503" s="17"/>
      <c r="Z503" s="17" t="str">
        <f t="shared" si="8"/>
        <v>GPR08054M7</v>
      </c>
    </row>
    <row r="504" spans="1:26">
      <c r="A504" s="17" t="s">
        <v>2613</v>
      </c>
      <c r="B504" s="17" t="s">
        <v>2613</v>
      </c>
      <c r="C504" s="17" t="s">
        <v>2614</v>
      </c>
      <c r="D504" s="17" t="s">
        <v>21</v>
      </c>
      <c r="E504" s="24" t="s">
        <v>6453</v>
      </c>
      <c r="F504" s="17" t="s">
        <v>404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5100000</v>
      </c>
      <c r="L504" s="17" t="s">
        <v>24</v>
      </c>
      <c r="M504" s="17" t="s">
        <v>478</v>
      </c>
      <c r="N504" s="17" t="s">
        <v>2615</v>
      </c>
      <c r="O504" s="17" t="s">
        <v>26</v>
      </c>
      <c r="P504" s="17" t="s">
        <v>2616</v>
      </c>
      <c r="Q504" s="17"/>
      <c r="R504" s="17"/>
      <c r="S504" s="17"/>
      <c r="T504" s="17"/>
      <c r="U504" s="17"/>
      <c r="V504" s="17"/>
      <c r="W504" s="17"/>
      <c r="X504" s="17"/>
      <c r="Y504" s="17"/>
      <c r="Z504" s="17" t="str">
        <f t="shared" si="8"/>
        <v>GPR08055M1</v>
      </c>
    </row>
    <row r="505" spans="1:26">
      <c r="A505" s="17" t="s">
        <v>2617</v>
      </c>
      <c r="B505" s="17" t="s">
        <v>2617</v>
      </c>
      <c r="C505" s="17" t="s">
        <v>2618</v>
      </c>
      <c r="D505" s="17" t="s">
        <v>21</v>
      </c>
      <c r="E505" s="24" t="s">
        <v>6453</v>
      </c>
      <c r="F505" s="17" t="s">
        <v>406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5600000</v>
      </c>
      <c r="L505" s="17" t="s">
        <v>24</v>
      </c>
      <c r="M505" s="17" t="s">
        <v>478</v>
      </c>
      <c r="N505" s="17" t="s">
        <v>2619</v>
      </c>
      <c r="O505" s="17" t="s">
        <v>26</v>
      </c>
      <c r="P505" s="17" t="s">
        <v>2620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GPR08055M6</v>
      </c>
    </row>
    <row r="506" spans="1:26">
      <c r="A506" s="17" t="s">
        <v>2621</v>
      </c>
      <c r="B506" s="17" t="s">
        <v>2621</v>
      </c>
      <c r="C506" s="17" t="s">
        <v>2622</v>
      </c>
      <c r="D506" s="17" t="s">
        <v>21</v>
      </c>
      <c r="E506" s="24" t="s">
        <v>6453</v>
      </c>
      <c r="F506" s="17" t="s">
        <v>408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6200000</v>
      </c>
      <c r="L506" s="17" t="s">
        <v>24</v>
      </c>
      <c r="M506" s="17" t="s">
        <v>478</v>
      </c>
      <c r="N506" s="17" t="s">
        <v>2623</v>
      </c>
      <c r="O506" s="17" t="s">
        <v>26</v>
      </c>
      <c r="P506" s="17" t="s">
        <v>2624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GPR08056M2</v>
      </c>
    </row>
    <row r="507" spans="1:26">
      <c r="A507" s="17" t="s">
        <v>2625</v>
      </c>
      <c r="B507" s="17" t="s">
        <v>2625</v>
      </c>
      <c r="C507" s="17" t="s">
        <v>2626</v>
      </c>
      <c r="D507" s="17" t="s">
        <v>21</v>
      </c>
      <c r="E507" s="24" t="s">
        <v>6453</v>
      </c>
      <c r="F507" s="17" t="s">
        <v>410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6800000</v>
      </c>
      <c r="L507" s="17" t="s">
        <v>24</v>
      </c>
      <c r="M507" s="17" t="s">
        <v>478</v>
      </c>
      <c r="N507" s="17" t="s">
        <v>2627</v>
      </c>
      <c r="O507" s="17" t="s">
        <v>26</v>
      </c>
      <c r="P507" s="17" t="s">
        <v>2628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GPR08056M8</v>
      </c>
    </row>
    <row r="508" spans="1:26">
      <c r="A508" s="17" t="s">
        <v>2629</v>
      </c>
      <c r="B508" s="17" t="s">
        <v>2629</v>
      </c>
      <c r="C508" s="17" t="s">
        <v>2630</v>
      </c>
      <c r="D508" s="17" t="s">
        <v>21</v>
      </c>
      <c r="E508" s="24" t="s">
        <v>6453</v>
      </c>
      <c r="F508" s="17" t="s">
        <v>412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7500000</v>
      </c>
      <c r="L508" s="17" t="s">
        <v>1037</v>
      </c>
      <c r="M508" s="17" t="s">
        <v>478</v>
      </c>
      <c r="N508" s="17" t="s">
        <v>2631</v>
      </c>
      <c r="O508" s="17" t="s">
        <v>26</v>
      </c>
      <c r="P508" s="17" t="s">
        <v>2632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GPR08057M5</v>
      </c>
    </row>
    <row r="509" spans="1:26">
      <c r="A509" s="17" t="s">
        <v>2633</v>
      </c>
      <c r="B509" s="17" t="s">
        <v>2633</v>
      </c>
      <c r="C509" s="17" t="s">
        <v>2634</v>
      </c>
      <c r="D509" s="17" t="s">
        <v>21</v>
      </c>
      <c r="E509" s="24" t="s">
        <v>6453</v>
      </c>
      <c r="F509" s="17" t="s">
        <v>414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8200000</v>
      </c>
      <c r="L509" s="17" t="s">
        <v>24</v>
      </c>
      <c r="M509" s="17" t="s">
        <v>478</v>
      </c>
      <c r="N509" s="17" t="s">
        <v>2635</v>
      </c>
      <c r="O509" s="17" t="s">
        <v>26</v>
      </c>
      <c r="P509" s="17" t="s">
        <v>2636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GPR08058M2</v>
      </c>
    </row>
    <row r="510" spans="1:26" ht="15.75">
      <c r="A510" s="17" t="s">
        <v>2637</v>
      </c>
      <c r="B510" s="17" t="s">
        <v>2637</v>
      </c>
      <c r="C510" s="17" t="s">
        <v>2638</v>
      </c>
      <c r="D510" s="17" t="s">
        <v>21</v>
      </c>
      <c r="E510" s="24" t="s">
        <v>6453</v>
      </c>
      <c r="F510" s="17" t="s">
        <v>416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9100000</v>
      </c>
      <c r="L510" s="17" t="s">
        <v>24</v>
      </c>
      <c r="M510" s="17" t="s">
        <v>478</v>
      </c>
      <c r="N510" s="17" t="s">
        <v>2639</v>
      </c>
      <c r="O510" s="17" t="s">
        <v>26</v>
      </c>
      <c r="P510" s="17" t="s">
        <v>2640</v>
      </c>
      <c r="Q510" s="17"/>
      <c r="R510" s="17"/>
      <c r="S510" s="17"/>
      <c r="T510" s="17"/>
      <c r="U510" s="8" t="s">
        <v>6386</v>
      </c>
      <c r="V510" s="8" t="s">
        <v>13558</v>
      </c>
      <c r="W510" s="17" t="s">
        <v>4561</v>
      </c>
      <c r="X510" s="8" t="s">
        <v>13557</v>
      </c>
      <c r="Y510" s="17"/>
      <c r="Z510" s="17" t="str">
        <f t="shared" si="8"/>
        <v>GPR08059M1</v>
      </c>
    </row>
    <row r="511" spans="1:26">
      <c r="A511" s="17" t="s">
        <v>2641</v>
      </c>
      <c r="B511" s="17" t="s">
        <v>2641</v>
      </c>
      <c r="C511" s="17" t="s">
        <v>2642</v>
      </c>
      <c r="D511" s="17" t="s">
        <v>21</v>
      </c>
      <c r="E511" s="24" t="s">
        <v>6453</v>
      </c>
      <c r="F511" s="17" t="s">
        <v>418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10000000</v>
      </c>
      <c r="L511" s="17" t="s">
        <v>24</v>
      </c>
      <c r="M511" s="17" t="s">
        <v>478</v>
      </c>
      <c r="N511" s="17" t="s">
        <v>2643</v>
      </c>
      <c r="O511" s="17" t="s">
        <v>26</v>
      </c>
      <c r="P511" s="17" t="s">
        <v>2644</v>
      </c>
      <c r="Q511" s="17" t="s">
        <v>478</v>
      </c>
      <c r="R511" s="17" t="s">
        <v>2645</v>
      </c>
      <c r="S511" s="17" t="s">
        <v>26</v>
      </c>
      <c r="T511" s="17" t="s">
        <v>2646</v>
      </c>
      <c r="U511" s="17"/>
      <c r="V511" s="17"/>
      <c r="W511" s="17"/>
      <c r="X511" s="17"/>
      <c r="Y511" s="17"/>
      <c r="Z511" s="17" t="str">
        <f t="shared" si="8"/>
        <v>GPR080510M</v>
      </c>
    </row>
    <row r="512" spans="1:26">
      <c r="A512" s="16" t="s">
        <v>8903</v>
      </c>
      <c r="B512" s="16" t="s">
        <v>8903</v>
      </c>
      <c r="C512" s="16" t="s">
        <v>8904</v>
      </c>
      <c r="D512" s="16" t="s">
        <v>21</v>
      </c>
      <c r="E512" s="16">
        <v>1206</v>
      </c>
      <c r="F512" s="16" t="s">
        <v>23</v>
      </c>
      <c r="G512" s="17" t="str">
        <f>Config!$B$3</f>
        <v>SCH/R_IEC.SchLib</v>
      </c>
      <c r="H512" s="16" t="s">
        <v>420</v>
      </c>
      <c r="I512" s="18" t="s">
        <v>462</v>
      </c>
      <c r="J512" s="17" t="s">
        <v>6417</v>
      </c>
      <c r="K512" s="19">
        <v>0</v>
      </c>
      <c r="L512" s="17"/>
      <c r="M512" s="16"/>
      <c r="N512" s="17"/>
      <c r="O512" s="16"/>
      <c r="P512" s="17"/>
      <c r="Q512" s="16"/>
      <c r="R512" s="17"/>
      <c r="S512" s="16"/>
      <c r="T512" s="16"/>
      <c r="U512" s="17"/>
      <c r="V512" s="17"/>
      <c r="W512" s="16"/>
      <c r="X512" s="17"/>
      <c r="Y512" s="17"/>
      <c r="Z512" s="17"/>
    </row>
    <row r="513" spans="1:26">
      <c r="A513" s="17" t="s">
        <v>8905</v>
      </c>
      <c r="B513" s="17" t="s">
        <v>8905</v>
      </c>
      <c r="C513" s="17" t="s">
        <v>8906</v>
      </c>
      <c r="D513" s="17" t="s">
        <v>21</v>
      </c>
      <c r="E513" s="24">
        <v>1206</v>
      </c>
      <c r="F513" s="17" t="s">
        <v>30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6417</v>
      </c>
      <c r="K513" s="17">
        <v>1</v>
      </c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>
      <c r="A514" s="17" t="s">
        <v>8907</v>
      </c>
      <c r="B514" s="17" t="s">
        <v>8907</v>
      </c>
      <c r="C514" s="17" t="s">
        <v>8908</v>
      </c>
      <c r="D514" s="17" t="s">
        <v>21</v>
      </c>
      <c r="E514" s="24">
        <v>1206</v>
      </c>
      <c r="F514" s="17" t="s">
        <v>1044</v>
      </c>
      <c r="G514" s="17" t="str">
        <f>Config!$B$3</f>
        <v>SCH/R_IEC.SchLib</v>
      </c>
      <c r="H514" s="17" t="s">
        <v>420</v>
      </c>
      <c r="I514" s="17" t="s">
        <v>462</v>
      </c>
      <c r="J514" s="17" t="s">
        <v>6417</v>
      </c>
      <c r="K514" s="17">
        <v>1.1000000000000001</v>
      </c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>
      <c r="A515" s="17" t="s">
        <v>8909</v>
      </c>
      <c r="B515" s="17" t="s">
        <v>8909</v>
      </c>
      <c r="C515" s="17" t="s">
        <v>8910</v>
      </c>
      <c r="D515" s="17" t="s">
        <v>21</v>
      </c>
      <c r="E515" s="24">
        <v>1206</v>
      </c>
      <c r="F515" s="17" t="s">
        <v>32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1.2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8911</v>
      </c>
      <c r="B516" s="17" t="s">
        <v>8911</v>
      </c>
      <c r="C516" s="17" t="s">
        <v>8912</v>
      </c>
      <c r="D516" s="17" t="s">
        <v>21</v>
      </c>
      <c r="E516" s="24">
        <v>1206</v>
      </c>
      <c r="F516" s="17" t="s">
        <v>1054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1.3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8913</v>
      </c>
      <c r="B517" s="17" t="s">
        <v>8913</v>
      </c>
      <c r="C517" s="17" t="s">
        <v>8914</v>
      </c>
      <c r="D517" s="17" t="s">
        <v>21</v>
      </c>
      <c r="E517" s="24">
        <v>1206</v>
      </c>
      <c r="F517" s="17" t="s">
        <v>34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1.5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8915</v>
      </c>
      <c r="B518" s="17" t="s">
        <v>8915</v>
      </c>
      <c r="C518" s="17" t="s">
        <v>8916</v>
      </c>
      <c r="D518" s="17" t="s">
        <v>21</v>
      </c>
      <c r="E518" s="24">
        <v>1206</v>
      </c>
      <c r="F518" s="17" t="s">
        <v>1064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1.6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8917</v>
      </c>
      <c r="B519" s="17" t="s">
        <v>8917</v>
      </c>
      <c r="C519" s="17" t="s">
        <v>8918</v>
      </c>
      <c r="D519" s="17" t="s">
        <v>21</v>
      </c>
      <c r="E519" s="24">
        <v>1206</v>
      </c>
      <c r="F519" s="17" t="s">
        <v>36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1.8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8919</v>
      </c>
      <c r="B520" s="17" t="s">
        <v>8919</v>
      </c>
      <c r="C520" s="17" t="s">
        <v>8920</v>
      </c>
      <c r="D520" s="17" t="s">
        <v>21</v>
      </c>
      <c r="E520" s="24">
        <v>1206</v>
      </c>
      <c r="F520" s="17" t="s">
        <v>1072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2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8921</v>
      </c>
      <c r="B521" s="17" t="s">
        <v>8921</v>
      </c>
      <c r="C521" s="17" t="s">
        <v>8922</v>
      </c>
      <c r="D521" s="17" t="s">
        <v>21</v>
      </c>
      <c r="E521" s="24">
        <v>1206</v>
      </c>
      <c r="F521" s="17" t="s">
        <v>38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2.2000000000000002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8923</v>
      </c>
      <c r="B522" s="17" t="s">
        <v>8923</v>
      </c>
      <c r="C522" s="17" t="s">
        <v>8924</v>
      </c>
      <c r="D522" s="17" t="s">
        <v>21</v>
      </c>
      <c r="E522" s="24">
        <v>1206</v>
      </c>
      <c r="F522" s="17" t="s">
        <v>1082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2.4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8925</v>
      </c>
      <c r="B523" s="17" t="s">
        <v>8925</v>
      </c>
      <c r="C523" s="17" t="s">
        <v>8926</v>
      </c>
      <c r="D523" s="17" t="s">
        <v>21</v>
      </c>
      <c r="E523" s="24">
        <v>1206</v>
      </c>
      <c r="F523" s="17" t="s">
        <v>40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2.7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8927</v>
      </c>
      <c r="B524" s="17" t="s">
        <v>8927</v>
      </c>
      <c r="C524" s="17" t="s">
        <v>8928</v>
      </c>
      <c r="D524" s="17" t="s">
        <v>21</v>
      </c>
      <c r="E524" s="24">
        <v>1206</v>
      </c>
      <c r="F524" s="17" t="s">
        <v>1090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3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8929</v>
      </c>
      <c r="B525" s="17" t="s">
        <v>8929</v>
      </c>
      <c r="C525" s="17" t="s">
        <v>8930</v>
      </c>
      <c r="D525" s="17" t="s">
        <v>21</v>
      </c>
      <c r="E525" s="24">
        <v>1206</v>
      </c>
      <c r="F525" s="17" t="s">
        <v>42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3.3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8931</v>
      </c>
      <c r="B526" s="17" t="s">
        <v>8931</v>
      </c>
      <c r="C526" s="17" t="s">
        <v>8932</v>
      </c>
      <c r="D526" s="17" t="s">
        <v>21</v>
      </c>
      <c r="E526" s="24">
        <v>1206</v>
      </c>
      <c r="F526" s="17" t="s">
        <v>1100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3.6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8933</v>
      </c>
      <c r="B527" s="17" t="s">
        <v>8933</v>
      </c>
      <c r="C527" s="17" t="s">
        <v>8934</v>
      </c>
      <c r="D527" s="17" t="s">
        <v>21</v>
      </c>
      <c r="E527" s="24">
        <v>1206</v>
      </c>
      <c r="F527" s="17" t="s">
        <v>44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3.9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8935</v>
      </c>
      <c r="B528" s="17" t="s">
        <v>8935</v>
      </c>
      <c r="C528" s="17" t="s">
        <v>8936</v>
      </c>
      <c r="D528" s="17" t="s">
        <v>21</v>
      </c>
      <c r="E528" s="24">
        <v>1206</v>
      </c>
      <c r="F528" s="17" t="s">
        <v>1108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4.3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8937</v>
      </c>
      <c r="B529" s="17" t="s">
        <v>8937</v>
      </c>
      <c r="C529" s="17" t="s">
        <v>8938</v>
      </c>
      <c r="D529" s="17" t="s">
        <v>21</v>
      </c>
      <c r="E529" s="24">
        <v>1206</v>
      </c>
      <c r="F529" s="17" t="s">
        <v>46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4.7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8939</v>
      </c>
      <c r="B530" s="17" t="s">
        <v>8939</v>
      </c>
      <c r="C530" s="17" t="s">
        <v>8940</v>
      </c>
      <c r="D530" s="17" t="s">
        <v>21</v>
      </c>
      <c r="E530" s="24">
        <v>1206</v>
      </c>
      <c r="F530" s="17" t="s">
        <v>1118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5.0999999999999996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8941</v>
      </c>
      <c r="B531" s="17" t="s">
        <v>8941</v>
      </c>
      <c r="C531" s="17" t="s">
        <v>8942</v>
      </c>
      <c r="D531" s="17" t="s">
        <v>21</v>
      </c>
      <c r="E531" s="24">
        <v>1206</v>
      </c>
      <c r="F531" s="17" t="s">
        <v>48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5.6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8943</v>
      </c>
      <c r="B532" s="17" t="s">
        <v>8943</v>
      </c>
      <c r="C532" s="17" t="s">
        <v>8944</v>
      </c>
      <c r="D532" s="17" t="s">
        <v>21</v>
      </c>
      <c r="E532" s="24">
        <v>1206</v>
      </c>
      <c r="F532" s="17" t="s">
        <v>1130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6.2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8945</v>
      </c>
      <c r="B533" s="17" t="s">
        <v>8945</v>
      </c>
      <c r="C533" s="17" t="s">
        <v>8946</v>
      </c>
      <c r="D533" s="17" t="s">
        <v>21</v>
      </c>
      <c r="E533" s="24">
        <v>1206</v>
      </c>
      <c r="F533" s="17" t="s">
        <v>50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6.8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8947</v>
      </c>
      <c r="B534" s="17" t="s">
        <v>8947</v>
      </c>
      <c r="C534" s="17" t="s">
        <v>8948</v>
      </c>
      <c r="D534" s="17" t="s">
        <v>21</v>
      </c>
      <c r="E534" s="24">
        <v>1206</v>
      </c>
      <c r="F534" s="17" t="s">
        <v>1140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7.5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8949</v>
      </c>
      <c r="B535" s="17" t="s">
        <v>8949</v>
      </c>
      <c r="C535" s="17" t="s">
        <v>8950</v>
      </c>
      <c r="D535" s="17" t="s">
        <v>21</v>
      </c>
      <c r="E535" s="24">
        <v>1206</v>
      </c>
      <c r="F535" s="17" t="s">
        <v>52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8.1999999999999993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8951</v>
      </c>
      <c r="B536" s="17" t="s">
        <v>8951</v>
      </c>
      <c r="C536" s="17" t="s">
        <v>8952</v>
      </c>
      <c r="D536" s="17" t="s">
        <v>21</v>
      </c>
      <c r="E536" s="24">
        <v>1206</v>
      </c>
      <c r="F536" s="17" t="s">
        <v>1150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9.1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8953</v>
      </c>
      <c r="B537" s="17" t="s">
        <v>8953</v>
      </c>
      <c r="C537" s="17" t="s">
        <v>8954</v>
      </c>
      <c r="D537" s="17" t="s">
        <v>21</v>
      </c>
      <c r="E537" s="24">
        <v>1206</v>
      </c>
      <c r="F537" s="17" t="s">
        <v>54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21">
        <v>10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8955</v>
      </c>
      <c r="B538" s="17" t="s">
        <v>8955</v>
      </c>
      <c r="C538" s="17" t="s">
        <v>8956</v>
      </c>
      <c r="D538" s="17" t="s">
        <v>21</v>
      </c>
      <c r="E538" s="24">
        <v>1206</v>
      </c>
      <c r="F538" s="17" t="s">
        <v>58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21">
        <v>11</v>
      </c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>
      <c r="A539" s="17" t="s">
        <v>8957</v>
      </c>
      <c r="B539" s="17" t="s">
        <v>8957</v>
      </c>
      <c r="C539" s="17" t="s">
        <v>8958</v>
      </c>
      <c r="D539" s="17" t="s">
        <v>21</v>
      </c>
      <c r="E539" s="24">
        <v>1206</v>
      </c>
      <c r="F539" s="17" t="s">
        <v>60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12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8959</v>
      </c>
      <c r="B540" s="17" t="s">
        <v>8959</v>
      </c>
      <c r="C540" s="17" t="s">
        <v>8960</v>
      </c>
      <c r="D540" s="17" t="s">
        <v>21</v>
      </c>
      <c r="E540" s="24">
        <v>1206</v>
      </c>
      <c r="F540" s="17" t="s">
        <v>62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13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6438</v>
      </c>
      <c r="B541" s="17" t="s">
        <v>6438</v>
      </c>
      <c r="C541" s="17" t="s">
        <v>8961</v>
      </c>
      <c r="D541" s="17" t="s">
        <v>21</v>
      </c>
      <c r="E541" s="24">
        <v>1206</v>
      </c>
      <c r="F541" s="17" t="s">
        <v>64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15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8962</v>
      </c>
      <c r="B542" s="17" t="s">
        <v>8962</v>
      </c>
      <c r="C542" s="17" t="s">
        <v>8963</v>
      </c>
      <c r="D542" s="17" t="s">
        <v>21</v>
      </c>
      <c r="E542" s="24">
        <v>1206</v>
      </c>
      <c r="F542" s="17" t="s">
        <v>66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16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8964</v>
      </c>
      <c r="B543" s="17" t="s">
        <v>8964</v>
      </c>
      <c r="C543" s="17" t="s">
        <v>8965</v>
      </c>
      <c r="D543" s="17" t="s">
        <v>21</v>
      </c>
      <c r="E543" s="24">
        <v>1206</v>
      </c>
      <c r="F543" s="17" t="s">
        <v>68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18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8966</v>
      </c>
      <c r="B544" s="17" t="s">
        <v>8966</v>
      </c>
      <c r="C544" s="17" t="s">
        <v>8967</v>
      </c>
      <c r="D544" s="17" t="s">
        <v>21</v>
      </c>
      <c r="E544" s="24">
        <v>1206</v>
      </c>
      <c r="F544" s="17" t="s">
        <v>70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20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8968</v>
      </c>
      <c r="B545" s="17" t="s">
        <v>8968</v>
      </c>
      <c r="C545" s="17" t="s">
        <v>8969</v>
      </c>
      <c r="D545" s="17" t="s">
        <v>21</v>
      </c>
      <c r="E545" s="24">
        <v>1206</v>
      </c>
      <c r="F545" s="17" t="s">
        <v>72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22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8970</v>
      </c>
      <c r="B546" s="17" t="s">
        <v>8970</v>
      </c>
      <c r="C546" s="17" t="s">
        <v>8971</v>
      </c>
      <c r="D546" s="17" t="s">
        <v>21</v>
      </c>
      <c r="E546" s="24">
        <v>1206</v>
      </c>
      <c r="F546" s="17" t="s">
        <v>76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24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8972</v>
      </c>
      <c r="B547" s="17" t="s">
        <v>8972</v>
      </c>
      <c r="C547" s="17" t="s">
        <v>8973</v>
      </c>
      <c r="D547" s="17" t="s">
        <v>21</v>
      </c>
      <c r="E547" s="24">
        <v>1206</v>
      </c>
      <c r="F547" s="17" t="s">
        <v>78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27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8974</v>
      </c>
      <c r="B548" s="17" t="s">
        <v>8974</v>
      </c>
      <c r="C548" s="17" t="s">
        <v>8975</v>
      </c>
      <c r="D548" s="17" t="s">
        <v>21</v>
      </c>
      <c r="E548" s="24">
        <v>1206</v>
      </c>
      <c r="F548" s="17" t="s">
        <v>80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30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8976</v>
      </c>
      <c r="B549" s="17" t="s">
        <v>8976</v>
      </c>
      <c r="C549" s="17" t="s">
        <v>8977</v>
      </c>
      <c r="D549" s="17" t="s">
        <v>21</v>
      </c>
      <c r="E549" s="24">
        <v>1206</v>
      </c>
      <c r="F549" s="17" t="s">
        <v>82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33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8978</v>
      </c>
      <c r="B550" s="17" t="s">
        <v>8978</v>
      </c>
      <c r="C550" s="17" t="s">
        <v>8979</v>
      </c>
      <c r="D550" s="17" t="s">
        <v>21</v>
      </c>
      <c r="E550" s="24">
        <v>1206</v>
      </c>
      <c r="F550" s="17" t="s">
        <v>84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36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8980</v>
      </c>
      <c r="B551" s="17" t="s">
        <v>8980</v>
      </c>
      <c r="C551" s="17" t="s">
        <v>8981</v>
      </c>
      <c r="D551" s="17" t="s">
        <v>21</v>
      </c>
      <c r="E551" s="24">
        <v>1206</v>
      </c>
      <c r="F551" s="17" t="s">
        <v>86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39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8982</v>
      </c>
      <c r="B552" s="17" t="s">
        <v>8982</v>
      </c>
      <c r="C552" s="17" t="s">
        <v>8983</v>
      </c>
      <c r="D552" s="17" t="s">
        <v>21</v>
      </c>
      <c r="E552" s="24">
        <v>1206</v>
      </c>
      <c r="F552" s="17" t="s">
        <v>88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43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8984</v>
      </c>
      <c r="B553" s="17" t="s">
        <v>8984</v>
      </c>
      <c r="C553" s="17" t="s">
        <v>8985</v>
      </c>
      <c r="D553" s="17" t="s">
        <v>21</v>
      </c>
      <c r="E553" s="24">
        <v>1206</v>
      </c>
      <c r="F553" s="17" t="s">
        <v>90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47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8986</v>
      </c>
      <c r="B554" s="17" t="s">
        <v>8986</v>
      </c>
      <c r="C554" s="17" t="s">
        <v>8987</v>
      </c>
      <c r="D554" s="17" t="s">
        <v>21</v>
      </c>
      <c r="E554" s="24">
        <v>1206</v>
      </c>
      <c r="F554" s="17" t="s">
        <v>92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51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8988</v>
      </c>
      <c r="B555" s="17" t="s">
        <v>8988</v>
      </c>
      <c r="C555" s="17" t="s">
        <v>8989</v>
      </c>
      <c r="D555" s="17" t="s">
        <v>21</v>
      </c>
      <c r="E555" s="24">
        <v>1206</v>
      </c>
      <c r="F555" s="17" t="s">
        <v>94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56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8990</v>
      </c>
      <c r="B556" s="17" t="s">
        <v>8990</v>
      </c>
      <c r="C556" s="17" t="s">
        <v>8991</v>
      </c>
      <c r="D556" s="17" t="s">
        <v>21</v>
      </c>
      <c r="E556" s="24">
        <v>1206</v>
      </c>
      <c r="F556" s="17" t="s">
        <v>96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62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8992</v>
      </c>
      <c r="B557" s="17" t="s">
        <v>8992</v>
      </c>
      <c r="C557" s="17" t="s">
        <v>8993</v>
      </c>
      <c r="D557" s="17" t="s">
        <v>21</v>
      </c>
      <c r="E557" s="24">
        <v>1206</v>
      </c>
      <c r="F557" s="17" t="s">
        <v>98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68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8994</v>
      </c>
      <c r="B558" s="17" t="s">
        <v>8994</v>
      </c>
      <c r="C558" s="17" t="s">
        <v>8995</v>
      </c>
      <c r="D558" s="17" t="s">
        <v>21</v>
      </c>
      <c r="E558" s="24">
        <v>1206</v>
      </c>
      <c r="F558" s="17" t="s">
        <v>100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75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8996</v>
      </c>
      <c r="B559" s="17" t="s">
        <v>8996</v>
      </c>
      <c r="C559" s="17" t="s">
        <v>8997</v>
      </c>
      <c r="D559" s="17" t="s">
        <v>21</v>
      </c>
      <c r="E559" s="24">
        <v>1206</v>
      </c>
      <c r="F559" s="17" t="s">
        <v>102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82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8998</v>
      </c>
      <c r="B560" s="17" t="s">
        <v>8998</v>
      </c>
      <c r="C560" s="17" t="s">
        <v>8999</v>
      </c>
      <c r="D560" s="17" t="s">
        <v>21</v>
      </c>
      <c r="E560" s="24">
        <v>1206</v>
      </c>
      <c r="F560" s="17" t="s">
        <v>104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91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>
      <c r="A561" s="17" t="s">
        <v>9000</v>
      </c>
      <c r="B561" s="17" t="s">
        <v>9000</v>
      </c>
      <c r="C561" s="17" t="s">
        <v>9001</v>
      </c>
      <c r="D561" s="17" t="s">
        <v>21</v>
      </c>
      <c r="E561" s="24">
        <v>1206</v>
      </c>
      <c r="F561" s="17" t="s">
        <v>106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100</v>
      </c>
      <c r="L561" s="17" t="s">
        <v>4824</v>
      </c>
      <c r="M561" s="17" t="s">
        <v>478</v>
      </c>
      <c r="N561" s="17" t="s">
        <v>12715</v>
      </c>
      <c r="O561" s="17" t="s">
        <v>26</v>
      </c>
      <c r="P561" s="17" t="s">
        <v>12716</v>
      </c>
      <c r="Q561" s="17"/>
      <c r="R561" s="17"/>
      <c r="S561" s="17"/>
      <c r="T561" s="17"/>
      <c r="U561" s="17" t="s">
        <v>4731</v>
      </c>
      <c r="V561" s="8" t="s">
        <v>13554</v>
      </c>
      <c r="W561" s="17" t="s">
        <v>4561</v>
      </c>
      <c r="X561" s="8" t="s">
        <v>13553</v>
      </c>
      <c r="Y561" s="17"/>
      <c r="Z561" s="17"/>
    </row>
    <row r="562" spans="1:26">
      <c r="A562" s="17" t="s">
        <v>9002</v>
      </c>
      <c r="B562" s="17" t="s">
        <v>9002</v>
      </c>
      <c r="C562" s="17" t="s">
        <v>9003</v>
      </c>
      <c r="D562" s="17" t="s">
        <v>21</v>
      </c>
      <c r="E562" s="24">
        <v>1206</v>
      </c>
      <c r="F562" s="17" t="s">
        <v>110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110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>
      <c r="A563" s="17" t="s">
        <v>9004</v>
      </c>
      <c r="B563" s="17" t="s">
        <v>9004</v>
      </c>
      <c r="C563" s="17" t="s">
        <v>9005</v>
      </c>
      <c r="D563" s="17" t="s">
        <v>21</v>
      </c>
      <c r="E563" s="24">
        <v>1206</v>
      </c>
      <c r="F563" s="17" t="s">
        <v>112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120</v>
      </c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>
      <c r="A564" s="17" t="s">
        <v>9006</v>
      </c>
      <c r="B564" s="17" t="s">
        <v>9006</v>
      </c>
      <c r="C564" s="17" t="s">
        <v>9007</v>
      </c>
      <c r="D564" s="17" t="s">
        <v>21</v>
      </c>
      <c r="E564" s="24">
        <v>1206</v>
      </c>
      <c r="F564" s="17" t="s">
        <v>114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130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9008</v>
      </c>
      <c r="B565" s="17" t="s">
        <v>9008</v>
      </c>
      <c r="C565" s="17" t="s">
        <v>9009</v>
      </c>
      <c r="D565" s="17" t="s">
        <v>21</v>
      </c>
      <c r="E565" s="24">
        <v>1206</v>
      </c>
      <c r="F565" s="17" t="s">
        <v>116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150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9010</v>
      </c>
      <c r="B566" s="17" t="s">
        <v>9010</v>
      </c>
      <c r="C566" s="17" t="s">
        <v>9011</v>
      </c>
      <c r="D566" s="17" t="s">
        <v>21</v>
      </c>
      <c r="E566" s="24">
        <v>1206</v>
      </c>
      <c r="F566" s="17" t="s">
        <v>118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160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9012</v>
      </c>
      <c r="B567" s="17" t="s">
        <v>9012</v>
      </c>
      <c r="C567" s="17" t="s">
        <v>9013</v>
      </c>
      <c r="D567" s="17" t="s">
        <v>21</v>
      </c>
      <c r="E567" s="24">
        <v>1206</v>
      </c>
      <c r="F567" s="17" t="s">
        <v>120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180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9014</v>
      </c>
      <c r="B568" s="17" t="s">
        <v>9014</v>
      </c>
      <c r="C568" s="17" t="s">
        <v>9015</v>
      </c>
      <c r="D568" s="17" t="s">
        <v>21</v>
      </c>
      <c r="E568" s="24">
        <v>1206</v>
      </c>
      <c r="F568" s="17" t="s">
        <v>124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200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9016</v>
      </c>
      <c r="B569" s="17" t="s">
        <v>9016</v>
      </c>
      <c r="C569" s="17" t="s">
        <v>9017</v>
      </c>
      <c r="D569" s="17" t="s">
        <v>21</v>
      </c>
      <c r="E569" s="24">
        <v>1206</v>
      </c>
      <c r="F569" s="17" t="s">
        <v>126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220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9018</v>
      </c>
      <c r="B570" s="17" t="s">
        <v>9018</v>
      </c>
      <c r="C570" s="17" t="s">
        <v>9019</v>
      </c>
      <c r="D570" s="17" t="s">
        <v>21</v>
      </c>
      <c r="E570" s="24">
        <v>1206</v>
      </c>
      <c r="F570" s="17" t="s">
        <v>130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240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9020</v>
      </c>
      <c r="B571" s="17" t="s">
        <v>9020</v>
      </c>
      <c r="C571" s="17" t="s">
        <v>9021</v>
      </c>
      <c r="D571" s="17" t="s">
        <v>21</v>
      </c>
      <c r="E571" s="24">
        <v>1206</v>
      </c>
      <c r="F571" s="17" t="s">
        <v>132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270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9022</v>
      </c>
      <c r="B572" s="17" t="s">
        <v>9022</v>
      </c>
      <c r="C572" s="17" t="s">
        <v>9023</v>
      </c>
      <c r="D572" s="17" t="s">
        <v>21</v>
      </c>
      <c r="E572" s="24">
        <v>1206</v>
      </c>
      <c r="F572" s="17" t="s">
        <v>134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300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9024</v>
      </c>
      <c r="B573" s="17" t="s">
        <v>9024</v>
      </c>
      <c r="C573" s="17" t="s">
        <v>9025</v>
      </c>
      <c r="D573" s="17" t="s">
        <v>21</v>
      </c>
      <c r="E573" s="24">
        <v>1206</v>
      </c>
      <c r="F573" s="17" t="s">
        <v>138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330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9026</v>
      </c>
      <c r="B574" s="17" t="s">
        <v>9026</v>
      </c>
      <c r="C574" s="17" t="s">
        <v>9027</v>
      </c>
      <c r="D574" s="17" t="s">
        <v>21</v>
      </c>
      <c r="E574" s="24">
        <v>1206</v>
      </c>
      <c r="F574" s="17" t="s">
        <v>140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360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9028</v>
      </c>
      <c r="B575" s="17" t="s">
        <v>9028</v>
      </c>
      <c r="C575" s="17" t="s">
        <v>9029</v>
      </c>
      <c r="D575" s="17" t="s">
        <v>21</v>
      </c>
      <c r="E575" s="24">
        <v>1206</v>
      </c>
      <c r="F575" s="17" t="s">
        <v>142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390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9030</v>
      </c>
      <c r="B576" s="17" t="s">
        <v>9030</v>
      </c>
      <c r="C576" s="17" t="s">
        <v>9031</v>
      </c>
      <c r="D576" s="17" t="s">
        <v>21</v>
      </c>
      <c r="E576" s="24">
        <v>1206</v>
      </c>
      <c r="F576" s="17" t="s">
        <v>144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430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9032</v>
      </c>
      <c r="B577" s="17" t="s">
        <v>9032</v>
      </c>
      <c r="C577" s="17" t="s">
        <v>9033</v>
      </c>
      <c r="D577" s="17" t="s">
        <v>21</v>
      </c>
      <c r="E577" s="24">
        <v>1206</v>
      </c>
      <c r="F577" s="17" t="s">
        <v>146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470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9034</v>
      </c>
      <c r="B578" s="17" t="s">
        <v>9034</v>
      </c>
      <c r="C578" s="17" t="s">
        <v>9035</v>
      </c>
      <c r="D578" s="17" t="s">
        <v>21</v>
      </c>
      <c r="E578" s="24">
        <v>1206</v>
      </c>
      <c r="F578" s="17" t="s">
        <v>150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510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9036</v>
      </c>
      <c r="B579" s="17" t="s">
        <v>9036</v>
      </c>
      <c r="C579" s="17" t="s">
        <v>9037</v>
      </c>
      <c r="D579" s="17" t="s">
        <v>21</v>
      </c>
      <c r="E579" s="24">
        <v>1206</v>
      </c>
      <c r="F579" s="17" t="s">
        <v>152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560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9038</v>
      </c>
      <c r="B580" s="17" t="s">
        <v>9038</v>
      </c>
      <c r="C580" s="17" t="s">
        <v>9039</v>
      </c>
      <c r="D580" s="17" t="s">
        <v>21</v>
      </c>
      <c r="E580" s="24">
        <v>1206</v>
      </c>
      <c r="F580" s="17" t="s">
        <v>154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620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9040</v>
      </c>
      <c r="B581" s="17" t="s">
        <v>9040</v>
      </c>
      <c r="C581" s="17" t="s">
        <v>9041</v>
      </c>
      <c r="D581" s="17" t="s">
        <v>21</v>
      </c>
      <c r="E581" s="24">
        <v>1206</v>
      </c>
      <c r="F581" s="17" t="s">
        <v>156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680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9042</v>
      </c>
      <c r="B582" s="17" t="s">
        <v>9042</v>
      </c>
      <c r="C582" s="17" t="s">
        <v>9043</v>
      </c>
      <c r="D582" s="17" t="s">
        <v>21</v>
      </c>
      <c r="E582" s="24">
        <v>1206</v>
      </c>
      <c r="F582" s="17" t="s">
        <v>158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750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9044</v>
      </c>
      <c r="B583" s="17" t="s">
        <v>9044</v>
      </c>
      <c r="C583" s="17" t="s">
        <v>9045</v>
      </c>
      <c r="D583" s="17" t="s">
        <v>21</v>
      </c>
      <c r="E583" s="24">
        <v>1206</v>
      </c>
      <c r="F583" s="17" t="s">
        <v>160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820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9046</v>
      </c>
      <c r="B584" s="17" t="s">
        <v>9046</v>
      </c>
      <c r="C584" s="17" t="s">
        <v>9047</v>
      </c>
      <c r="D584" s="17" t="s">
        <v>21</v>
      </c>
      <c r="E584" s="24">
        <v>1206</v>
      </c>
      <c r="F584" s="17" t="s">
        <v>162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910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9048</v>
      </c>
      <c r="B585" s="17" t="s">
        <v>9048</v>
      </c>
      <c r="C585" s="17" t="s">
        <v>9049</v>
      </c>
      <c r="D585" s="17" t="s">
        <v>21</v>
      </c>
      <c r="E585" s="24">
        <v>1206</v>
      </c>
      <c r="F585" s="17" t="s">
        <v>164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1000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9050</v>
      </c>
      <c r="B586" s="17" t="s">
        <v>9050</v>
      </c>
      <c r="C586" s="17" t="s">
        <v>9051</v>
      </c>
      <c r="D586" s="17" t="s">
        <v>21</v>
      </c>
      <c r="E586" s="24">
        <v>1206</v>
      </c>
      <c r="F586" s="17" t="s">
        <v>166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1100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9052</v>
      </c>
      <c r="B587" s="17" t="s">
        <v>9052</v>
      </c>
      <c r="C587" s="17" t="s">
        <v>9053</v>
      </c>
      <c r="D587" s="17" t="s">
        <v>21</v>
      </c>
      <c r="E587" s="24">
        <v>1206</v>
      </c>
      <c r="F587" s="17" t="s">
        <v>168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1200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9054</v>
      </c>
      <c r="B588" s="17" t="s">
        <v>9054</v>
      </c>
      <c r="C588" s="17" t="s">
        <v>9055</v>
      </c>
      <c r="D588" s="17" t="s">
        <v>21</v>
      </c>
      <c r="E588" s="24">
        <v>1206</v>
      </c>
      <c r="F588" s="17" t="s">
        <v>170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1300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9056</v>
      </c>
      <c r="B589" s="17" t="s">
        <v>9056</v>
      </c>
      <c r="C589" s="17" t="s">
        <v>9057</v>
      </c>
      <c r="D589" s="17" t="s">
        <v>21</v>
      </c>
      <c r="E589" s="24">
        <v>1206</v>
      </c>
      <c r="F589" s="17" t="s">
        <v>172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1500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9058</v>
      </c>
      <c r="B590" s="17" t="s">
        <v>9058</v>
      </c>
      <c r="C590" s="17" t="s">
        <v>9059</v>
      </c>
      <c r="D590" s="17" t="s">
        <v>21</v>
      </c>
      <c r="E590" s="24">
        <v>1206</v>
      </c>
      <c r="F590" s="17" t="s">
        <v>176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1600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9060</v>
      </c>
      <c r="B591" s="17" t="s">
        <v>9060</v>
      </c>
      <c r="C591" s="17" t="s">
        <v>9061</v>
      </c>
      <c r="D591" s="17" t="s">
        <v>21</v>
      </c>
      <c r="E591" s="24">
        <v>1206</v>
      </c>
      <c r="F591" s="17" t="s">
        <v>182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1800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9062</v>
      </c>
      <c r="B592" s="17" t="s">
        <v>9062</v>
      </c>
      <c r="C592" s="17" t="s">
        <v>9063</v>
      </c>
      <c r="D592" s="17" t="s">
        <v>21</v>
      </c>
      <c r="E592" s="24">
        <v>1206</v>
      </c>
      <c r="F592" s="17" t="s">
        <v>184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2000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9064</v>
      </c>
      <c r="B593" s="17" t="s">
        <v>9064</v>
      </c>
      <c r="C593" s="17" t="s">
        <v>9065</v>
      </c>
      <c r="D593" s="17" t="s">
        <v>21</v>
      </c>
      <c r="E593" s="24">
        <v>1206</v>
      </c>
      <c r="F593" s="17" t="s">
        <v>188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2200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9066</v>
      </c>
      <c r="B594" s="17" t="s">
        <v>9066</v>
      </c>
      <c r="C594" s="17" t="s">
        <v>9067</v>
      </c>
      <c r="D594" s="17" t="s">
        <v>21</v>
      </c>
      <c r="E594" s="24">
        <v>1206</v>
      </c>
      <c r="F594" s="17" t="s">
        <v>192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2400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9068</v>
      </c>
      <c r="B595" s="17" t="s">
        <v>9068</v>
      </c>
      <c r="C595" s="17" t="s">
        <v>9069</v>
      </c>
      <c r="D595" s="17" t="s">
        <v>21</v>
      </c>
      <c r="E595" s="24">
        <v>1206</v>
      </c>
      <c r="F595" s="17" t="s">
        <v>194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2700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9070</v>
      </c>
      <c r="B596" s="17" t="s">
        <v>9070</v>
      </c>
      <c r="C596" s="17" t="s">
        <v>9071</v>
      </c>
      <c r="D596" s="17" t="s">
        <v>21</v>
      </c>
      <c r="E596" s="24">
        <v>1206</v>
      </c>
      <c r="F596" s="17" t="s">
        <v>198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3000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9072</v>
      </c>
      <c r="B597" s="17" t="s">
        <v>9072</v>
      </c>
      <c r="C597" s="17" t="s">
        <v>9073</v>
      </c>
      <c r="D597" s="17" t="s">
        <v>21</v>
      </c>
      <c r="E597" s="24">
        <v>1206</v>
      </c>
      <c r="F597" s="17" t="s">
        <v>202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3300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9074</v>
      </c>
      <c r="B598" s="17" t="s">
        <v>9074</v>
      </c>
      <c r="C598" s="17" t="s">
        <v>9075</v>
      </c>
      <c r="D598" s="17" t="s">
        <v>21</v>
      </c>
      <c r="E598" s="24">
        <v>1206</v>
      </c>
      <c r="F598" s="17" t="s">
        <v>204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3600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9076</v>
      </c>
      <c r="B599" s="17" t="s">
        <v>9076</v>
      </c>
      <c r="C599" s="17" t="s">
        <v>9077</v>
      </c>
      <c r="D599" s="17" t="s">
        <v>21</v>
      </c>
      <c r="E599" s="24">
        <v>1206</v>
      </c>
      <c r="F599" s="17" t="s">
        <v>206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3900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9078</v>
      </c>
      <c r="B600" s="17" t="s">
        <v>9078</v>
      </c>
      <c r="C600" s="17" t="s">
        <v>9079</v>
      </c>
      <c r="D600" s="17" t="s">
        <v>21</v>
      </c>
      <c r="E600" s="24">
        <v>1206</v>
      </c>
      <c r="F600" s="17" t="s">
        <v>208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4300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9080</v>
      </c>
      <c r="B601" s="17" t="s">
        <v>9080</v>
      </c>
      <c r="C601" s="17" t="s">
        <v>9081</v>
      </c>
      <c r="D601" s="17" t="s">
        <v>21</v>
      </c>
      <c r="E601" s="24">
        <v>1206</v>
      </c>
      <c r="F601" s="17" t="s">
        <v>210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4700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9082</v>
      </c>
      <c r="B602" s="17" t="s">
        <v>9082</v>
      </c>
      <c r="C602" s="17" t="s">
        <v>9083</v>
      </c>
      <c r="D602" s="17" t="s">
        <v>21</v>
      </c>
      <c r="E602" s="24">
        <v>1206</v>
      </c>
      <c r="F602" s="17" t="s">
        <v>214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5100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9084</v>
      </c>
      <c r="B603" s="17" t="s">
        <v>9084</v>
      </c>
      <c r="C603" s="17" t="s">
        <v>9085</v>
      </c>
      <c r="D603" s="17" t="s">
        <v>21</v>
      </c>
      <c r="E603" s="24">
        <v>1206</v>
      </c>
      <c r="F603" s="17" t="s">
        <v>216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5600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9086</v>
      </c>
      <c r="B604" s="17" t="s">
        <v>9086</v>
      </c>
      <c r="C604" s="17" t="s">
        <v>9087</v>
      </c>
      <c r="D604" s="17" t="s">
        <v>21</v>
      </c>
      <c r="E604" s="24">
        <v>1206</v>
      </c>
      <c r="F604" s="17" t="s">
        <v>218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6200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9088</v>
      </c>
      <c r="B605" s="17" t="s">
        <v>9088</v>
      </c>
      <c r="C605" s="17" t="s">
        <v>9089</v>
      </c>
      <c r="D605" s="17" t="s">
        <v>21</v>
      </c>
      <c r="E605" s="24">
        <v>1206</v>
      </c>
      <c r="F605" s="17" t="s">
        <v>220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6800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9090</v>
      </c>
      <c r="B606" s="17" t="s">
        <v>9090</v>
      </c>
      <c r="C606" s="17" t="s">
        <v>9091</v>
      </c>
      <c r="D606" s="17" t="s">
        <v>21</v>
      </c>
      <c r="E606" s="24">
        <v>1206</v>
      </c>
      <c r="F606" s="17" t="s">
        <v>222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7500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9092</v>
      </c>
      <c r="B607" s="17" t="s">
        <v>9092</v>
      </c>
      <c r="C607" s="17" t="s">
        <v>9093</v>
      </c>
      <c r="D607" s="17" t="s">
        <v>21</v>
      </c>
      <c r="E607" s="24">
        <v>1206</v>
      </c>
      <c r="F607" s="17" t="s">
        <v>224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8200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9094</v>
      </c>
      <c r="B608" s="17" t="s">
        <v>9094</v>
      </c>
      <c r="C608" s="17" t="s">
        <v>9095</v>
      </c>
      <c r="D608" s="17" t="s">
        <v>21</v>
      </c>
      <c r="E608" s="24">
        <v>1206</v>
      </c>
      <c r="F608" s="17" t="s">
        <v>226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9100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9096</v>
      </c>
      <c r="B609" s="17" t="s">
        <v>9096</v>
      </c>
      <c r="C609" s="17" t="s">
        <v>9097</v>
      </c>
      <c r="D609" s="17" t="s">
        <v>21</v>
      </c>
      <c r="E609" s="24">
        <v>1206</v>
      </c>
      <c r="F609" s="17" t="s">
        <v>230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10000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9098</v>
      </c>
      <c r="B610" s="17" t="s">
        <v>9098</v>
      </c>
      <c r="C610" s="17" t="s">
        <v>9099</v>
      </c>
      <c r="D610" s="17" t="s">
        <v>21</v>
      </c>
      <c r="E610" s="24">
        <v>1206</v>
      </c>
      <c r="F610" s="17" t="s">
        <v>234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11000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9100</v>
      </c>
      <c r="B611" s="17" t="s">
        <v>9100</v>
      </c>
      <c r="C611" s="17" t="s">
        <v>9101</v>
      </c>
      <c r="D611" s="17" t="s">
        <v>21</v>
      </c>
      <c r="E611" s="24">
        <v>1206</v>
      </c>
      <c r="F611" s="17" t="s">
        <v>236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12000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9102</v>
      </c>
      <c r="B612" s="17" t="s">
        <v>9102</v>
      </c>
      <c r="C612" s="17" t="s">
        <v>9103</v>
      </c>
      <c r="D612" s="17" t="s">
        <v>21</v>
      </c>
      <c r="E612" s="24">
        <v>1206</v>
      </c>
      <c r="F612" s="17" t="s">
        <v>240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13000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9104</v>
      </c>
      <c r="B613" s="17" t="s">
        <v>9104</v>
      </c>
      <c r="C613" s="17" t="s">
        <v>9105</v>
      </c>
      <c r="D613" s="17" t="s">
        <v>21</v>
      </c>
      <c r="E613" s="24">
        <v>1206</v>
      </c>
      <c r="F613" s="17" t="s">
        <v>244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15000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9106</v>
      </c>
      <c r="B614" s="17" t="s">
        <v>9106</v>
      </c>
      <c r="C614" s="17" t="s">
        <v>9107</v>
      </c>
      <c r="D614" s="17" t="s">
        <v>21</v>
      </c>
      <c r="E614" s="24">
        <v>1206</v>
      </c>
      <c r="F614" s="17" t="s">
        <v>248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16000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9108</v>
      </c>
      <c r="B615" s="17" t="s">
        <v>9108</v>
      </c>
      <c r="C615" s="17" t="s">
        <v>9109</v>
      </c>
      <c r="D615" s="17" t="s">
        <v>21</v>
      </c>
      <c r="E615" s="24">
        <v>1206</v>
      </c>
      <c r="F615" s="17" t="s">
        <v>252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18000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9110</v>
      </c>
      <c r="B616" s="17" t="s">
        <v>9110</v>
      </c>
      <c r="C616" s="17" t="s">
        <v>9111</v>
      </c>
      <c r="D616" s="17" t="s">
        <v>21</v>
      </c>
      <c r="E616" s="24">
        <v>1206</v>
      </c>
      <c r="F616" s="17" t="s">
        <v>256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20000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9112</v>
      </c>
      <c r="B617" s="17" t="s">
        <v>9112</v>
      </c>
      <c r="C617" s="17" t="s">
        <v>9113</v>
      </c>
      <c r="D617" s="17" t="s">
        <v>21</v>
      </c>
      <c r="E617" s="24">
        <v>1206</v>
      </c>
      <c r="F617" s="17" t="s">
        <v>258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22000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9114</v>
      </c>
      <c r="B618" s="17" t="s">
        <v>9114</v>
      </c>
      <c r="C618" s="17" t="s">
        <v>9115</v>
      </c>
      <c r="D618" s="17" t="s">
        <v>21</v>
      </c>
      <c r="E618" s="24">
        <v>1206</v>
      </c>
      <c r="F618" s="17" t="s">
        <v>260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24000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9116</v>
      </c>
      <c r="B619" s="17" t="s">
        <v>9116</v>
      </c>
      <c r="C619" s="17" t="s">
        <v>9117</v>
      </c>
      <c r="D619" s="17" t="s">
        <v>21</v>
      </c>
      <c r="E619" s="24">
        <v>1206</v>
      </c>
      <c r="F619" s="17" t="s">
        <v>264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27000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9118</v>
      </c>
      <c r="B620" s="17" t="s">
        <v>9118</v>
      </c>
      <c r="C620" s="17" t="s">
        <v>9119</v>
      </c>
      <c r="D620" s="17" t="s">
        <v>21</v>
      </c>
      <c r="E620" s="24">
        <v>1206</v>
      </c>
      <c r="F620" s="17" t="s">
        <v>266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30000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9120</v>
      </c>
      <c r="B621" s="17" t="s">
        <v>9120</v>
      </c>
      <c r="C621" s="17" t="s">
        <v>9121</v>
      </c>
      <c r="D621" s="17" t="s">
        <v>21</v>
      </c>
      <c r="E621" s="24">
        <v>1206</v>
      </c>
      <c r="F621" s="17" t="s">
        <v>268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33000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9122</v>
      </c>
      <c r="B622" s="17" t="s">
        <v>9122</v>
      </c>
      <c r="C622" s="17" t="s">
        <v>9123</v>
      </c>
      <c r="D622" s="17" t="s">
        <v>21</v>
      </c>
      <c r="E622" s="24">
        <v>1206</v>
      </c>
      <c r="F622" s="17" t="s">
        <v>270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36000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9124</v>
      </c>
      <c r="B623" s="17" t="s">
        <v>9124</v>
      </c>
      <c r="C623" s="17" t="s">
        <v>9125</v>
      </c>
      <c r="D623" s="17" t="s">
        <v>21</v>
      </c>
      <c r="E623" s="24">
        <v>1206</v>
      </c>
      <c r="F623" s="17" t="s">
        <v>274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39000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9126</v>
      </c>
      <c r="B624" s="17" t="s">
        <v>9126</v>
      </c>
      <c r="C624" s="17" t="s">
        <v>9127</v>
      </c>
      <c r="D624" s="17" t="s">
        <v>21</v>
      </c>
      <c r="E624" s="24">
        <v>1206</v>
      </c>
      <c r="F624" s="17" t="s">
        <v>278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43000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9128</v>
      </c>
      <c r="B625" s="17" t="s">
        <v>9128</v>
      </c>
      <c r="C625" s="17" t="s">
        <v>9129</v>
      </c>
      <c r="D625" s="17" t="s">
        <v>21</v>
      </c>
      <c r="E625" s="24">
        <v>1206</v>
      </c>
      <c r="F625" s="17" t="s">
        <v>280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47000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9130</v>
      </c>
      <c r="B626" s="17" t="s">
        <v>9130</v>
      </c>
      <c r="C626" s="17" t="s">
        <v>9131</v>
      </c>
      <c r="D626" s="17" t="s">
        <v>21</v>
      </c>
      <c r="E626" s="24">
        <v>1206</v>
      </c>
      <c r="F626" s="17" t="s">
        <v>284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51000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9132</v>
      </c>
      <c r="B627" s="17" t="s">
        <v>9132</v>
      </c>
      <c r="C627" s="17" t="s">
        <v>9133</v>
      </c>
      <c r="D627" s="17" t="s">
        <v>21</v>
      </c>
      <c r="E627" s="24">
        <v>1206</v>
      </c>
      <c r="F627" s="17" t="s">
        <v>288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56000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9134</v>
      </c>
      <c r="B628" s="17" t="s">
        <v>9134</v>
      </c>
      <c r="C628" s="17" t="s">
        <v>9135</v>
      </c>
      <c r="D628" s="17" t="s">
        <v>21</v>
      </c>
      <c r="E628" s="24">
        <v>1206</v>
      </c>
      <c r="F628" s="17" t="s">
        <v>292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62000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9136</v>
      </c>
      <c r="B629" s="17" t="s">
        <v>9136</v>
      </c>
      <c r="C629" s="17" t="s">
        <v>9137</v>
      </c>
      <c r="D629" s="17" t="s">
        <v>21</v>
      </c>
      <c r="E629" s="24">
        <v>1206</v>
      </c>
      <c r="F629" s="17" t="s">
        <v>296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68000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9138</v>
      </c>
      <c r="B630" s="17" t="s">
        <v>9138</v>
      </c>
      <c r="C630" s="17" t="s">
        <v>9139</v>
      </c>
      <c r="D630" s="17" t="s">
        <v>21</v>
      </c>
      <c r="E630" s="24">
        <v>1206</v>
      </c>
      <c r="F630" s="17" t="s">
        <v>300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75000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9140</v>
      </c>
      <c r="B631" s="17" t="s">
        <v>9140</v>
      </c>
      <c r="C631" s="17" t="s">
        <v>9141</v>
      </c>
      <c r="D631" s="17" t="s">
        <v>21</v>
      </c>
      <c r="E631" s="24">
        <v>1206</v>
      </c>
      <c r="F631" s="17" t="s">
        <v>302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82000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9142</v>
      </c>
      <c r="B632" s="17" t="s">
        <v>9142</v>
      </c>
      <c r="C632" s="17" t="s">
        <v>9143</v>
      </c>
      <c r="D632" s="17" t="s">
        <v>21</v>
      </c>
      <c r="E632" s="24">
        <v>1206</v>
      </c>
      <c r="F632" s="17" t="s">
        <v>304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91000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9144</v>
      </c>
      <c r="B633" s="17" t="s">
        <v>9144</v>
      </c>
      <c r="C633" s="17" t="s">
        <v>9145</v>
      </c>
      <c r="D633" s="17" t="s">
        <v>21</v>
      </c>
      <c r="E633" s="24">
        <v>1206</v>
      </c>
      <c r="F633" s="17" t="s">
        <v>306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100000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9146</v>
      </c>
      <c r="B634" s="17" t="s">
        <v>9146</v>
      </c>
      <c r="C634" s="17" t="s">
        <v>9147</v>
      </c>
      <c r="D634" s="17" t="s">
        <v>21</v>
      </c>
      <c r="E634" s="24">
        <v>1206</v>
      </c>
      <c r="F634" s="17" t="s">
        <v>310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110000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9148</v>
      </c>
      <c r="B635" s="17" t="s">
        <v>9148</v>
      </c>
      <c r="C635" s="17" t="s">
        <v>9149</v>
      </c>
      <c r="D635" s="17" t="s">
        <v>21</v>
      </c>
      <c r="E635" s="24">
        <v>1206</v>
      </c>
      <c r="F635" s="17" t="s">
        <v>314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120000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9150</v>
      </c>
      <c r="B636" s="17" t="s">
        <v>9150</v>
      </c>
      <c r="C636" s="17" t="s">
        <v>9151</v>
      </c>
      <c r="D636" s="17" t="s">
        <v>21</v>
      </c>
      <c r="E636" s="24">
        <v>1206</v>
      </c>
      <c r="F636" s="17" t="s">
        <v>318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130000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9152</v>
      </c>
      <c r="B637" s="17" t="s">
        <v>9152</v>
      </c>
      <c r="C637" s="17" t="s">
        <v>9153</v>
      </c>
      <c r="D637" s="17" t="s">
        <v>21</v>
      </c>
      <c r="E637" s="24">
        <v>1206</v>
      </c>
      <c r="F637" s="17" t="s">
        <v>322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150000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9154</v>
      </c>
      <c r="B638" s="17" t="s">
        <v>9154</v>
      </c>
      <c r="C638" s="17" t="s">
        <v>9155</v>
      </c>
      <c r="D638" s="17" t="s">
        <v>21</v>
      </c>
      <c r="E638" s="24">
        <v>1206</v>
      </c>
      <c r="F638" s="17" t="s">
        <v>324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160000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9156</v>
      </c>
      <c r="B639" s="17" t="s">
        <v>9156</v>
      </c>
      <c r="C639" s="17" t="s">
        <v>9157</v>
      </c>
      <c r="D639" s="17" t="s">
        <v>21</v>
      </c>
      <c r="E639" s="24">
        <v>1206</v>
      </c>
      <c r="F639" s="17" t="s">
        <v>328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180000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9158</v>
      </c>
      <c r="B640" s="17" t="s">
        <v>9158</v>
      </c>
      <c r="C640" s="17" t="s">
        <v>9159</v>
      </c>
      <c r="D640" s="17" t="s">
        <v>21</v>
      </c>
      <c r="E640" s="24">
        <v>1206</v>
      </c>
      <c r="F640" s="17" t="s">
        <v>332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200000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9160</v>
      </c>
      <c r="B641" s="17" t="s">
        <v>9160</v>
      </c>
      <c r="C641" s="17" t="s">
        <v>9161</v>
      </c>
      <c r="D641" s="17" t="s">
        <v>21</v>
      </c>
      <c r="E641" s="24">
        <v>1206</v>
      </c>
      <c r="F641" s="17" t="s">
        <v>334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220000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9162</v>
      </c>
      <c r="B642" s="17" t="s">
        <v>9162</v>
      </c>
      <c r="C642" s="17" t="s">
        <v>9163</v>
      </c>
      <c r="D642" s="17" t="s">
        <v>21</v>
      </c>
      <c r="E642" s="24">
        <v>1206</v>
      </c>
      <c r="F642" s="17" t="s">
        <v>336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240000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9164</v>
      </c>
      <c r="B643" s="17" t="s">
        <v>9164</v>
      </c>
      <c r="C643" s="17" t="s">
        <v>9165</v>
      </c>
      <c r="D643" s="17" t="s">
        <v>21</v>
      </c>
      <c r="E643" s="24">
        <v>1206</v>
      </c>
      <c r="F643" s="17" t="s">
        <v>338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270000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9166</v>
      </c>
      <c r="B644" s="17" t="s">
        <v>9166</v>
      </c>
      <c r="C644" s="17" t="s">
        <v>9167</v>
      </c>
      <c r="D644" s="17" t="s">
        <v>21</v>
      </c>
      <c r="E644" s="24">
        <v>1206</v>
      </c>
      <c r="F644" s="17" t="s">
        <v>340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300000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7820</v>
      </c>
      <c r="B645" s="17" t="s">
        <v>7820</v>
      </c>
      <c r="C645" s="16" t="s">
        <v>7821</v>
      </c>
      <c r="D645" s="16" t="s">
        <v>21</v>
      </c>
      <c r="E645" s="24">
        <v>1206</v>
      </c>
      <c r="F645" s="17" t="s">
        <v>342</v>
      </c>
      <c r="G645" s="17" t="str">
        <f>Config!$B$3</f>
        <v>SCH/R_IEC.SchLib</v>
      </c>
      <c r="H645" s="16" t="s">
        <v>420</v>
      </c>
      <c r="I645" s="18" t="s">
        <v>462</v>
      </c>
      <c r="J645" s="16" t="s">
        <v>6417</v>
      </c>
      <c r="K645" s="21">
        <v>330000</v>
      </c>
      <c r="L645" s="17" t="s">
        <v>4824</v>
      </c>
      <c r="M645" s="16" t="s">
        <v>478</v>
      </c>
      <c r="N645" s="17" t="s">
        <v>7822</v>
      </c>
      <c r="O645" s="16" t="s">
        <v>26</v>
      </c>
      <c r="P645" s="17" t="s">
        <v>7823</v>
      </c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9168</v>
      </c>
      <c r="B646" s="17" t="s">
        <v>9168</v>
      </c>
      <c r="C646" s="17" t="s">
        <v>9169</v>
      </c>
      <c r="D646" s="17" t="s">
        <v>21</v>
      </c>
      <c r="E646" s="24">
        <v>1206</v>
      </c>
      <c r="F646" s="17" t="s">
        <v>346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360000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9170</v>
      </c>
      <c r="B647" s="17" t="s">
        <v>9170</v>
      </c>
      <c r="C647" s="17" t="s">
        <v>9171</v>
      </c>
      <c r="D647" s="17" t="s">
        <v>21</v>
      </c>
      <c r="E647" s="24">
        <v>1206</v>
      </c>
      <c r="F647" s="17" t="s">
        <v>350</v>
      </c>
      <c r="G647" s="17" t="str">
        <f>Config!$B$3</f>
        <v>SCH/R_IEC.SchLib</v>
      </c>
      <c r="H647" s="17" t="s">
        <v>420</v>
      </c>
      <c r="I647" s="17" t="s">
        <v>462</v>
      </c>
      <c r="J647" s="17" t="s">
        <v>6417</v>
      </c>
      <c r="K647" s="21">
        <v>390000</v>
      </c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9172</v>
      </c>
      <c r="B648" s="17" t="s">
        <v>9172</v>
      </c>
      <c r="C648" s="17" t="s">
        <v>9173</v>
      </c>
      <c r="D648" s="17" t="s">
        <v>21</v>
      </c>
      <c r="E648" s="24">
        <v>1206</v>
      </c>
      <c r="F648" s="17" t="s">
        <v>352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430000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9174</v>
      </c>
      <c r="B649" s="17" t="s">
        <v>9174</v>
      </c>
      <c r="C649" s="17" t="s">
        <v>9175</v>
      </c>
      <c r="D649" s="17" t="s">
        <v>21</v>
      </c>
      <c r="E649" s="24">
        <v>1206</v>
      </c>
      <c r="F649" s="17" t="s">
        <v>354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470000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9176</v>
      </c>
      <c r="B650" s="17" t="s">
        <v>9176</v>
      </c>
      <c r="C650" s="17" t="s">
        <v>9177</v>
      </c>
      <c r="D650" s="17" t="s">
        <v>21</v>
      </c>
      <c r="E650" s="24">
        <v>1206</v>
      </c>
      <c r="F650" s="17" t="s">
        <v>356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510000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9178</v>
      </c>
      <c r="B651" s="17" t="s">
        <v>9178</v>
      </c>
      <c r="C651" s="17" t="s">
        <v>9179</v>
      </c>
      <c r="D651" s="17" t="s">
        <v>21</v>
      </c>
      <c r="E651" s="24">
        <v>1206</v>
      </c>
      <c r="F651" s="17" t="s">
        <v>358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560000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9180</v>
      </c>
      <c r="B652" s="17" t="s">
        <v>9180</v>
      </c>
      <c r="C652" s="17" t="s">
        <v>9181</v>
      </c>
      <c r="D652" s="17" t="s">
        <v>21</v>
      </c>
      <c r="E652" s="24">
        <v>1206</v>
      </c>
      <c r="F652" s="17" t="s">
        <v>360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620000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9182</v>
      </c>
      <c r="B653" s="17" t="s">
        <v>9182</v>
      </c>
      <c r="C653" s="17" t="s">
        <v>9183</v>
      </c>
      <c r="D653" s="17" t="s">
        <v>21</v>
      </c>
      <c r="E653" s="24">
        <v>1206</v>
      </c>
      <c r="F653" s="17" t="s">
        <v>362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680000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9184</v>
      </c>
      <c r="B654" s="17" t="s">
        <v>9184</v>
      </c>
      <c r="C654" s="17" t="s">
        <v>9185</v>
      </c>
      <c r="D654" s="17" t="s">
        <v>21</v>
      </c>
      <c r="E654" s="24">
        <v>1206</v>
      </c>
      <c r="F654" s="17" t="s">
        <v>364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750000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9186</v>
      </c>
      <c r="B655" s="17" t="s">
        <v>9186</v>
      </c>
      <c r="C655" s="17" t="s">
        <v>9187</v>
      </c>
      <c r="D655" s="17" t="s">
        <v>21</v>
      </c>
      <c r="E655" s="24">
        <v>1206</v>
      </c>
      <c r="F655" s="17" t="s">
        <v>366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820000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9188</v>
      </c>
      <c r="B656" s="17" t="s">
        <v>9188</v>
      </c>
      <c r="C656" s="17" t="s">
        <v>9189</v>
      </c>
      <c r="D656" s="17" t="s">
        <v>21</v>
      </c>
      <c r="E656" s="24">
        <v>1206</v>
      </c>
      <c r="F656" s="17" t="s">
        <v>368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910000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9190</v>
      </c>
      <c r="B657" s="17" t="s">
        <v>9190</v>
      </c>
      <c r="C657" s="17" t="s">
        <v>9191</v>
      </c>
      <c r="D657" s="17" t="s">
        <v>21</v>
      </c>
      <c r="E657" s="24">
        <v>1206</v>
      </c>
      <c r="F657" s="17" t="s">
        <v>370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1000000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9192</v>
      </c>
      <c r="B658" s="17" t="s">
        <v>9192</v>
      </c>
      <c r="C658" s="17" t="s">
        <v>9193</v>
      </c>
      <c r="D658" s="17" t="s">
        <v>21</v>
      </c>
      <c r="E658" s="24">
        <v>1206</v>
      </c>
      <c r="F658" s="17" t="s">
        <v>372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1100000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9194</v>
      </c>
      <c r="B659" s="17" t="s">
        <v>9194</v>
      </c>
      <c r="C659" s="17" t="s">
        <v>9195</v>
      </c>
      <c r="D659" s="17" t="s">
        <v>21</v>
      </c>
      <c r="E659" s="24">
        <v>1206</v>
      </c>
      <c r="F659" s="17" t="s">
        <v>374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1200000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9196</v>
      </c>
      <c r="B660" s="17" t="s">
        <v>9196</v>
      </c>
      <c r="C660" s="17" t="s">
        <v>9197</v>
      </c>
      <c r="D660" s="17" t="s">
        <v>21</v>
      </c>
      <c r="E660" s="24">
        <v>1206</v>
      </c>
      <c r="F660" s="17" t="s">
        <v>376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1300000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9198</v>
      </c>
      <c r="B661" s="17" t="s">
        <v>9198</v>
      </c>
      <c r="C661" s="17" t="s">
        <v>9199</v>
      </c>
      <c r="D661" s="17" t="s">
        <v>21</v>
      </c>
      <c r="E661" s="24">
        <v>1206</v>
      </c>
      <c r="F661" s="17" t="s">
        <v>378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1500000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9200</v>
      </c>
      <c r="B662" s="17" t="s">
        <v>9200</v>
      </c>
      <c r="C662" s="17" t="s">
        <v>9201</v>
      </c>
      <c r="D662" s="17" t="s">
        <v>21</v>
      </c>
      <c r="E662" s="24">
        <v>1206</v>
      </c>
      <c r="F662" s="17" t="s">
        <v>380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1600000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9202</v>
      </c>
      <c r="B663" s="17" t="s">
        <v>9202</v>
      </c>
      <c r="C663" s="17" t="s">
        <v>9203</v>
      </c>
      <c r="D663" s="17" t="s">
        <v>21</v>
      </c>
      <c r="E663" s="24">
        <v>1206</v>
      </c>
      <c r="F663" s="17" t="s">
        <v>382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1800000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9204</v>
      </c>
      <c r="B664" s="17" t="s">
        <v>9204</v>
      </c>
      <c r="C664" s="17" t="s">
        <v>9205</v>
      </c>
      <c r="D664" s="17" t="s">
        <v>21</v>
      </c>
      <c r="E664" s="24">
        <v>1206</v>
      </c>
      <c r="F664" s="17" t="s">
        <v>384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2000000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9206</v>
      </c>
      <c r="B665" s="17" t="s">
        <v>9206</v>
      </c>
      <c r="C665" s="17" t="s">
        <v>9207</v>
      </c>
      <c r="D665" s="17" t="s">
        <v>21</v>
      </c>
      <c r="E665" s="24">
        <v>1206</v>
      </c>
      <c r="F665" s="17" t="s">
        <v>386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2200000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9208</v>
      </c>
      <c r="B666" s="17" t="s">
        <v>9208</v>
      </c>
      <c r="C666" s="17" t="s">
        <v>9209</v>
      </c>
      <c r="D666" s="17" t="s">
        <v>21</v>
      </c>
      <c r="E666" s="24">
        <v>1206</v>
      </c>
      <c r="F666" s="17" t="s">
        <v>388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2400000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9210</v>
      </c>
      <c r="B667" s="17" t="s">
        <v>9210</v>
      </c>
      <c r="C667" s="17" t="s">
        <v>9211</v>
      </c>
      <c r="D667" s="17" t="s">
        <v>21</v>
      </c>
      <c r="E667" s="24">
        <v>1206</v>
      </c>
      <c r="F667" s="17" t="s">
        <v>390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2700000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9212</v>
      </c>
      <c r="B668" s="17" t="s">
        <v>9212</v>
      </c>
      <c r="C668" s="17" t="s">
        <v>9213</v>
      </c>
      <c r="D668" s="17" t="s">
        <v>21</v>
      </c>
      <c r="E668" s="24">
        <v>1206</v>
      </c>
      <c r="F668" s="17" t="s">
        <v>392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3000000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9214</v>
      </c>
      <c r="B669" s="17" t="s">
        <v>9214</v>
      </c>
      <c r="C669" s="17" t="s">
        <v>9215</v>
      </c>
      <c r="D669" s="17" t="s">
        <v>21</v>
      </c>
      <c r="E669" s="24">
        <v>1206</v>
      </c>
      <c r="F669" s="17" t="s">
        <v>394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3300000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9216</v>
      </c>
      <c r="B670" s="17" t="s">
        <v>9216</v>
      </c>
      <c r="C670" s="17" t="s">
        <v>9217</v>
      </c>
      <c r="D670" s="17" t="s">
        <v>21</v>
      </c>
      <c r="E670" s="24">
        <v>1206</v>
      </c>
      <c r="F670" s="17" t="s">
        <v>396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3600000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9218</v>
      </c>
      <c r="B671" s="17" t="s">
        <v>9218</v>
      </c>
      <c r="C671" s="17" t="s">
        <v>9219</v>
      </c>
      <c r="D671" s="17" t="s">
        <v>21</v>
      </c>
      <c r="E671" s="24">
        <v>1206</v>
      </c>
      <c r="F671" s="17" t="s">
        <v>398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3900000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9220</v>
      </c>
      <c r="B672" s="17" t="s">
        <v>9220</v>
      </c>
      <c r="C672" s="17" t="s">
        <v>9221</v>
      </c>
      <c r="D672" s="17" t="s">
        <v>21</v>
      </c>
      <c r="E672" s="24">
        <v>1206</v>
      </c>
      <c r="F672" s="17" t="s">
        <v>400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4300000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9222</v>
      </c>
      <c r="B673" s="17" t="s">
        <v>9222</v>
      </c>
      <c r="C673" s="17" t="s">
        <v>9223</v>
      </c>
      <c r="D673" s="17" t="s">
        <v>21</v>
      </c>
      <c r="E673" s="24">
        <v>1206</v>
      </c>
      <c r="F673" s="17" t="s">
        <v>402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4700000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9224</v>
      </c>
      <c r="B674" s="17" t="s">
        <v>9224</v>
      </c>
      <c r="C674" s="17" t="s">
        <v>9225</v>
      </c>
      <c r="D674" s="17" t="s">
        <v>21</v>
      </c>
      <c r="E674" s="24">
        <v>1206</v>
      </c>
      <c r="F674" s="17" t="s">
        <v>404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5100000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9226</v>
      </c>
      <c r="B675" s="17" t="s">
        <v>9226</v>
      </c>
      <c r="C675" s="17" t="s">
        <v>9227</v>
      </c>
      <c r="D675" s="17" t="s">
        <v>21</v>
      </c>
      <c r="E675" s="24">
        <v>1206</v>
      </c>
      <c r="F675" s="17" t="s">
        <v>406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5600000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9228</v>
      </c>
      <c r="B676" s="17" t="s">
        <v>9228</v>
      </c>
      <c r="C676" s="17" t="s">
        <v>9229</v>
      </c>
      <c r="D676" s="17" t="s">
        <v>21</v>
      </c>
      <c r="E676" s="24">
        <v>1206</v>
      </c>
      <c r="F676" s="17" t="s">
        <v>408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6200000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9230</v>
      </c>
      <c r="B677" s="17" t="s">
        <v>9230</v>
      </c>
      <c r="C677" s="17" t="s">
        <v>9231</v>
      </c>
      <c r="D677" s="17" t="s">
        <v>21</v>
      </c>
      <c r="E677" s="24">
        <v>1206</v>
      </c>
      <c r="F677" s="17" t="s">
        <v>410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6800000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9232</v>
      </c>
      <c r="B678" s="17" t="s">
        <v>9232</v>
      </c>
      <c r="C678" s="17" t="s">
        <v>9233</v>
      </c>
      <c r="D678" s="17" t="s">
        <v>21</v>
      </c>
      <c r="E678" s="24">
        <v>1206</v>
      </c>
      <c r="F678" s="17" t="s">
        <v>412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7500000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9234</v>
      </c>
      <c r="B679" s="17" t="s">
        <v>9234</v>
      </c>
      <c r="C679" s="17" t="s">
        <v>9235</v>
      </c>
      <c r="D679" s="17" t="s">
        <v>21</v>
      </c>
      <c r="E679" s="24">
        <v>1206</v>
      </c>
      <c r="F679" s="17" t="s">
        <v>414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8200000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9236</v>
      </c>
      <c r="B680" s="17" t="s">
        <v>9236</v>
      </c>
      <c r="C680" s="17" t="s">
        <v>9237</v>
      </c>
      <c r="D680" s="17" t="s">
        <v>21</v>
      </c>
      <c r="E680" s="24">
        <v>1206</v>
      </c>
      <c r="F680" s="17" t="s">
        <v>416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9100000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9238</v>
      </c>
      <c r="B681" s="17" t="s">
        <v>9238</v>
      </c>
      <c r="C681" s="17" t="s">
        <v>9239</v>
      </c>
      <c r="D681" s="17" t="s">
        <v>21</v>
      </c>
      <c r="E681" s="24">
        <v>1206</v>
      </c>
      <c r="F681" s="17" t="s">
        <v>418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10000000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6" t="s">
        <v>9240</v>
      </c>
      <c r="B682" s="16" t="s">
        <v>9240</v>
      </c>
      <c r="C682" s="16" t="s">
        <v>9241</v>
      </c>
      <c r="D682" s="16" t="s">
        <v>21</v>
      </c>
      <c r="E682" s="16">
        <v>1210</v>
      </c>
      <c r="F682" s="16" t="s">
        <v>23</v>
      </c>
      <c r="G682" s="17" t="str">
        <f>Config!$B$3</f>
        <v>SCH/R_IEC.SchLib</v>
      </c>
      <c r="H682" s="16" t="s">
        <v>420</v>
      </c>
      <c r="I682" s="18" t="s">
        <v>462</v>
      </c>
      <c r="J682" s="17" t="s">
        <v>12547</v>
      </c>
      <c r="K682" s="19">
        <v>0</v>
      </c>
      <c r="L682" s="17" t="s">
        <v>4824</v>
      </c>
      <c r="M682" s="17" t="s">
        <v>478</v>
      </c>
      <c r="N682" s="17" t="s">
        <v>12561</v>
      </c>
      <c r="O682" s="16" t="s">
        <v>26</v>
      </c>
      <c r="P682" s="17" t="s">
        <v>12562</v>
      </c>
      <c r="Q682" s="16"/>
      <c r="R682" s="17"/>
      <c r="S682" s="16"/>
      <c r="T682" s="16"/>
      <c r="U682" s="17"/>
      <c r="V682" s="17"/>
      <c r="W682" s="16"/>
      <c r="X682" s="17"/>
      <c r="Y682" s="17"/>
      <c r="Z682" s="17"/>
    </row>
    <row r="683" spans="1:26">
      <c r="A683" s="17" t="s">
        <v>9242</v>
      </c>
      <c r="B683" s="17" t="s">
        <v>9242</v>
      </c>
      <c r="C683" s="17" t="s">
        <v>9243</v>
      </c>
      <c r="D683" s="17" t="s">
        <v>21</v>
      </c>
      <c r="E683" s="24">
        <v>1210</v>
      </c>
      <c r="F683" s="17" t="s">
        <v>30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12547</v>
      </c>
      <c r="K683" s="17">
        <v>1</v>
      </c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9244</v>
      </c>
      <c r="B684" s="17" t="s">
        <v>9244</v>
      </c>
      <c r="C684" s="17" t="s">
        <v>9245</v>
      </c>
      <c r="D684" s="17" t="s">
        <v>21</v>
      </c>
      <c r="E684" s="24">
        <v>1210</v>
      </c>
      <c r="F684" s="17" t="s">
        <v>1044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12547</v>
      </c>
      <c r="K684" s="17">
        <v>1.1000000000000001</v>
      </c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>
      <c r="A685" s="17" t="s">
        <v>9246</v>
      </c>
      <c r="B685" s="17" t="s">
        <v>9246</v>
      </c>
      <c r="C685" s="17" t="s">
        <v>9247</v>
      </c>
      <c r="D685" s="17" t="s">
        <v>21</v>
      </c>
      <c r="E685" s="24">
        <v>1210</v>
      </c>
      <c r="F685" s="17" t="s">
        <v>32</v>
      </c>
      <c r="G685" s="17" t="str">
        <f>Config!$B$3</f>
        <v>SCH/R_IEC.SchLib</v>
      </c>
      <c r="H685" s="17" t="s">
        <v>420</v>
      </c>
      <c r="I685" s="17" t="s">
        <v>462</v>
      </c>
      <c r="J685" s="17" t="s">
        <v>12547</v>
      </c>
      <c r="K685" s="17">
        <v>1.2</v>
      </c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>
      <c r="A686" s="17" t="s">
        <v>9248</v>
      </c>
      <c r="B686" s="17" t="s">
        <v>9248</v>
      </c>
      <c r="C686" s="17" t="s">
        <v>9249</v>
      </c>
      <c r="D686" s="17" t="s">
        <v>21</v>
      </c>
      <c r="E686" s="24">
        <v>1210</v>
      </c>
      <c r="F686" s="17" t="s">
        <v>1054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1.3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9250</v>
      </c>
      <c r="B687" s="17" t="s">
        <v>9250</v>
      </c>
      <c r="C687" s="17" t="s">
        <v>9251</v>
      </c>
      <c r="D687" s="17" t="s">
        <v>21</v>
      </c>
      <c r="E687" s="24">
        <v>1210</v>
      </c>
      <c r="F687" s="17" t="s">
        <v>34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1.5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9252</v>
      </c>
      <c r="B688" s="17" t="s">
        <v>9252</v>
      </c>
      <c r="C688" s="17" t="s">
        <v>9253</v>
      </c>
      <c r="D688" s="17" t="s">
        <v>21</v>
      </c>
      <c r="E688" s="24">
        <v>1210</v>
      </c>
      <c r="F688" s="17" t="s">
        <v>1064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1.6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9254</v>
      </c>
      <c r="B689" s="17" t="s">
        <v>9254</v>
      </c>
      <c r="C689" s="17" t="s">
        <v>9255</v>
      </c>
      <c r="D689" s="17" t="s">
        <v>21</v>
      </c>
      <c r="E689" s="24">
        <v>1210</v>
      </c>
      <c r="F689" s="17" t="s">
        <v>36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1.8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9256</v>
      </c>
      <c r="B690" s="17" t="s">
        <v>9256</v>
      </c>
      <c r="C690" s="17" t="s">
        <v>9257</v>
      </c>
      <c r="D690" s="17" t="s">
        <v>21</v>
      </c>
      <c r="E690" s="24">
        <v>1210</v>
      </c>
      <c r="F690" s="17" t="s">
        <v>1072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2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9258</v>
      </c>
      <c r="B691" s="17" t="s">
        <v>9258</v>
      </c>
      <c r="C691" s="17" t="s">
        <v>9259</v>
      </c>
      <c r="D691" s="17" t="s">
        <v>21</v>
      </c>
      <c r="E691" s="24">
        <v>1210</v>
      </c>
      <c r="F691" s="17" t="s">
        <v>38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2.2000000000000002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9260</v>
      </c>
      <c r="B692" s="17" t="s">
        <v>9260</v>
      </c>
      <c r="C692" s="17" t="s">
        <v>9261</v>
      </c>
      <c r="D692" s="17" t="s">
        <v>21</v>
      </c>
      <c r="E692" s="24">
        <v>1210</v>
      </c>
      <c r="F692" s="17" t="s">
        <v>1082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2.4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9262</v>
      </c>
      <c r="B693" s="17" t="s">
        <v>9262</v>
      </c>
      <c r="C693" s="17" t="s">
        <v>9263</v>
      </c>
      <c r="D693" s="17" t="s">
        <v>21</v>
      </c>
      <c r="E693" s="24">
        <v>1210</v>
      </c>
      <c r="F693" s="17" t="s">
        <v>40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2.7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9264</v>
      </c>
      <c r="B694" s="17" t="s">
        <v>9264</v>
      </c>
      <c r="C694" s="17" t="s">
        <v>9265</v>
      </c>
      <c r="D694" s="17" t="s">
        <v>21</v>
      </c>
      <c r="E694" s="24">
        <v>1210</v>
      </c>
      <c r="F694" s="17" t="s">
        <v>1090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3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9266</v>
      </c>
      <c r="B695" s="17" t="s">
        <v>9266</v>
      </c>
      <c r="C695" s="17" t="s">
        <v>9267</v>
      </c>
      <c r="D695" s="17" t="s">
        <v>21</v>
      </c>
      <c r="E695" s="24">
        <v>1210</v>
      </c>
      <c r="F695" s="17" t="s">
        <v>42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3.3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9268</v>
      </c>
      <c r="B696" s="17" t="s">
        <v>9268</v>
      </c>
      <c r="C696" s="17" t="s">
        <v>9269</v>
      </c>
      <c r="D696" s="17" t="s">
        <v>21</v>
      </c>
      <c r="E696" s="24">
        <v>1210</v>
      </c>
      <c r="F696" s="17" t="s">
        <v>1100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3.6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9270</v>
      </c>
      <c r="B697" s="17" t="s">
        <v>9270</v>
      </c>
      <c r="C697" s="17" t="s">
        <v>9271</v>
      </c>
      <c r="D697" s="17" t="s">
        <v>21</v>
      </c>
      <c r="E697" s="24">
        <v>1210</v>
      </c>
      <c r="F697" s="17" t="s">
        <v>44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3.9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9272</v>
      </c>
      <c r="B698" s="17" t="s">
        <v>9272</v>
      </c>
      <c r="C698" s="17" t="s">
        <v>9273</v>
      </c>
      <c r="D698" s="17" t="s">
        <v>21</v>
      </c>
      <c r="E698" s="24">
        <v>1210</v>
      </c>
      <c r="F698" s="17" t="s">
        <v>1108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4.3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9274</v>
      </c>
      <c r="B699" s="17" t="s">
        <v>9274</v>
      </c>
      <c r="C699" s="17" t="s">
        <v>9275</v>
      </c>
      <c r="D699" s="17" t="s">
        <v>21</v>
      </c>
      <c r="E699" s="24">
        <v>1210</v>
      </c>
      <c r="F699" s="17" t="s">
        <v>46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4.7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9276</v>
      </c>
      <c r="B700" s="17" t="s">
        <v>9276</v>
      </c>
      <c r="C700" s="17" t="s">
        <v>9277</v>
      </c>
      <c r="D700" s="17" t="s">
        <v>21</v>
      </c>
      <c r="E700" s="24">
        <v>1210</v>
      </c>
      <c r="F700" s="17" t="s">
        <v>1118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5.0999999999999996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9278</v>
      </c>
      <c r="B701" s="17" t="s">
        <v>9278</v>
      </c>
      <c r="C701" s="17" t="s">
        <v>9279</v>
      </c>
      <c r="D701" s="17" t="s">
        <v>21</v>
      </c>
      <c r="E701" s="24">
        <v>1210</v>
      </c>
      <c r="F701" s="17" t="s">
        <v>48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5.6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9280</v>
      </c>
      <c r="B702" s="17" t="s">
        <v>9280</v>
      </c>
      <c r="C702" s="17" t="s">
        <v>9281</v>
      </c>
      <c r="D702" s="17" t="s">
        <v>21</v>
      </c>
      <c r="E702" s="24">
        <v>1210</v>
      </c>
      <c r="F702" s="17" t="s">
        <v>1130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6.2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9282</v>
      </c>
      <c r="B703" s="17" t="s">
        <v>9282</v>
      </c>
      <c r="C703" s="17" t="s">
        <v>9283</v>
      </c>
      <c r="D703" s="17" t="s">
        <v>21</v>
      </c>
      <c r="E703" s="24">
        <v>1210</v>
      </c>
      <c r="F703" s="17" t="s">
        <v>50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6.8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9284</v>
      </c>
      <c r="B704" s="17" t="s">
        <v>9284</v>
      </c>
      <c r="C704" s="17" t="s">
        <v>9285</v>
      </c>
      <c r="D704" s="17" t="s">
        <v>21</v>
      </c>
      <c r="E704" s="24">
        <v>1210</v>
      </c>
      <c r="F704" s="17" t="s">
        <v>1140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7.5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9286</v>
      </c>
      <c r="B705" s="17" t="s">
        <v>9286</v>
      </c>
      <c r="C705" s="17" t="s">
        <v>9287</v>
      </c>
      <c r="D705" s="17" t="s">
        <v>21</v>
      </c>
      <c r="E705" s="24">
        <v>1210</v>
      </c>
      <c r="F705" s="17" t="s">
        <v>52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8.1999999999999993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9288</v>
      </c>
      <c r="B706" s="17" t="s">
        <v>9288</v>
      </c>
      <c r="C706" s="17" t="s">
        <v>9289</v>
      </c>
      <c r="D706" s="17" t="s">
        <v>21</v>
      </c>
      <c r="E706" s="24">
        <v>1210</v>
      </c>
      <c r="F706" s="17" t="s">
        <v>1150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9.1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>
      <c r="A707" s="17" t="s">
        <v>9290</v>
      </c>
      <c r="B707" s="17" t="s">
        <v>9290</v>
      </c>
      <c r="C707" s="17" t="s">
        <v>9291</v>
      </c>
      <c r="D707" s="17" t="s">
        <v>21</v>
      </c>
      <c r="E707" s="24">
        <v>1210</v>
      </c>
      <c r="F707" s="17" t="s">
        <v>54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21">
        <v>10</v>
      </c>
      <c r="L707" s="17" t="s">
        <v>4824</v>
      </c>
      <c r="M707" s="17" t="s">
        <v>478</v>
      </c>
      <c r="N707" s="17" t="s">
        <v>12559</v>
      </c>
      <c r="O707" t="s">
        <v>26</v>
      </c>
      <c r="P707" s="17" t="s">
        <v>12560</v>
      </c>
      <c r="Q707" s="17"/>
      <c r="R707" s="17"/>
      <c r="S707" s="17"/>
      <c r="T707" s="17"/>
      <c r="U707" s="8" t="s">
        <v>6386</v>
      </c>
      <c r="V707" s="8" t="s">
        <v>13559</v>
      </c>
      <c r="W707" s="8" t="s">
        <v>4561</v>
      </c>
      <c r="X707" s="8" t="s">
        <v>13560</v>
      </c>
      <c r="Y707" s="17"/>
      <c r="Z707" s="17"/>
    </row>
    <row r="708" spans="1:26">
      <c r="A708" s="17" t="s">
        <v>9292</v>
      </c>
      <c r="B708" s="17" t="s">
        <v>9292</v>
      </c>
      <c r="C708" s="17" t="s">
        <v>9293</v>
      </c>
      <c r="D708" s="17" t="s">
        <v>21</v>
      </c>
      <c r="E708" s="24">
        <v>1210</v>
      </c>
      <c r="F708" s="17" t="s">
        <v>58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21">
        <v>11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9294</v>
      </c>
      <c r="B709" s="17" t="s">
        <v>9294</v>
      </c>
      <c r="C709" s="17" t="s">
        <v>9295</v>
      </c>
      <c r="D709" s="17" t="s">
        <v>21</v>
      </c>
      <c r="E709" s="24">
        <v>1210</v>
      </c>
      <c r="F709" s="17" t="s">
        <v>60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21">
        <v>12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>
      <c r="A710" s="17" t="s">
        <v>9296</v>
      </c>
      <c r="B710" s="17" t="s">
        <v>9296</v>
      </c>
      <c r="C710" s="17" t="s">
        <v>9297</v>
      </c>
      <c r="D710" s="17" t="s">
        <v>21</v>
      </c>
      <c r="E710" s="24">
        <v>1210</v>
      </c>
      <c r="F710" s="17" t="s">
        <v>62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13</v>
      </c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>
      <c r="A711" s="17" t="s">
        <v>9298</v>
      </c>
      <c r="B711" s="17" t="s">
        <v>9298</v>
      </c>
      <c r="C711" s="17" t="s">
        <v>9299</v>
      </c>
      <c r="D711" s="17" t="s">
        <v>21</v>
      </c>
      <c r="E711" s="24">
        <v>1210</v>
      </c>
      <c r="F711" s="17" t="s">
        <v>64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15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9300</v>
      </c>
      <c r="B712" s="17" t="s">
        <v>9300</v>
      </c>
      <c r="C712" s="17" t="s">
        <v>9301</v>
      </c>
      <c r="D712" s="17" t="s">
        <v>21</v>
      </c>
      <c r="E712" s="24">
        <v>1210</v>
      </c>
      <c r="F712" s="17" t="s">
        <v>66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16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9302</v>
      </c>
      <c r="B713" s="17" t="s">
        <v>9302</v>
      </c>
      <c r="C713" s="17" t="s">
        <v>9303</v>
      </c>
      <c r="D713" s="17" t="s">
        <v>21</v>
      </c>
      <c r="E713" s="24">
        <v>1210</v>
      </c>
      <c r="F713" s="17" t="s">
        <v>68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18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9304</v>
      </c>
      <c r="B714" s="17" t="s">
        <v>9304</v>
      </c>
      <c r="C714" s="17" t="s">
        <v>9305</v>
      </c>
      <c r="D714" s="17" t="s">
        <v>21</v>
      </c>
      <c r="E714" s="24">
        <v>1210</v>
      </c>
      <c r="F714" s="17" t="s">
        <v>70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20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9306</v>
      </c>
      <c r="B715" s="17" t="s">
        <v>9306</v>
      </c>
      <c r="C715" s="17" t="s">
        <v>9307</v>
      </c>
      <c r="D715" s="17" t="s">
        <v>21</v>
      </c>
      <c r="E715" s="24">
        <v>1210</v>
      </c>
      <c r="F715" s="17" t="s">
        <v>72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22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9308</v>
      </c>
      <c r="B716" s="17" t="s">
        <v>9308</v>
      </c>
      <c r="C716" s="17" t="s">
        <v>9309</v>
      </c>
      <c r="D716" s="17" t="s">
        <v>21</v>
      </c>
      <c r="E716" s="24">
        <v>1210</v>
      </c>
      <c r="F716" s="17" t="s">
        <v>76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24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9310</v>
      </c>
      <c r="B717" s="17" t="s">
        <v>9310</v>
      </c>
      <c r="C717" s="17" t="s">
        <v>9311</v>
      </c>
      <c r="D717" s="17" t="s">
        <v>21</v>
      </c>
      <c r="E717" s="24">
        <v>1210</v>
      </c>
      <c r="F717" s="17" t="s">
        <v>78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27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9312</v>
      </c>
      <c r="B718" s="17" t="s">
        <v>9312</v>
      </c>
      <c r="C718" s="17" t="s">
        <v>9313</v>
      </c>
      <c r="D718" s="17" t="s">
        <v>21</v>
      </c>
      <c r="E718" s="24">
        <v>1210</v>
      </c>
      <c r="F718" s="17" t="s">
        <v>80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30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9314</v>
      </c>
      <c r="B719" s="17" t="s">
        <v>9314</v>
      </c>
      <c r="C719" s="17" t="s">
        <v>9315</v>
      </c>
      <c r="D719" s="17" t="s">
        <v>21</v>
      </c>
      <c r="E719" s="24">
        <v>1210</v>
      </c>
      <c r="F719" s="17" t="s">
        <v>82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33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9316</v>
      </c>
      <c r="B720" s="17" t="s">
        <v>9316</v>
      </c>
      <c r="C720" s="17" t="s">
        <v>9317</v>
      </c>
      <c r="D720" s="17" t="s">
        <v>21</v>
      </c>
      <c r="E720" s="24">
        <v>1210</v>
      </c>
      <c r="F720" s="17" t="s">
        <v>84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36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9318</v>
      </c>
      <c r="B721" s="17" t="s">
        <v>9318</v>
      </c>
      <c r="C721" s="17" t="s">
        <v>9319</v>
      </c>
      <c r="D721" s="17" t="s">
        <v>21</v>
      </c>
      <c r="E721" s="24">
        <v>1210</v>
      </c>
      <c r="F721" s="17" t="s">
        <v>86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39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9320</v>
      </c>
      <c r="B722" s="17" t="s">
        <v>9320</v>
      </c>
      <c r="C722" s="17" t="s">
        <v>9321</v>
      </c>
      <c r="D722" s="17" t="s">
        <v>21</v>
      </c>
      <c r="E722" s="24">
        <v>1210</v>
      </c>
      <c r="F722" s="17" t="s">
        <v>88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43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9322</v>
      </c>
      <c r="B723" s="17" t="s">
        <v>9322</v>
      </c>
      <c r="C723" s="17" t="s">
        <v>9323</v>
      </c>
      <c r="D723" s="17" t="s">
        <v>21</v>
      </c>
      <c r="E723" s="24">
        <v>1210</v>
      </c>
      <c r="F723" s="17" t="s">
        <v>90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47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9324</v>
      </c>
      <c r="B724" s="17" t="s">
        <v>9324</v>
      </c>
      <c r="C724" s="17" t="s">
        <v>9325</v>
      </c>
      <c r="D724" s="17" t="s">
        <v>21</v>
      </c>
      <c r="E724" s="24">
        <v>1210</v>
      </c>
      <c r="F724" s="17" t="s">
        <v>92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51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9326</v>
      </c>
      <c r="B725" s="17" t="s">
        <v>9326</v>
      </c>
      <c r="C725" s="17" t="s">
        <v>9327</v>
      </c>
      <c r="D725" s="17" t="s">
        <v>21</v>
      </c>
      <c r="E725" s="24">
        <v>1210</v>
      </c>
      <c r="F725" s="17" t="s">
        <v>94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56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9328</v>
      </c>
      <c r="B726" s="17" t="s">
        <v>9328</v>
      </c>
      <c r="C726" s="17" t="s">
        <v>9329</v>
      </c>
      <c r="D726" s="17" t="s">
        <v>21</v>
      </c>
      <c r="E726" s="24">
        <v>1210</v>
      </c>
      <c r="F726" s="17" t="s">
        <v>96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62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9330</v>
      </c>
      <c r="B727" s="17" t="s">
        <v>9330</v>
      </c>
      <c r="C727" s="17" t="s">
        <v>9331</v>
      </c>
      <c r="D727" s="17" t="s">
        <v>21</v>
      </c>
      <c r="E727" s="24">
        <v>1210</v>
      </c>
      <c r="F727" s="17" t="s">
        <v>98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68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9332</v>
      </c>
      <c r="B728" s="17" t="s">
        <v>9332</v>
      </c>
      <c r="C728" s="17" t="s">
        <v>9333</v>
      </c>
      <c r="D728" s="17" t="s">
        <v>21</v>
      </c>
      <c r="E728" s="24">
        <v>1210</v>
      </c>
      <c r="F728" s="17" t="s">
        <v>100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75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9334</v>
      </c>
      <c r="B729" s="17" t="s">
        <v>9334</v>
      </c>
      <c r="C729" s="17" t="s">
        <v>9335</v>
      </c>
      <c r="D729" s="17" t="s">
        <v>21</v>
      </c>
      <c r="E729" s="24">
        <v>1210</v>
      </c>
      <c r="F729" s="17" t="s">
        <v>102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82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9336</v>
      </c>
      <c r="B730" s="17" t="s">
        <v>9336</v>
      </c>
      <c r="C730" s="17" t="s">
        <v>9337</v>
      </c>
      <c r="D730" s="17" t="s">
        <v>21</v>
      </c>
      <c r="E730" s="24">
        <v>1210</v>
      </c>
      <c r="F730" s="17" t="s">
        <v>104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91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9338</v>
      </c>
      <c r="B731" s="17" t="s">
        <v>9338</v>
      </c>
      <c r="C731" s="17" t="s">
        <v>9339</v>
      </c>
      <c r="D731" s="17" t="s">
        <v>21</v>
      </c>
      <c r="E731" s="24">
        <v>1210</v>
      </c>
      <c r="F731" s="17" t="s">
        <v>106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100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9340</v>
      </c>
      <c r="B732" s="17" t="s">
        <v>9340</v>
      </c>
      <c r="C732" s="17" t="s">
        <v>9341</v>
      </c>
      <c r="D732" s="17" t="s">
        <v>21</v>
      </c>
      <c r="E732" s="24">
        <v>1210</v>
      </c>
      <c r="F732" s="17" t="s">
        <v>110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110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9342</v>
      </c>
      <c r="B733" s="17" t="s">
        <v>9342</v>
      </c>
      <c r="C733" s="17" t="s">
        <v>9343</v>
      </c>
      <c r="D733" s="17" t="s">
        <v>21</v>
      </c>
      <c r="E733" s="24">
        <v>1210</v>
      </c>
      <c r="F733" s="17" t="s">
        <v>112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120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9344</v>
      </c>
      <c r="B734" s="17" t="s">
        <v>9344</v>
      </c>
      <c r="C734" s="17" t="s">
        <v>9345</v>
      </c>
      <c r="D734" s="17" t="s">
        <v>21</v>
      </c>
      <c r="E734" s="24">
        <v>1210</v>
      </c>
      <c r="F734" s="17" t="s">
        <v>114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130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9346</v>
      </c>
      <c r="B735" s="17" t="s">
        <v>9346</v>
      </c>
      <c r="C735" s="17" t="s">
        <v>9347</v>
      </c>
      <c r="D735" s="17" t="s">
        <v>21</v>
      </c>
      <c r="E735" s="24">
        <v>1210</v>
      </c>
      <c r="F735" s="17" t="s">
        <v>116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150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9348</v>
      </c>
      <c r="B736" s="17" t="s">
        <v>9348</v>
      </c>
      <c r="C736" s="17" t="s">
        <v>9349</v>
      </c>
      <c r="D736" s="17" t="s">
        <v>21</v>
      </c>
      <c r="E736" s="24">
        <v>1210</v>
      </c>
      <c r="F736" s="17" t="s">
        <v>118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160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9350</v>
      </c>
      <c r="B737" s="17" t="s">
        <v>9350</v>
      </c>
      <c r="C737" s="17" t="s">
        <v>9351</v>
      </c>
      <c r="D737" s="17" t="s">
        <v>21</v>
      </c>
      <c r="E737" s="24">
        <v>1210</v>
      </c>
      <c r="F737" s="17" t="s">
        <v>120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180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9352</v>
      </c>
      <c r="B738" s="17" t="s">
        <v>9352</v>
      </c>
      <c r="C738" s="17" t="s">
        <v>9353</v>
      </c>
      <c r="D738" s="17" t="s">
        <v>21</v>
      </c>
      <c r="E738" s="24">
        <v>1210</v>
      </c>
      <c r="F738" s="17" t="s">
        <v>124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200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9354</v>
      </c>
      <c r="B739" s="17" t="s">
        <v>9354</v>
      </c>
      <c r="C739" s="17" t="s">
        <v>9355</v>
      </c>
      <c r="D739" s="17" t="s">
        <v>21</v>
      </c>
      <c r="E739" s="24">
        <v>1210</v>
      </c>
      <c r="F739" s="17" t="s">
        <v>126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220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9356</v>
      </c>
      <c r="B740" s="17" t="s">
        <v>9356</v>
      </c>
      <c r="C740" s="17" t="s">
        <v>9357</v>
      </c>
      <c r="D740" s="17" t="s">
        <v>21</v>
      </c>
      <c r="E740" s="24">
        <v>1210</v>
      </c>
      <c r="F740" s="17" t="s">
        <v>130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240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9358</v>
      </c>
      <c r="B741" s="17" t="s">
        <v>9358</v>
      </c>
      <c r="C741" s="17" t="s">
        <v>9359</v>
      </c>
      <c r="D741" s="17" t="s">
        <v>21</v>
      </c>
      <c r="E741" s="24">
        <v>1210</v>
      </c>
      <c r="F741" s="17" t="s">
        <v>132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270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9360</v>
      </c>
      <c r="B742" s="17" t="s">
        <v>9360</v>
      </c>
      <c r="C742" s="17" t="s">
        <v>9361</v>
      </c>
      <c r="D742" s="17" t="s">
        <v>21</v>
      </c>
      <c r="E742" s="24">
        <v>1210</v>
      </c>
      <c r="F742" s="17" t="s">
        <v>134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300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9362</v>
      </c>
      <c r="B743" s="17" t="s">
        <v>9362</v>
      </c>
      <c r="C743" s="17" t="s">
        <v>9363</v>
      </c>
      <c r="D743" s="17" t="s">
        <v>21</v>
      </c>
      <c r="E743" s="24">
        <v>1210</v>
      </c>
      <c r="F743" s="17" t="s">
        <v>138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330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9364</v>
      </c>
      <c r="B744" s="17" t="s">
        <v>9364</v>
      </c>
      <c r="C744" s="17" t="s">
        <v>9365</v>
      </c>
      <c r="D744" s="17" t="s">
        <v>21</v>
      </c>
      <c r="E744" s="24">
        <v>1210</v>
      </c>
      <c r="F744" s="17" t="s">
        <v>140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360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9366</v>
      </c>
      <c r="B745" s="17" t="s">
        <v>9366</v>
      </c>
      <c r="C745" s="17" t="s">
        <v>9367</v>
      </c>
      <c r="D745" s="17" t="s">
        <v>21</v>
      </c>
      <c r="E745" s="24">
        <v>1210</v>
      </c>
      <c r="F745" s="17" t="s">
        <v>142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390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9368</v>
      </c>
      <c r="B746" s="17" t="s">
        <v>9368</v>
      </c>
      <c r="C746" s="17" t="s">
        <v>9369</v>
      </c>
      <c r="D746" s="17" t="s">
        <v>21</v>
      </c>
      <c r="E746" s="24">
        <v>1210</v>
      </c>
      <c r="F746" s="17" t="s">
        <v>144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430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9370</v>
      </c>
      <c r="B747" s="17" t="s">
        <v>9370</v>
      </c>
      <c r="C747" s="17" t="s">
        <v>9371</v>
      </c>
      <c r="D747" s="17" t="s">
        <v>21</v>
      </c>
      <c r="E747" s="24">
        <v>1210</v>
      </c>
      <c r="F747" s="17" t="s">
        <v>146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470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9372</v>
      </c>
      <c r="B748" s="17" t="s">
        <v>9372</v>
      </c>
      <c r="C748" s="17" t="s">
        <v>9373</v>
      </c>
      <c r="D748" s="17" t="s">
        <v>21</v>
      </c>
      <c r="E748" s="24">
        <v>1210</v>
      </c>
      <c r="F748" s="17" t="s">
        <v>150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510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9374</v>
      </c>
      <c r="B749" s="17" t="s">
        <v>9374</v>
      </c>
      <c r="C749" s="17" t="s">
        <v>9375</v>
      </c>
      <c r="D749" s="17" t="s">
        <v>21</v>
      </c>
      <c r="E749" s="24">
        <v>1210</v>
      </c>
      <c r="F749" s="17" t="s">
        <v>152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560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9376</v>
      </c>
      <c r="B750" s="17" t="s">
        <v>9376</v>
      </c>
      <c r="C750" s="17" t="s">
        <v>9377</v>
      </c>
      <c r="D750" s="17" t="s">
        <v>21</v>
      </c>
      <c r="E750" s="24">
        <v>1210</v>
      </c>
      <c r="F750" s="17" t="s">
        <v>154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620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9378</v>
      </c>
      <c r="B751" s="17" t="s">
        <v>9378</v>
      </c>
      <c r="C751" s="17" t="s">
        <v>9379</v>
      </c>
      <c r="D751" s="17" t="s">
        <v>21</v>
      </c>
      <c r="E751" s="24">
        <v>1210</v>
      </c>
      <c r="F751" s="17" t="s">
        <v>156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680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9380</v>
      </c>
      <c r="B752" s="17" t="s">
        <v>9380</v>
      </c>
      <c r="C752" s="17" t="s">
        <v>9381</v>
      </c>
      <c r="D752" s="17" t="s">
        <v>21</v>
      </c>
      <c r="E752" s="24">
        <v>1210</v>
      </c>
      <c r="F752" s="17" t="s">
        <v>158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750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9382</v>
      </c>
      <c r="B753" s="17" t="s">
        <v>9382</v>
      </c>
      <c r="C753" s="17" t="s">
        <v>9383</v>
      </c>
      <c r="D753" s="17" t="s">
        <v>21</v>
      </c>
      <c r="E753" s="24">
        <v>1210</v>
      </c>
      <c r="F753" s="17" t="s">
        <v>160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820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9384</v>
      </c>
      <c r="B754" s="17" t="s">
        <v>9384</v>
      </c>
      <c r="C754" s="17" t="s">
        <v>9385</v>
      </c>
      <c r="D754" s="17" t="s">
        <v>21</v>
      </c>
      <c r="E754" s="24">
        <v>1210</v>
      </c>
      <c r="F754" s="17" t="s">
        <v>162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910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>
      <c r="A755" s="17" t="s">
        <v>9386</v>
      </c>
      <c r="B755" s="17" t="s">
        <v>9386</v>
      </c>
      <c r="C755" s="17" t="s">
        <v>9387</v>
      </c>
      <c r="D755" s="17" t="s">
        <v>21</v>
      </c>
      <c r="E755" s="24">
        <v>1210</v>
      </c>
      <c r="F755" s="17" t="s">
        <v>164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1000</v>
      </c>
      <c r="L755" s="17" t="s">
        <v>4824</v>
      </c>
      <c r="M755" s="17" t="s">
        <v>478</v>
      </c>
      <c r="N755" s="17" t="s">
        <v>12557</v>
      </c>
      <c r="O755" t="s">
        <v>26</v>
      </c>
      <c r="P755" s="17" t="s">
        <v>12558</v>
      </c>
      <c r="Q755" s="17"/>
      <c r="R755" s="17"/>
      <c r="S755" s="17"/>
      <c r="T755" s="17"/>
      <c r="U755" s="8" t="s">
        <v>478</v>
      </c>
      <c r="V755" s="42" t="s">
        <v>12557</v>
      </c>
      <c r="W755" s="17" t="s">
        <v>4561</v>
      </c>
      <c r="X755" s="8" t="s">
        <v>13563</v>
      </c>
      <c r="Y755" s="17"/>
      <c r="Z755" s="17"/>
    </row>
    <row r="756" spans="1:26">
      <c r="A756" s="17" t="s">
        <v>9388</v>
      </c>
      <c r="B756" s="17" t="s">
        <v>9388</v>
      </c>
      <c r="C756" s="17" t="s">
        <v>9389</v>
      </c>
      <c r="D756" s="17" t="s">
        <v>21</v>
      </c>
      <c r="E756" s="24">
        <v>1210</v>
      </c>
      <c r="F756" s="17" t="s">
        <v>166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1100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9390</v>
      </c>
      <c r="B757" s="17" t="s">
        <v>9390</v>
      </c>
      <c r="C757" s="17" t="s">
        <v>9391</v>
      </c>
      <c r="D757" s="17" t="s">
        <v>21</v>
      </c>
      <c r="E757" s="24">
        <v>1210</v>
      </c>
      <c r="F757" s="17" t="s">
        <v>168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1200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>
      <c r="A758" s="17" t="s">
        <v>9392</v>
      </c>
      <c r="B758" s="17" t="s">
        <v>9392</v>
      </c>
      <c r="C758" s="17" t="s">
        <v>9393</v>
      </c>
      <c r="D758" s="17" t="s">
        <v>21</v>
      </c>
      <c r="E758" s="24">
        <v>1210</v>
      </c>
      <c r="F758" s="17" t="s">
        <v>170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1300</v>
      </c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>
      <c r="A759" s="17" t="s">
        <v>9394</v>
      </c>
      <c r="B759" s="17" t="s">
        <v>9394</v>
      </c>
      <c r="C759" s="17" t="s">
        <v>9395</v>
      </c>
      <c r="D759" s="17" t="s">
        <v>21</v>
      </c>
      <c r="E759" s="24">
        <v>1210</v>
      </c>
      <c r="F759" s="17" t="s">
        <v>172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1500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9396</v>
      </c>
      <c r="B760" s="17" t="s">
        <v>9396</v>
      </c>
      <c r="C760" s="17" t="s">
        <v>9397</v>
      </c>
      <c r="D760" s="17" t="s">
        <v>21</v>
      </c>
      <c r="E760" s="24">
        <v>1210</v>
      </c>
      <c r="F760" s="17" t="s">
        <v>176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1600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9398</v>
      </c>
      <c r="B761" s="17" t="s">
        <v>9398</v>
      </c>
      <c r="C761" s="17" t="s">
        <v>9399</v>
      </c>
      <c r="D761" s="17" t="s">
        <v>21</v>
      </c>
      <c r="E761" s="24">
        <v>1210</v>
      </c>
      <c r="F761" s="17" t="s">
        <v>182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1800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9400</v>
      </c>
      <c r="B762" s="17" t="s">
        <v>9400</v>
      </c>
      <c r="C762" s="17" t="s">
        <v>9401</v>
      </c>
      <c r="D762" s="17" t="s">
        <v>21</v>
      </c>
      <c r="E762" s="24">
        <v>1210</v>
      </c>
      <c r="F762" s="17" t="s">
        <v>184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2000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9402</v>
      </c>
      <c r="B763" s="17" t="s">
        <v>9402</v>
      </c>
      <c r="C763" s="17" t="s">
        <v>9403</v>
      </c>
      <c r="D763" s="17" t="s">
        <v>21</v>
      </c>
      <c r="E763" s="24">
        <v>1210</v>
      </c>
      <c r="F763" s="17" t="s">
        <v>188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2200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9404</v>
      </c>
      <c r="B764" s="17" t="s">
        <v>9404</v>
      </c>
      <c r="C764" s="17" t="s">
        <v>9405</v>
      </c>
      <c r="D764" s="17" t="s">
        <v>21</v>
      </c>
      <c r="E764" s="24">
        <v>1210</v>
      </c>
      <c r="F764" s="17" t="s">
        <v>192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2400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9406</v>
      </c>
      <c r="B765" s="17" t="s">
        <v>9406</v>
      </c>
      <c r="C765" s="17" t="s">
        <v>9407</v>
      </c>
      <c r="D765" s="17" t="s">
        <v>21</v>
      </c>
      <c r="E765" s="24">
        <v>1210</v>
      </c>
      <c r="F765" s="17" t="s">
        <v>194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2700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9408</v>
      </c>
      <c r="B766" s="17" t="s">
        <v>9408</v>
      </c>
      <c r="C766" s="17" t="s">
        <v>9409</v>
      </c>
      <c r="D766" s="17" t="s">
        <v>21</v>
      </c>
      <c r="E766" s="24">
        <v>1210</v>
      </c>
      <c r="F766" s="17" t="s">
        <v>198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3000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9410</v>
      </c>
      <c r="B767" s="17" t="s">
        <v>9410</v>
      </c>
      <c r="C767" s="17" t="s">
        <v>9411</v>
      </c>
      <c r="D767" s="17" t="s">
        <v>21</v>
      </c>
      <c r="E767" s="24">
        <v>1210</v>
      </c>
      <c r="F767" s="17" t="s">
        <v>202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3300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9412</v>
      </c>
      <c r="B768" s="17" t="s">
        <v>9412</v>
      </c>
      <c r="C768" s="17" t="s">
        <v>9413</v>
      </c>
      <c r="D768" s="17" t="s">
        <v>21</v>
      </c>
      <c r="E768" s="24">
        <v>1210</v>
      </c>
      <c r="F768" s="17" t="s">
        <v>204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3600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9414</v>
      </c>
      <c r="B769" s="17" t="s">
        <v>9414</v>
      </c>
      <c r="C769" s="17" t="s">
        <v>9415</v>
      </c>
      <c r="D769" s="17" t="s">
        <v>21</v>
      </c>
      <c r="E769" s="24">
        <v>1210</v>
      </c>
      <c r="F769" s="17" t="s">
        <v>206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3900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9416</v>
      </c>
      <c r="B770" s="17" t="s">
        <v>9416</v>
      </c>
      <c r="C770" s="17" t="s">
        <v>9417</v>
      </c>
      <c r="D770" s="17" t="s">
        <v>21</v>
      </c>
      <c r="E770" s="24">
        <v>1210</v>
      </c>
      <c r="F770" s="17" t="s">
        <v>208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4300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9418</v>
      </c>
      <c r="B771" s="17" t="s">
        <v>9418</v>
      </c>
      <c r="C771" s="17" t="s">
        <v>9419</v>
      </c>
      <c r="D771" s="17" t="s">
        <v>21</v>
      </c>
      <c r="E771" s="24">
        <v>1210</v>
      </c>
      <c r="F771" s="17" t="s">
        <v>210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4700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9420</v>
      </c>
      <c r="B772" s="17" t="s">
        <v>9420</v>
      </c>
      <c r="C772" s="17" t="s">
        <v>9421</v>
      </c>
      <c r="D772" s="17" t="s">
        <v>21</v>
      </c>
      <c r="E772" s="24">
        <v>1210</v>
      </c>
      <c r="F772" s="17" t="s">
        <v>214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5100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9422</v>
      </c>
      <c r="B773" s="17" t="s">
        <v>9422</v>
      </c>
      <c r="C773" s="17" t="s">
        <v>9423</v>
      </c>
      <c r="D773" s="17" t="s">
        <v>21</v>
      </c>
      <c r="E773" s="24">
        <v>1210</v>
      </c>
      <c r="F773" s="17" t="s">
        <v>216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5600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9424</v>
      </c>
      <c r="B774" s="17" t="s">
        <v>9424</v>
      </c>
      <c r="C774" s="17" t="s">
        <v>9425</v>
      </c>
      <c r="D774" s="17" t="s">
        <v>21</v>
      </c>
      <c r="E774" s="24">
        <v>1210</v>
      </c>
      <c r="F774" s="17" t="s">
        <v>218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6200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9426</v>
      </c>
      <c r="B775" s="17" t="s">
        <v>9426</v>
      </c>
      <c r="C775" s="17" t="s">
        <v>9427</v>
      </c>
      <c r="D775" s="17" t="s">
        <v>21</v>
      </c>
      <c r="E775" s="24">
        <v>1210</v>
      </c>
      <c r="F775" s="17" t="s">
        <v>220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6800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9428</v>
      </c>
      <c r="B776" s="17" t="s">
        <v>9428</v>
      </c>
      <c r="C776" s="17" t="s">
        <v>9429</v>
      </c>
      <c r="D776" s="17" t="s">
        <v>21</v>
      </c>
      <c r="E776" s="24">
        <v>1210</v>
      </c>
      <c r="F776" s="17" t="s">
        <v>222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7500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9430</v>
      </c>
      <c r="B777" s="17" t="s">
        <v>9430</v>
      </c>
      <c r="C777" s="17" t="s">
        <v>9431</v>
      </c>
      <c r="D777" s="17" t="s">
        <v>21</v>
      </c>
      <c r="E777" s="24">
        <v>1210</v>
      </c>
      <c r="F777" s="17" t="s">
        <v>224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8200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9432</v>
      </c>
      <c r="B778" s="17" t="s">
        <v>9432</v>
      </c>
      <c r="C778" s="17" t="s">
        <v>9433</v>
      </c>
      <c r="D778" s="17" t="s">
        <v>21</v>
      </c>
      <c r="E778" s="24">
        <v>1210</v>
      </c>
      <c r="F778" s="17" t="s">
        <v>226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9100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9434</v>
      </c>
      <c r="B779" s="17" t="s">
        <v>9434</v>
      </c>
      <c r="C779" s="17" t="s">
        <v>9435</v>
      </c>
      <c r="D779" s="17" t="s">
        <v>21</v>
      </c>
      <c r="E779" s="24">
        <v>1210</v>
      </c>
      <c r="F779" s="17" t="s">
        <v>230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10000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9436</v>
      </c>
      <c r="B780" s="17" t="s">
        <v>9436</v>
      </c>
      <c r="C780" s="17" t="s">
        <v>9437</v>
      </c>
      <c r="D780" s="17" t="s">
        <v>21</v>
      </c>
      <c r="E780" s="24">
        <v>1210</v>
      </c>
      <c r="F780" s="17" t="s">
        <v>234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11000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9438</v>
      </c>
      <c r="B781" s="17" t="s">
        <v>9438</v>
      </c>
      <c r="C781" s="17" t="s">
        <v>9439</v>
      </c>
      <c r="D781" s="17" t="s">
        <v>21</v>
      </c>
      <c r="E781" s="24">
        <v>1210</v>
      </c>
      <c r="F781" s="17" t="s">
        <v>236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12000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9440</v>
      </c>
      <c r="B782" s="17" t="s">
        <v>9440</v>
      </c>
      <c r="C782" s="17" t="s">
        <v>9441</v>
      </c>
      <c r="D782" s="17" t="s">
        <v>21</v>
      </c>
      <c r="E782" s="24">
        <v>1210</v>
      </c>
      <c r="F782" s="17" t="s">
        <v>240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13000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9442</v>
      </c>
      <c r="B783" s="17" t="s">
        <v>9442</v>
      </c>
      <c r="C783" s="17" t="s">
        <v>9443</v>
      </c>
      <c r="D783" s="17" t="s">
        <v>21</v>
      </c>
      <c r="E783" s="24">
        <v>1210</v>
      </c>
      <c r="F783" s="17" t="s">
        <v>244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15000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9444</v>
      </c>
      <c r="B784" s="17" t="s">
        <v>9444</v>
      </c>
      <c r="C784" s="17" t="s">
        <v>9445</v>
      </c>
      <c r="D784" s="17" t="s">
        <v>21</v>
      </c>
      <c r="E784" s="24">
        <v>1210</v>
      </c>
      <c r="F784" s="17" t="s">
        <v>248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16000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9446</v>
      </c>
      <c r="B785" s="17" t="s">
        <v>9446</v>
      </c>
      <c r="C785" s="17" t="s">
        <v>9447</v>
      </c>
      <c r="D785" s="17" t="s">
        <v>21</v>
      </c>
      <c r="E785" s="24">
        <v>1210</v>
      </c>
      <c r="F785" s="17" t="s">
        <v>252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18000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9448</v>
      </c>
      <c r="B786" s="17" t="s">
        <v>9448</v>
      </c>
      <c r="C786" s="17" t="s">
        <v>9449</v>
      </c>
      <c r="D786" s="17" t="s">
        <v>21</v>
      </c>
      <c r="E786" s="24">
        <v>1210</v>
      </c>
      <c r="F786" s="17" t="s">
        <v>256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20000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9450</v>
      </c>
      <c r="B787" s="17" t="s">
        <v>9450</v>
      </c>
      <c r="C787" s="17" t="s">
        <v>9451</v>
      </c>
      <c r="D787" s="17" t="s">
        <v>21</v>
      </c>
      <c r="E787" s="24">
        <v>1210</v>
      </c>
      <c r="F787" s="17" t="s">
        <v>258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22000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9452</v>
      </c>
      <c r="B788" s="17" t="s">
        <v>9452</v>
      </c>
      <c r="C788" s="17" t="s">
        <v>9453</v>
      </c>
      <c r="D788" s="17" t="s">
        <v>21</v>
      </c>
      <c r="E788" s="24">
        <v>1210</v>
      </c>
      <c r="F788" s="17" t="s">
        <v>260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24000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9454</v>
      </c>
      <c r="B789" s="17" t="s">
        <v>9454</v>
      </c>
      <c r="C789" s="17" t="s">
        <v>9455</v>
      </c>
      <c r="D789" s="17" t="s">
        <v>21</v>
      </c>
      <c r="E789" s="24">
        <v>1210</v>
      </c>
      <c r="F789" s="17" t="s">
        <v>264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27000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9456</v>
      </c>
      <c r="B790" s="17" t="s">
        <v>9456</v>
      </c>
      <c r="C790" s="17" t="s">
        <v>9457</v>
      </c>
      <c r="D790" s="17" t="s">
        <v>21</v>
      </c>
      <c r="E790" s="24">
        <v>1210</v>
      </c>
      <c r="F790" s="17" t="s">
        <v>266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30000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9458</v>
      </c>
      <c r="B791" s="17" t="s">
        <v>9458</v>
      </c>
      <c r="C791" s="17" t="s">
        <v>9459</v>
      </c>
      <c r="D791" s="17" t="s">
        <v>21</v>
      </c>
      <c r="E791" s="24">
        <v>1210</v>
      </c>
      <c r="F791" s="17" t="s">
        <v>268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33000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9460</v>
      </c>
      <c r="B792" s="17" t="s">
        <v>9460</v>
      </c>
      <c r="C792" s="17" t="s">
        <v>9461</v>
      </c>
      <c r="D792" s="17" t="s">
        <v>21</v>
      </c>
      <c r="E792" s="24">
        <v>1210</v>
      </c>
      <c r="F792" s="17" t="s">
        <v>270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36000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9462</v>
      </c>
      <c r="B793" s="17" t="s">
        <v>9462</v>
      </c>
      <c r="C793" s="17" t="s">
        <v>9463</v>
      </c>
      <c r="D793" s="17" t="s">
        <v>21</v>
      </c>
      <c r="E793" s="24">
        <v>1210</v>
      </c>
      <c r="F793" s="17" t="s">
        <v>274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39000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9464</v>
      </c>
      <c r="B794" s="17" t="s">
        <v>9464</v>
      </c>
      <c r="C794" s="17" t="s">
        <v>9465</v>
      </c>
      <c r="D794" s="17" t="s">
        <v>21</v>
      </c>
      <c r="E794" s="24">
        <v>1210</v>
      </c>
      <c r="F794" s="17" t="s">
        <v>278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43000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9466</v>
      </c>
      <c r="B795" s="17" t="s">
        <v>9466</v>
      </c>
      <c r="C795" s="17" t="s">
        <v>9467</v>
      </c>
      <c r="D795" s="17" t="s">
        <v>21</v>
      </c>
      <c r="E795" s="24">
        <v>1210</v>
      </c>
      <c r="F795" s="17" t="s">
        <v>280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47000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9468</v>
      </c>
      <c r="B796" s="17" t="s">
        <v>9468</v>
      </c>
      <c r="C796" s="17" t="s">
        <v>9469</v>
      </c>
      <c r="D796" s="17" t="s">
        <v>21</v>
      </c>
      <c r="E796" s="24">
        <v>1210</v>
      </c>
      <c r="F796" s="17" t="s">
        <v>284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51000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9470</v>
      </c>
      <c r="B797" s="17" t="s">
        <v>9470</v>
      </c>
      <c r="C797" s="17" t="s">
        <v>9471</v>
      </c>
      <c r="D797" s="17" t="s">
        <v>21</v>
      </c>
      <c r="E797" s="24">
        <v>1210</v>
      </c>
      <c r="F797" s="17" t="s">
        <v>288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56000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9472</v>
      </c>
      <c r="B798" s="17" t="s">
        <v>9472</v>
      </c>
      <c r="C798" s="17" t="s">
        <v>9473</v>
      </c>
      <c r="D798" s="17" t="s">
        <v>21</v>
      </c>
      <c r="E798" s="24">
        <v>1210</v>
      </c>
      <c r="F798" s="17" t="s">
        <v>292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62000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9474</v>
      </c>
      <c r="B799" s="17" t="s">
        <v>9474</v>
      </c>
      <c r="C799" s="17" t="s">
        <v>9475</v>
      </c>
      <c r="D799" s="17" t="s">
        <v>21</v>
      </c>
      <c r="E799" s="24">
        <v>1210</v>
      </c>
      <c r="F799" s="17" t="s">
        <v>296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68000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9476</v>
      </c>
      <c r="B800" s="17" t="s">
        <v>9476</v>
      </c>
      <c r="C800" s="17" t="s">
        <v>9477</v>
      </c>
      <c r="D800" s="17" t="s">
        <v>21</v>
      </c>
      <c r="E800" s="24">
        <v>1210</v>
      </c>
      <c r="F800" s="17" t="s">
        <v>300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75000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9478</v>
      </c>
      <c r="B801" s="17" t="s">
        <v>9478</v>
      </c>
      <c r="C801" s="17" t="s">
        <v>9479</v>
      </c>
      <c r="D801" s="17" t="s">
        <v>21</v>
      </c>
      <c r="E801" s="24">
        <v>1210</v>
      </c>
      <c r="F801" s="17" t="s">
        <v>302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82000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9480</v>
      </c>
      <c r="B802" s="17" t="s">
        <v>9480</v>
      </c>
      <c r="C802" s="17" t="s">
        <v>9481</v>
      </c>
      <c r="D802" s="17" t="s">
        <v>21</v>
      </c>
      <c r="E802" s="24">
        <v>1210</v>
      </c>
      <c r="F802" s="17" t="s">
        <v>304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91000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9482</v>
      </c>
      <c r="B803" s="17" t="s">
        <v>9482</v>
      </c>
      <c r="C803" s="17" t="s">
        <v>9483</v>
      </c>
      <c r="D803" s="17" t="s">
        <v>21</v>
      </c>
      <c r="E803" s="24">
        <v>1210</v>
      </c>
      <c r="F803" s="17" t="s">
        <v>306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100000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9484</v>
      </c>
      <c r="B804" s="17" t="s">
        <v>9484</v>
      </c>
      <c r="C804" s="17" t="s">
        <v>9485</v>
      </c>
      <c r="D804" s="17" t="s">
        <v>21</v>
      </c>
      <c r="E804" s="24">
        <v>1210</v>
      </c>
      <c r="F804" s="17" t="s">
        <v>310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110000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9486</v>
      </c>
      <c r="B805" s="17" t="s">
        <v>9486</v>
      </c>
      <c r="C805" s="17" t="s">
        <v>9487</v>
      </c>
      <c r="D805" s="17" t="s">
        <v>21</v>
      </c>
      <c r="E805" s="24">
        <v>1210</v>
      </c>
      <c r="F805" s="17" t="s">
        <v>314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120000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9488</v>
      </c>
      <c r="B806" s="17" t="s">
        <v>9488</v>
      </c>
      <c r="C806" s="17" t="s">
        <v>9489</v>
      </c>
      <c r="D806" s="17" t="s">
        <v>21</v>
      </c>
      <c r="E806" s="24">
        <v>1210</v>
      </c>
      <c r="F806" s="17" t="s">
        <v>318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130000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9490</v>
      </c>
      <c r="B807" s="17" t="s">
        <v>9490</v>
      </c>
      <c r="C807" s="17" t="s">
        <v>9491</v>
      </c>
      <c r="D807" s="17" t="s">
        <v>21</v>
      </c>
      <c r="E807" s="24">
        <v>1210</v>
      </c>
      <c r="F807" s="17" t="s">
        <v>322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150000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9492</v>
      </c>
      <c r="B808" s="17" t="s">
        <v>9492</v>
      </c>
      <c r="C808" s="17" t="s">
        <v>9493</v>
      </c>
      <c r="D808" s="17" t="s">
        <v>21</v>
      </c>
      <c r="E808" s="24">
        <v>1210</v>
      </c>
      <c r="F808" s="17" t="s">
        <v>324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160000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9494</v>
      </c>
      <c r="B809" s="17" t="s">
        <v>9494</v>
      </c>
      <c r="C809" s="17" t="s">
        <v>9495</v>
      </c>
      <c r="D809" s="17" t="s">
        <v>21</v>
      </c>
      <c r="E809" s="24">
        <v>1210</v>
      </c>
      <c r="F809" s="17" t="s">
        <v>328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180000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9496</v>
      </c>
      <c r="B810" s="17" t="s">
        <v>9496</v>
      </c>
      <c r="C810" s="17" t="s">
        <v>9497</v>
      </c>
      <c r="D810" s="17" t="s">
        <v>21</v>
      </c>
      <c r="E810" s="24">
        <v>1210</v>
      </c>
      <c r="F810" s="17" t="s">
        <v>332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200000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9498</v>
      </c>
      <c r="B811" s="17" t="s">
        <v>9498</v>
      </c>
      <c r="C811" s="17" t="s">
        <v>9499</v>
      </c>
      <c r="D811" s="17" t="s">
        <v>21</v>
      </c>
      <c r="E811" s="24">
        <v>1210</v>
      </c>
      <c r="F811" s="17" t="s">
        <v>334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220000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9500</v>
      </c>
      <c r="B812" s="17" t="s">
        <v>9500</v>
      </c>
      <c r="C812" s="17" t="s">
        <v>9501</v>
      </c>
      <c r="D812" s="17" t="s">
        <v>21</v>
      </c>
      <c r="E812" s="24">
        <v>1210</v>
      </c>
      <c r="F812" s="17" t="s">
        <v>336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240000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9502</v>
      </c>
      <c r="B813" s="17" t="s">
        <v>9502</v>
      </c>
      <c r="C813" s="17" t="s">
        <v>9503</v>
      </c>
      <c r="D813" s="17" t="s">
        <v>21</v>
      </c>
      <c r="E813" s="24">
        <v>1210</v>
      </c>
      <c r="F813" s="17" t="s">
        <v>338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270000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9504</v>
      </c>
      <c r="B814" s="17" t="s">
        <v>9504</v>
      </c>
      <c r="C814" s="17" t="s">
        <v>9505</v>
      </c>
      <c r="D814" s="17" t="s">
        <v>21</v>
      </c>
      <c r="E814" s="24">
        <v>1210</v>
      </c>
      <c r="F814" s="17" t="s">
        <v>340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300000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9506</v>
      </c>
      <c r="B815" s="17" t="s">
        <v>9506</v>
      </c>
      <c r="C815" s="16" t="s">
        <v>9507</v>
      </c>
      <c r="D815" s="16" t="s">
        <v>21</v>
      </c>
      <c r="E815" s="24">
        <v>1210</v>
      </c>
      <c r="F815" s="17" t="s">
        <v>342</v>
      </c>
      <c r="G815" s="17" t="str">
        <f>Config!$B$3</f>
        <v>SCH/R_IEC.SchLib</v>
      </c>
      <c r="H815" s="16" t="s">
        <v>420</v>
      </c>
      <c r="I815" s="18" t="s">
        <v>462</v>
      </c>
      <c r="J815" s="17" t="s">
        <v>12547</v>
      </c>
      <c r="K815" s="21">
        <v>330000</v>
      </c>
      <c r="L815" s="17"/>
      <c r="M815" s="16"/>
      <c r="N815" s="17"/>
      <c r="O815" s="16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9508</v>
      </c>
      <c r="B816" s="17" t="s">
        <v>9508</v>
      </c>
      <c r="C816" s="17" t="s">
        <v>9509</v>
      </c>
      <c r="D816" s="17" t="s">
        <v>21</v>
      </c>
      <c r="E816" s="24">
        <v>1210</v>
      </c>
      <c r="F816" s="17" t="s">
        <v>346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360000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9510</v>
      </c>
      <c r="B817" s="17" t="s">
        <v>9510</v>
      </c>
      <c r="C817" s="17" t="s">
        <v>9511</v>
      </c>
      <c r="D817" s="17" t="s">
        <v>21</v>
      </c>
      <c r="E817" s="24">
        <v>1210</v>
      </c>
      <c r="F817" s="17" t="s">
        <v>350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390000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9512</v>
      </c>
      <c r="B818" s="17" t="s">
        <v>9512</v>
      </c>
      <c r="C818" s="17" t="s">
        <v>9513</v>
      </c>
      <c r="D818" s="17" t="s">
        <v>21</v>
      </c>
      <c r="E818" s="24">
        <v>1210</v>
      </c>
      <c r="F818" s="17" t="s">
        <v>352</v>
      </c>
      <c r="G818" s="17" t="str">
        <f>Config!$B$3</f>
        <v>SCH/R_IEC.SchLib</v>
      </c>
      <c r="H818" s="17" t="s">
        <v>420</v>
      </c>
      <c r="I818" s="17" t="s">
        <v>462</v>
      </c>
      <c r="J818" s="17" t="s">
        <v>12547</v>
      </c>
      <c r="K818" s="21">
        <v>430000</v>
      </c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9514</v>
      </c>
      <c r="B819" s="17" t="s">
        <v>9514</v>
      </c>
      <c r="C819" s="17" t="s">
        <v>9515</v>
      </c>
      <c r="D819" s="17" t="s">
        <v>21</v>
      </c>
      <c r="E819" s="24">
        <v>1210</v>
      </c>
      <c r="F819" s="17" t="s">
        <v>354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470000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9516</v>
      </c>
      <c r="B820" s="17" t="s">
        <v>9516</v>
      </c>
      <c r="C820" s="17" t="s">
        <v>9517</v>
      </c>
      <c r="D820" s="17" t="s">
        <v>21</v>
      </c>
      <c r="E820" s="24">
        <v>1210</v>
      </c>
      <c r="F820" s="17" t="s">
        <v>356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510000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9518</v>
      </c>
      <c r="B821" s="17" t="s">
        <v>9518</v>
      </c>
      <c r="C821" s="17" t="s">
        <v>9519</v>
      </c>
      <c r="D821" s="17" t="s">
        <v>21</v>
      </c>
      <c r="E821" s="24">
        <v>1210</v>
      </c>
      <c r="F821" s="17" t="s">
        <v>358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560000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9520</v>
      </c>
      <c r="B822" s="17" t="s">
        <v>9520</v>
      </c>
      <c r="C822" s="17" t="s">
        <v>9521</v>
      </c>
      <c r="D822" s="17" t="s">
        <v>21</v>
      </c>
      <c r="E822" s="24">
        <v>1210</v>
      </c>
      <c r="F822" s="17" t="s">
        <v>360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620000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9522</v>
      </c>
      <c r="B823" s="17" t="s">
        <v>9522</v>
      </c>
      <c r="C823" s="17" t="s">
        <v>9523</v>
      </c>
      <c r="D823" s="17" t="s">
        <v>21</v>
      </c>
      <c r="E823" s="24">
        <v>1210</v>
      </c>
      <c r="F823" s="17" t="s">
        <v>362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680000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9524</v>
      </c>
      <c r="B824" s="17" t="s">
        <v>9524</v>
      </c>
      <c r="C824" s="17" t="s">
        <v>9525</v>
      </c>
      <c r="D824" s="17" t="s">
        <v>21</v>
      </c>
      <c r="E824" s="24">
        <v>1210</v>
      </c>
      <c r="F824" s="17" t="s">
        <v>364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750000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9526</v>
      </c>
      <c r="B825" s="17" t="s">
        <v>9526</v>
      </c>
      <c r="C825" s="17" t="s">
        <v>9527</v>
      </c>
      <c r="D825" s="17" t="s">
        <v>21</v>
      </c>
      <c r="E825" s="24">
        <v>1210</v>
      </c>
      <c r="F825" s="17" t="s">
        <v>366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820000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9528</v>
      </c>
      <c r="B826" s="17" t="s">
        <v>9528</v>
      </c>
      <c r="C826" s="17" t="s">
        <v>9529</v>
      </c>
      <c r="D826" s="17" t="s">
        <v>21</v>
      </c>
      <c r="E826" s="24">
        <v>1210</v>
      </c>
      <c r="F826" s="17" t="s">
        <v>368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910000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9530</v>
      </c>
      <c r="B827" s="17" t="s">
        <v>9530</v>
      </c>
      <c r="C827" s="17" t="s">
        <v>9531</v>
      </c>
      <c r="D827" s="17" t="s">
        <v>21</v>
      </c>
      <c r="E827" s="24">
        <v>1210</v>
      </c>
      <c r="F827" s="17" t="s">
        <v>370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1000000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9532</v>
      </c>
      <c r="B828" s="17" t="s">
        <v>9532</v>
      </c>
      <c r="C828" s="17" t="s">
        <v>9533</v>
      </c>
      <c r="D828" s="17" t="s">
        <v>21</v>
      </c>
      <c r="E828" s="24">
        <v>1210</v>
      </c>
      <c r="F828" s="17" t="s">
        <v>372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1100000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9534</v>
      </c>
      <c r="B829" s="17" t="s">
        <v>9534</v>
      </c>
      <c r="C829" s="17" t="s">
        <v>9535</v>
      </c>
      <c r="D829" s="17" t="s">
        <v>21</v>
      </c>
      <c r="E829" s="24">
        <v>1210</v>
      </c>
      <c r="F829" s="17" t="s">
        <v>374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1200000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9536</v>
      </c>
      <c r="B830" s="17" t="s">
        <v>9536</v>
      </c>
      <c r="C830" s="17" t="s">
        <v>9537</v>
      </c>
      <c r="D830" s="17" t="s">
        <v>21</v>
      </c>
      <c r="E830" s="24">
        <v>1210</v>
      </c>
      <c r="F830" s="17" t="s">
        <v>376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1300000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9538</v>
      </c>
      <c r="B831" s="17" t="s">
        <v>9538</v>
      </c>
      <c r="C831" s="17" t="s">
        <v>9539</v>
      </c>
      <c r="D831" s="17" t="s">
        <v>21</v>
      </c>
      <c r="E831" s="24">
        <v>1210</v>
      </c>
      <c r="F831" s="17" t="s">
        <v>378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1500000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9540</v>
      </c>
      <c r="B832" s="17" t="s">
        <v>9540</v>
      </c>
      <c r="C832" s="17" t="s">
        <v>9541</v>
      </c>
      <c r="D832" s="17" t="s">
        <v>21</v>
      </c>
      <c r="E832" s="24">
        <v>1210</v>
      </c>
      <c r="F832" s="17" t="s">
        <v>380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1600000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9542</v>
      </c>
      <c r="B833" s="17" t="s">
        <v>9542</v>
      </c>
      <c r="C833" s="17" t="s">
        <v>9543</v>
      </c>
      <c r="D833" s="17" t="s">
        <v>21</v>
      </c>
      <c r="E833" s="24">
        <v>1210</v>
      </c>
      <c r="F833" s="17" t="s">
        <v>382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1800000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9544</v>
      </c>
      <c r="B834" s="17" t="s">
        <v>9544</v>
      </c>
      <c r="C834" s="17" t="s">
        <v>9545</v>
      </c>
      <c r="D834" s="17" t="s">
        <v>21</v>
      </c>
      <c r="E834" s="24">
        <v>1210</v>
      </c>
      <c r="F834" s="17" t="s">
        <v>384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2000000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9546</v>
      </c>
      <c r="B835" s="17" t="s">
        <v>9546</v>
      </c>
      <c r="C835" s="17" t="s">
        <v>9547</v>
      </c>
      <c r="D835" s="17" t="s">
        <v>21</v>
      </c>
      <c r="E835" s="24">
        <v>1210</v>
      </c>
      <c r="F835" s="17" t="s">
        <v>386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2200000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9548</v>
      </c>
      <c r="B836" s="17" t="s">
        <v>9548</v>
      </c>
      <c r="C836" s="17" t="s">
        <v>9549</v>
      </c>
      <c r="D836" s="17" t="s">
        <v>21</v>
      </c>
      <c r="E836" s="24">
        <v>1210</v>
      </c>
      <c r="F836" s="17" t="s">
        <v>388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2400000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9550</v>
      </c>
      <c r="B837" s="17" t="s">
        <v>9550</v>
      </c>
      <c r="C837" s="17" t="s">
        <v>9551</v>
      </c>
      <c r="D837" s="17" t="s">
        <v>21</v>
      </c>
      <c r="E837" s="24">
        <v>1210</v>
      </c>
      <c r="F837" s="17" t="s">
        <v>390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2700000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9552</v>
      </c>
      <c r="B838" s="17" t="s">
        <v>9552</v>
      </c>
      <c r="C838" s="17" t="s">
        <v>9553</v>
      </c>
      <c r="D838" s="17" t="s">
        <v>21</v>
      </c>
      <c r="E838" s="24">
        <v>1210</v>
      </c>
      <c r="F838" s="17" t="s">
        <v>392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3000000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9554</v>
      </c>
      <c r="B839" s="17" t="s">
        <v>9554</v>
      </c>
      <c r="C839" s="17" t="s">
        <v>9555</v>
      </c>
      <c r="D839" s="17" t="s">
        <v>21</v>
      </c>
      <c r="E839" s="24">
        <v>1210</v>
      </c>
      <c r="F839" s="17" t="s">
        <v>394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3300000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9556</v>
      </c>
      <c r="B840" s="17" t="s">
        <v>9556</v>
      </c>
      <c r="C840" s="17" t="s">
        <v>9557</v>
      </c>
      <c r="D840" s="17" t="s">
        <v>21</v>
      </c>
      <c r="E840" s="24">
        <v>1210</v>
      </c>
      <c r="F840" s="17" t="s">
        <v>396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3600000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9558</v>
      </c>
      <c r="B841" s="17" t="s">
        <v>9558</v>
      </c>
      <c r="C841" s="17" t="s">
        <v>9559</v>
      </c>
      <c r="D841" s="17" t="s">
        <v>21</v>
      </c>
      <c r="E841" s="24">
        <v>1210</v>
      </c>
      <c r="F841" s="17" t="s">
        <v>398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3900000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9560</v>
      </c>
      <c r="B842" s="17" t="s">
        <v>9560</v>
      </c>
      <c r="C842" s="17" t="s">
        <v>9561</v>
      </c>
      <c r="D842" s="17" t="s">
        <v>21</v>
      </c>
      <c r="E842" s="24">
        <v>1210</v>
      </c>
      <c r="F842" s="17" t="s">
        <v>400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4300000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9562</v>
      </c>
      <c r="B843" s="17" t="s">
        <v>9562</v>
      </c>
      <c r="C843" s="17" t="s">
        <v>9563</v>
      </c>
      <c r="D843" s="17" t="s">
        <v>21</v>
      </c>
      <c r="E843" s="24">
        <v>1210</v>
      </c>
      <c r="F843" s="17" t="s">
        <v>402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4700000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9564</v>
      </c>
      <c r="B844" s="17" t="s">
        <v>9564</v>
      </c>
      <c r="C844" s="17" t="s">
        <v>9565</v>
      </c>
      <c r="D844" s="17" t="s">
        <v>21</v>
      </c>
      <c r="E844" s="24">
        <v>1210</v>
      </c>
      <c r="F844" s="17" t="s">
        <v>404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5100000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9566</v>
      </c>
      <c r="B845" s="17" t="s">
        <v>9566</v>
      </c>
      <c r="C845" s="17" t="s">
        <v>9567</v>
      </c>
      <c r="D845" s="17" t="s">
        <v>21</v>
      </c>
      <c r="E845" s="24">
        <v>1210</v>
      </c>
      <c r="F845" s="17" t="s">
        <v>406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5600000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9568</v>
      </c>
      <c r="B846" s="17" t="s">
        <v>9568</v>
      </c>
      <c r="C846" s="17" t="s">
        <v>9569</v>
      </c>
      <c r="D846" s="17" t="s">
        <v>21</v>
      </c>
      <c r="E846" s="24">
        <v>1210</v>
      </c>
      <c r="F846" s="17" t="s">
        <v>408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6200000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9570</v>
      </c>
      <c r="B847" s="17" t="s">
        <v>9570</v>
      </c>
      <c r="C847" s="17" t="s">
        <v>9571</v>
      </c>
      <c r="D847" s="17" t="s">
        <v>21</v>
      </c>
      <c r="E847" s="24">
        <v>1210</v>
      </c>
      <c r="F847" s="17" t="s">
        <v>410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6800000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9572</v>
      </c>
      <c r="B848" s="17" t="s">
        <v>9572</v>
      </c>
      <c r="C848" s="17" t="s">
        <v>9573</v>
      </c>
      <c r="D848" s="17" t="s">
        <v>21</v>
      </c>
      <c r="E848" s="24">
        <v>1210</v>
      </c>
      <c r="F848" s="17" t="s">
        <v>412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7500000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9574</v>
      </c>
      <c r="B849" s="17" t="s">
        <v>9574</v>
      </c>
      <c r="C849" s="17" t="s">
        <v>9575</v>
      </c>
      <c r="D849" s="17" t="s">
        <v>21</v>
      </c>
      <c r="E849" s="24">
        <v>1210</v>
      </c>
      <c r="F849" s="17" t="s">
        <v>414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8200000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9576</v>
      </c>
      <c r="B850" s="17" t="s">
        <v>9576</v>
      </c>
      <c r="C850" s="17" t="s">
        <v>9577</v>
      </c>
      <c r="D850" s="17" t="s">
        <v>21</v>
      </c>
      <c r="E850" s="24">
        <v>1210</v>
      </c>
      <c r="F850" s="17" t="s">
        <v>416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9100000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9578</v>
      </c>
      <c r="B851" s="17" t="s">
        <v>9578</v>
      </c>
      <c r="C851" s="17" t="s">
        <v>9579</v>
      </c>
      <c r="D851" s="17" t="s">
        <v>21</v>
      </c>
      <c r="E851" s="24">
        <v>1210</v>
      </c>
      <c r="F851" s="17" t="s">
        <v>418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10000000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6" t="s">
        <v>10258</v>
      </c>
      <c r="B852" s="16" t="s">
        <v>10258</v>
      </c>
      <c r="C852" s="16" t="s">
        <v>10259</v>
      </c>
      <c r="D852" s="16" t="s">
        <v>21</v>
      </c>
      <c r="E852" s="16">
        <v>1218</v>
      </c>
      <c r="F852" s="16" t="s">
        <v>23</v>
      </c>
      <c r="G852" s="17" t="str">
        <f>Config!$B$3</f>
        <v>SCH/R_IEC.SchLib</v>
      </c>
      <c r="H852" s="16" t="s">
        <v>420</v>
      </c>
      <c r="I852" s="18" t="s">
        <v>462</v>
      </c>
      <c r="J852" s="41"/>
      <c r="K852" s="19">
        <v>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10260</v>
      </c>
      <c r="B853" s="17" t="s">
        <v>10260</v>
      </c>
      <c r="C853" s="17" t="s">
        <v>10261</v>
      </c>
      <c r="D853" s="17" t="s">
        <v>21</v>
      </c>
      <c r="E853" s="24">
        <v>1218</v>
      </c>
      <c r="F853" s="17" t="s">
        <v>30</v>
      </c>
      <c r="G853" s="17" t="str">
        <f>Config!$B$3</f>
        <v>SCH/R_IEC.SchLib</v>
      </c>
      <c r="H853" s="17" t="s">
        <v>420</v>
      </c>
      <c r="I853" s="17" t="s">
        <v>462</v>
      </c>
      <c r="J853" s="41"/>
      <c r="K853" s="17">
        <v>1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10262</v>
      </c>
      <c r="B854" s="17" t="s">
        <v>10262</v>
      </c>
      <c r="C854" s="17" t="s">
        <v>10263</v>
      </c>
      <c r="D854" s="17" t="s">
        <v>21</v>
      </c>
      <c r="E854" s="24">
        <v>1218</v>
      </c>
      <c r="F854" s="17" t="s">
        <v>1044</v>
      </c>
      <c r="G854" s="17" t="str">
        <f>Config!$B$3</f>
        <v>SCH/R_IEC.SchLib</v>
      </c>
      <c r="H854" s="17" t="s">
        <v>420</v>
      </c>
      <c r="I854" s="17" t="s">
        <v>462</v>
      </c>
      <c r="J854" s="41"/>
      <c r="K854" s="17">
        <v>1.1000000000000001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7" t="s">
        <v>10264</v>
      </c>
      <c r="B855" s="17" t="s">
        <v>10264</v>
      </c>
      <c r="C855" s="17" t="s">
        <v>10265</v>
      </c>
      <c r="D855" s="17" t="s">
        <v>21</v>
      </c>
      <c r="E855" s="24">
        <v>1218</v>
      </c>
      <c r="F855" s="17" t="s">
        <v>32</v>
      </c>
      <c r="G855" s="17" t="str">
        <f>Config!$B$3</f>
        <v>SCH/R_IEC.SchLib</v>
      </c>
      <c r="H855" s="17" t="s">
        <v>420</v>
      </c>
      <c r="I855" s="17" t="s">
        <v>462</v>
      </c>
      <c r="J855" s="41"/>
      <c r="K855" s="17">
        <v>1.2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10266</v>
      </c>
      <c r="B856" s="17" t="s">
        <v>10266</v>
      </c>
      <c r="C856" s="17" t="s">
        <v>10267</v>
      </c>
      <c r="D856" s="17" t="s">
        <v>21</v>
      </c>
      <c r="E856" s="24">
        <v>1218</v>
      </c>
      <c r="F856" s="17" t="s">
        <v>1054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1.3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10268</v>
      </c>
      <c r="B857" s="17" t="s">
        <v>10268</v>
      </c>
      <c r="C857" s="17" t="s">
        <v>10269</v>
      </c>
      <c r="D857" s="17" t="s">
        <v>21</v>
      </c>
      <c r="E857" s="24">
        <v>1218</v>
      </c>
      <c r="F857" s="17" t="s">
        <v>34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1.5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10270</v>
      </c>
      <c r="B858" s="17" t="s">
        <v>10270</v>
      </c>
      <c r="C858" s="17" t="s">
        <v>10271</v>
      </c>
      <c r="D858" s="17" t="s">
        <v>21</v>
      </c>
      <c r="E858" s="24">
        <v>1218</v>
      </c>
      <c r="F858" s="17" t="s">
        <v>1064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1.6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10272</v>
      </c>
      <c r="B859" s="17" t="s">
        <v>10272</v>
      </c>
      <c r="C859" s="17" t="s">
        <v>10273</v>
      </c>
      <c r="D859" s="17" t="s">
        <v>21</v>
      </c>
      <c r="E859" s="24">
        <v>1218</v>
      </c>
      <c r="F859" s="17" t="s">
        <v>36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1.8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10274</v>
      </c>
      <c r="B860" s="17" t="s">
        <v>10274</v>
      </c>
      <c r="C860" s="17" t="s">
        <v>10275</v>
      </c>
      <c r="D860" s="17" t="s">
        <v>21</v>
      </c>
      <c r="E860" s="24">
        <v>1218</v>
      </c>
      <c r="F860" s="17" t="s">
        <v>1072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2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10276</v>
      </c>
      <c r="B861" s="17" t="s">
        <v>10276</v>
      </c>
      <c r="C861" s="17" t="s">
        <v>10277</v>
      </c>
      <c r="D861" s="17" t="s">
        <v>21</v>
      </c>
      <c r="E861" s="24">
        <v>1218</v>
      </c>
      <c r="F861" s="17" t="s">
        <v>38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2.2000000000000002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10278</v>
      </c>
      <c r="B862" s="17" t="s">
        <v>10278</v>
      </c>
      <c r="C862" s="17" t="s">
        <v>10279</v>
      </c>
      <c r="D862" s="17" t="s">
        <v>21</v>
      </c>
      <c r="E862" s="24">
        <v>1218</v>
      </c>
      <c r="F862" s="17" t="s">
        <v>1082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2.4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10280</v>
      </c>
      <c r="B863" s="17" t="s">
        <v>10280</v>
      </c>
      <c r="C863" s="17" t="s">
        <v>10281</v>
      </c>
      <c r="D863" s="17" t="s">
        <v>21</v>
      </c>
      <c r="E863" s="24">
        <v>1218</v>
      </c>
      <c r="F863" s="17" t="s">
        <v>40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2.7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10282</v>
      </c>
      <c r="B864" s="17" t="s">
        <v>10282</v>
      </c>
      <c r="C864" s="17" t="s">
        <v>10283</v>
      </c>
      <c r="D864" s="17" t="s">
        <v>21</v>
      </c>
      <c r="E864" s="24">
        <v>1218</v>
      </c>
      <c r="F864" s="17" t="s">
        <v>1090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3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10284</v>
      </c>
      <c r="B865" s="17" t="s">
        <v>10284</v>
      </c>
      <c r="C865" s="17" t="s">
        <v>10285</v>
      </c>
      <c r="D865" s="17" t="s">
        <v>21</v>
      </c>
      <c r="E865" s="24">
        <v>1218</v>
      </c>
      <c r="F865" s="17" t="s">
        <v>42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3.3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10286</v>
      </c>
      <c r="B866" s="17" t="s">
        <v>10286</v>
      </c>
      <c r="C866" s="17" t="s">
        <v>10287</v>
      </c>
      <c r="D866" s="17" t="s">
        <v>21</v>
      </c>
      <c r="E866" s="24">
        <v>1218</v>
      </c>
      <c r="F866" s="17" t="s">
        <v>1100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3.6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10288</v>
      </c>
      <c r="B867" s="17" t="s">
        <v>10288</v>
      </c>
      <c r="C867" s="17" t="s">
        <v>10289</v>
      </c>
      <c r="D867" s="17" t="s">
        <v>21</v>
      </c>
      <c r="E867" s="24">
        <v>1218</v>
      </c>
      <c r="F867" s="17" t="s">
        <v>44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3.9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10290</v>
      </c>
      <c r="B868" s="17" t="s">
        <v>10290</v>
      </c>
      <c r="C868" s="17" t="s">
        <v>10291</v>
      </c>
      <c r="D868" s="17" t="s">
        <v>21</v>
      </c>
      <c r="E868" s="24">
        <v>1218</v>
      </c>
      <c r="F868" s="17" t="s">
        <v>1108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4.3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10292</v>
      </c>
      <c r="B869" s="17" t="s">
        <v>10292</v>
      </c>
      <c r="C869" s="17" t="s">
        <v>10293</v>
      </c>
      <c r="D869" s="17" t="s">
        <v>21</v>
      </c>
      <c r="E869" s="24">
        <v>1218</v>
      </c>
      <c r="F869" s="17" t="s">
        <v>46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4.7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10294</v>
      </c>
      <c r="B870" s="17" t="s">
        <v>10294</v>
      </c>
      <c r="C870" s="17" t="s">
        <v>10295</v>
      </c>
      <c r="D870" s="17" t="s">
        <v>21</v>
      </c>
      <c r="E870" s="24">
        <v>1218</v>
      </c>
      <c r="F870" s="17" t="s">
        <v>1118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5.0999999999999996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10296</v>
      </c>
      <c r="B871" s="17" t="s">
        <v>10296</v>
      </c>
      <c r="C871" s="17" t="s">
        <v>10297</v>
      </c>
      <c r="D871" s="17" t="s">
        <v>21</v>
      </c>
      <c r="E871" s="24">
        <v>1218</v>
      </c>
      <c r="F871" s="17" t="s">
        <v>48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5.6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10298</v>
      </c>
      <c r="B872" s="17" t="s">
        <v>10298</v>
      </c>
      <c r="C872" s="17" t="s">
        <v>10299</v>
      </c>
      <c r="D872" s="17" t="s">
        <v>21</v>
      </c>
      <c r="E872" s="24">
        <v>1218</v>
      </c>
      <c r="F872" s="17" t="s">
        <v>1130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6.2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10300</v>
      </c>
      <c r="B873" s="17" t="s">
        <v>10300</v>
      </c>
      <c r="C873" s="17" t="s">
        <v>10301</v>
      </c>
      <c r="D873" s="17" t="s">
        <v>21</v>
      </c>
      <c r="E873" s="24">
        <v>1218</v>
      </c>
      <c r="F873" s="17" t="s">
        <v>50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6.8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10302</v>
      </c>
      <c r="B874" s="17" t="s">
        <v>10302</v>
      </c>
      <c r="C874" s="17" t="s">
        <v>10303</v>
      </c>
      <c r="D874" s="17" t="s">
        <v>21</v>
      </c>
      <c r="E874" s="24">
        <v>1218</v>
      </c>
      <c r="F874" s="17" t="s">
        <v>1140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7.5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10304</v>
      </c>
      <c r="B875" s="17" t="s">
        <v>10304</v>
      </c>
      <c r="C875" s="17" t="s">
        <v>10305</v>
      </c>
      <c r="D875" s="17" t="s">
        <v>21</v>
      </c>
      <c r="E875" s="24">
        <v>1218</v>
      </c>
      <c r="F875" s="17" t="s">
        <v>52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8.1999999999999993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10306</v>
      </c>
      <c r="B876" s="17" t="s">
        <v>10306</v>
      </c>
      <c r="C876" s="17" t="s">
        <v>10307</v>
      </c>
      <c r="D876" s="17" t="s">
        <v>21</v>
      </c>
      <c r="E876" s="24">
        <v>1218</v>
      </c>
      <c r="F876" s="17" t="s">
        <v>1150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9.1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10308</v>
      </c>
      <c r="B877" s="17" t="s">
        <v>10308</v>
      </c>
      <c r="C877" s="17" t="s">
        <v>10309</v>
      </c>
      <c r="D877" s="17" t="s">
        <v>21</v>
      </c>
      <c r="E877" s="24">
        <v>1218</v>
      </c>
      <c r="F877" s="17" t="s">
        <v>54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21">
        <v>10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10310</v>
      </c>
      <c r="B878" s="17" t="s">
        <v>10310</v>
      </c>
      <c r="C878" s="17" t="s">
        <v>10311</v>
      </c>
      <c r="D878" s="17" t="s">
        <v>21</v>
      </c>
      <c r="E878" s="24">
        <v>1218</v>
      </c>
      <c r="F878" s="17" t="s">
        <v>58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21">
        <v>11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10312</v>
      </c>
      <c r="B879" s="17" t="s">
        <v>10312</v>
      </c>
      <c r="C879" s="17" t="s">
        <v>10313</v>
      </c>
      <c r="D879" s="17" t="s">
        <v>21</v>
      </c>
      <c r="E879" s="24">
        <v>1218</v>
      </c>
      <c r="F879" s="17" t="s">
        <v>60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21">
        <v>12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10314</v>
      </c>
      <c r="B880" s="17" t="s">
        <v>10314</v>
      </c>
      <c r="C880" s="17" t="s">
        <v>10315</v>
      </c>
      <c r="D880" s="17" t="s">
        <v>21</v>
      </c>
      <c r="E880" s="24">
        <v>1218</v>
      </c>
      <c r="F880" s="17" t="s">
        <v>62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13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10316</v>
      </c>
      <c r="B881" s="17" t="s">
        <v>10316</v>
      </c>
      <c r="C881" s="17" t="s">
        <v>10317</v>
      </c>
      <c r="D881" s="17" t="s">
        <v>21</v>
      </c>
      <c r="E881" s="24">
        <v>1218</v>
      </c>
      <c r="F881" s="17" t="s">
        <v>64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15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10318</v>
      </c>
      <c r="B882" s="17" t="s">
        <v>10318</v>
      </c>
      <c r="C882" s="17" t="s">
        <v>10319</v>
      </c>
      <c r="D882" s="17" t="s">
        <v>21</v>
      </c>
      <c r="E882" s="24">
        <v>1218</v>
      </c>
      <c r="F882" s="17" t="s">
        <v>66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16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10320</v>
      </c>
      <c r="B883" s="17" t="s">
        <v>10320</v>
      </c>
      <c r="C883" s="17" t="s">
        <v>10321</v>
      </c>
      <c r="D883" s="17" t="s">
        <v>21</v>
      </c>
      <c r="E883" s="24">
        <v>1218</v>
      </c>
      <c r="F883" s="17" t="s">
        <v>68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18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10322</v>
      </c>
      <c r="B884" s="17" t="s">
        <v>10322</v>
      </c>
      <c r="C884" s="17" t="s">
        <v>10323</v>
      </c>
      <c r="D884" s="17" t="s">
        <v>21</v>
      </c>
      <c r="E884" s="24">
        <v>1218</v>
      </c>
      <c r="F884" s="17" t="s">
        <v>70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20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10324</v>
      </c>
      <c r="B885" s="17" t="s">
        <v>10324</v>
      </c>
      <c r="C885" s="17" t="s">
        <v>10325</v>
      </c>
      <c r="D885" s="17" t="s">
        <v>21</v>
      </c>
      <c r="E885" s="24">
        <v>1218</v>
      </c>
      <c r="F885" s="17" t="s">
        <v>72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22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10326</v>
      </c>
      <c r="B886" s="17" t="s">
        <v>10326</v>
      </c>
      <c r="C886" s="17" t="s">
        <v>10327</v>
      </c>
      <c r="D886" s="17" t="s">
        <v>21</v>
      </c>
      <c r="E886" s="24">
        <v>1218</v>
      </c>
      <c r="F886" s="17" t="s">
        <v>76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24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10328</v>
      </c>
      <c r="B887" s="17" t="s">
        <v>10328</v>
      </c>
      <c r="C887" s="17" t="s">
        <v>10329</v>
      </c>
      <c r="D887" s="17" t="s">
        <v>21</v>
      </c>
      <c r="E887" s="24">
        <v>1218</v>
      </c>
      <c r="F887" s="17" t="s">
        <v>78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27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10330</v>
      </c>
      <c r="B888" s="17" t="s">
        <v>10330</v>
      </c>
      <c r="C888" s="17" t="s">
        <v>10331</v>
      </c>
      <c r="D888" s="17" t="s">
        <v>21</v>
      </c>
      <c r="E888" s="24">
        <v>1218</v>
      </c>
      <c r="F888" s="17" t="s">
        <v>80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30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10332</v>
      </c>
      <c r="B889" s="17" t="s">
        <v>10332</v>
      </c>
      <c r="C889" s="17" t="s">
        <v>10333</v>
      </c>
      <c r="D889" s="17" t="s">
        <v>21</v>
      </c>
      <c r="E889" s="24">
        <v>1218</v>
      </c>
      <c r="F889" s="17" t="s">
        <v>82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33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10334</v>
      </c>
      <c r="B890" s="17" t="s">
        <v>10334</v>
      </c>
      <c r="C890" s="17" t="s">
        <v>10335</v>
      </c>
      <c r="D890" s="17" t="s">
        <v>21</v>
      </c>
      <c r="E890" s="24">
        <v>1218</v>
      </c>
      <c r="F890" s="17" t="s">
        <v>84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36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10336</v>
      </c>
      <c r="B891" s="17" t="s">
        <v>10336</v>
      </c>
      <c r="C891" s="17" t="s">
        <v>10337</v>
      </c>
      <c r="D891" s="17" t="s">
        <v>21</v>
      </c>
      <c r="E891" s="24">
        <v>1218</v>
      </c>
      <c r="F891" s="17" t="s">
        <v>86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39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10338</v>
      </c>
      <c r="B892" s="17" t="s">
        <v>10338</v>
      </c>
      <c r="C892" s="17" t="s">
        <v>10339</v>
      </c>
      <c r="D892" s="17" t="s">
        <v>21</v>
      </c>
      <c r="E892" s="24">
        <v>1218</v>
      </c>
      <c r="F892" s="17" t="s">
        <v>88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43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10340</v>
      </c>
      <c r="B893" s="17" t="s">
        <v>10340</v>
      </c>
      <c r="C893" s="17" t="s">
        <v>10341</v>
      </c>
      <c r="D893" s="17" t="s">
        <v>21</v>
      </c>
      <c r="E893" s="24">
        <v>1218</v>
      </c>
      <c r="F893" s="17" t="s">
        <v>90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47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10342</v>
      </c>
      <c r="B894" s="17" t="s">
        <v>10342</v>
      </c>
      <c r="C894" s="17" t="s">
        <v>10343</v>
      </c>
      <c r="D894" s="17" t="s">
        <v>21</v>
      </c>
      <c r="E894" s="24">
        <v>1218</v>
      </c>
      <c r="F894" s="17" t="s">
        <v>92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51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10344</v>
      </c>
      <c r="B895" s="17" t="s">
        <v>10344</v>
      </c>
      <c r="C895" s="17" t="s">
        <v>10345</v>
      </c>
      <c r="D895" s="17" t="s">
        <v>21</v>
      </c>
      <c r="E895" s="24">
        <v>1218</v>
      </c>
      <c r="F895" s="17" t="s">
        <v>94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56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10346</v>
      </c>
      <c r="B896" s="17" t="s">
        <v>10346</v>
      </c>
      <c r="C896" s="17" t="s">
        <v>10347</v>
      </c>
      <c r="D896" s="17" t="s">
        <v>21</v>
      </c>
      <c r="E896" s="24">
        <v>1218</v>
      </c>
      <c r="F896" s="17" t="s">
        <v>96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62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10348</v>
      </c>
      <c r="B897" s="17" t="s">
        <v>10348</v>
      </c>
      <c r="C897" s="17" t="s">
        <v>10349</v>
      </c>
      <c r="D897" s="17" t="s">
        <v>21</v>
      </c>
      <c r="E897" s="24">
        <v>1218</v>
      </c>
      <c r="F897" s="17" t="s">
        <v>98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68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10350</v>
      </c>
      <c r="B898" s="17" t="s">
        <v>10350</v>
      </c>
      <c r="C898" s="17" t="s">
        <v>10351</v>
      </c>
      <c r="D898" s="17" t="s">
        <v>21</v>
      </c>
      <c r="E898" s="24">
        <v>1218</v>
      </c>
      <c r="F898" s="17" t="s">
        <v>100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75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10352</v>
      </c>
      <c r="B899" s="17" t="s">
        <v>10352</v>
      </c>
      <c r="C899" s="17" t="s">
        <v>10353</v>
      </c>
      <c r="D899" s="17" t="s">
        <v>21</v>
      </c>
      <c r="E899" s="24">
        <v>1218</v>
      </c>
      <c r="F899" s="17" t="s">
        <v>102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82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10354</v>
      </c>
      <c r="B900" s="17" t="s">
        <v>10354</v>
      </c>
      <c r="C900" s="17" t="s">
        <v>10355</v>
      </c>
      <c r="D900" s="17" t="s">
        <v>21</v>
      </c>
      <c r="E900" s="24">
        <v>1218</v>
      </c>
      <c r="F900" s="17" t="s">
        <v>104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91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10356</v>
      </c>
      <c r="B901" s="17" t="s">
        <v>10356</v>
      </c>
      <c r="C901" s="17" t="s">
        <v>10357</v>
      </c>
      <c r="D901" s="17" t="s">
        <v>21</v>
      </c>
      <c r="E901" s="24">
        <v>1218</v>
      </c>
      <c r="F901" s="17" t="s">
        <v>106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100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10358</v>
      </c>
      <c r="B902" s="17" t="s">
        <v>10358</v>
      </c>
      <c r="C902" s="17" t="s">
        <v>10359</v>
      </c>
      <c r="D902" s="17" t="s">
        <v>21</v>
      </c>
      <c r="E902" s="24">
        <v>1218</v>
      </c>
      <c r="F902" s="17" t="s">
        <v>110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110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10360</v>
      </c>
      <c r="B903" s="17" t="s">
        <v>10360</v>
      </c>
      <c r="C903" s="17" t="s">
        <v>10361</v>
      </c>
      <c r="D903" s="17" t="s">
        <v>21</v>
      </c>
      <c r="E903" s="24">
        <v>1218</v>
      </c>
      <c r="F903" s="17" t="s">
        <v>112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120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10362</v>
      </c>
      <c r="B904" s="17" t="s">
        <v>10362</v>
      </c>
      <c r="C904" s="17" t="s">
        <v>10363</v>
      </c>
      <c r="D904" s="17" t="s">
        <v>21</v>
      </c>
      <c r="E904" s="24">
        <v>1218</v>
      </c>
      <c r="F904" s="17" t="s">
        <v>114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130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10364</v>
      </c>
      <c r="B905" s="17" t="s">
        <v>10364</v>
      </c>
      <c r="C905" s="17" t="s">
        <v>10365</v>
      </c>
      <c r="D905" s="17" t="s">
        <v>21</v>
      </c>
      <c r="E905" s="24">
        <v>1218</v>
      </c>
      <c r="F905" s="17" t="s">
        <v>116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150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10366</v>
      </c>
      <c r="B906" s="17" t="s">
        <v>10366</v>
      </c>
      <c r="C906" s="17" t="s">
        <v>10367</v>
      </c>
      <c r="D906" s="17" t="s">
        <v>21</v>
      </c>
      <c r="E906" s="24">
        <v>1218</v>
      </c>
      <c r="F906" s="17" t="s">
        <v>118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160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10368</v>
      </c>
      <c r="B907" s="17" t="s">
        <v>10368</v>
      </c>
      <c r="C907" s="17" t="s">
        <v>10369</v>
      </c>
      <c r="D907" s="17" t="s">
        <v>21</v>
      </c>
      <c r="E907" s="24">
        <v>1218</v>
      </c>
      <c r="F907" s="17" t="s">
        <v>120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180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10370</v>
      </c>
      <c r="B908" s="17" t="s">
        <v>10370</v>
      </c>
      <c r="C908" s="17" t="s">
        <v>10371</v>
      </c>
      <c r="D908" s="17" t="s">
        <v>21</v>
      </c>
      <c r="E908" s="24">
        <v>1218</v>
      </c>
      <c r="F908" s="17" t="s">
        <v>124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200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10372</v>
      </c>
      <c r="B909" s="17" t="s">
        <v>10372</v>
      </c>
      <c r="C909" s="17" t="s">
        <v>10373</v>
      </c>
      <c r="D909" s="17" t="s">
        <v>21</v>
      </c>
      <c r="E909" s="24">
        <v>1218</v>
      </c>
      <c r="F909" s="17" t="s">
        <v>126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220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10374</v>
      </c>
      <c r="B910" s="17" t="s">
        <v>10374</v>
      </c>
      <c r="C910" s="17" t="s">
        <v>10375</v>
      </c>
      <c r="D910" s="17" t="s">
        <v>21</v>
      </c>
      <c r="E910" s="24">
        <v>1218</v>
      </c>
      <c r="F910" s="17" t="s">
        <v>130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240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10376</v>
      </c>
      <c r="B911" s="17" t="s">
        <v>10376</v>
      </c>
      <c r="C911" s="17" t="s">
        <v>10377</v>
      </c>
      <c r="D911" s="17" t="s">
        <v>21</v>
      </c>
      <c r="E911" s="24">
        <v>1218</v>
      </c>
      <c r="F911" s="17" t="s">
        <v>132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270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10378</v>
      </c>
      <c r="B912" s="17" t="s">
        <v>10378</v>
      </c>
      <c r="C912" s="17" t="s">
        <v>10379</v>
      </c>
      <c r="D912" s="17" t="s">
        <v>21</v>
      </c>
      <c r="E912" s="24">
        <v>1218</v>
      </c>
      <c r="F912" s="17" t="s">
        <v>134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300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10380</v>
      </c>
      <c r="B913" s="17" t="s">
        <v>10380</v>
      </c>
      <c r="C913" s="17" t="s">
        <v>10381</v>
      </c>
      <c r="D913" s="17" t="s">
        <v>21</v>
      </c>
      <c r="E913" s="24">
        <v>1218</v>
      </c>
      <c r="F913" s="17" t="s">
        <v>138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330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10382</v>
      </c>
      <c r="B914" s="17" t="s">
        <v>10382</v>
      </c>
      <c r="C914" s="17" t="s">
        <v>10383</v>
      </c>
      <c r="D914" s="17" t="s">
        <v>21</v>
      </c>
      <c r="E914" s="24">
        <v>1218</v>
      </c>
      <c r="F914" s="17" t="s">
        <v>140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360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10384</v>
      </c>
      <c r="B915" s="17" t="s">
        <v>10384</v>
      </c>
      <c r="C915" s="17" t="s">
        <v>10385</v>
      </c>
      <c r="D915" s="17" t="s">
        <v>21</v>
      </c>
      <c r="E915" s="24">
        <v>1218</v>
      </c>
      <c r="F915" s="17" t="s">
        <v>142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390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10386</v>
      </c>
      <c r="B916" s="17" t="s">
        <v>10386</v>
      </c>
      <c r="C916" s="17" t="s">
        <v>10387</v>
      </c>
      <c r="D916" s="17" t="s">
        <v>21</v>
      </c>
      <c r="E916" s="24">
        <v>1218</v>
      </c>
      <c r="F916" s="17" t="s">
        <v>144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430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10388</v>
      </c>
      <c r="B917" s="17" t="s">
        <v>10388</v>
      </c>
      <c r="C917" s="17" t="s">
        <v>10389</v>
      </c>
      <c r="D917" s="17" t="s">
        <v>21</v>
      </c>
      <c r="E917" s="24">
        <v>1218</v>
      </c>
      <c r="F917" s="17" t="s">
        <v>146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470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10390</v>
      </c>
      <c r="B918" s="17" t="s">
        <v>10390</v>
      </c>
      <c r="C918" s="17" t="s">
        <v>10391</v>
      </c>
      <c r="D918" s="17" t="s">
        <v>21</v>
      </c>
      <c r="E918" s="24">
        <v>1218</v>
      </c>
      <c r="F918" s="17" t="s">
        <v>150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510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10392</v>
      </c>
      <c r="B919" s="17" t="s">
        <v>10392</v>
      </c>
      <c r="C919" s="17" t="s">
        <v>10393</v>
      </c>
      <c r="D919" s="17" t="s">
        <v>21</v>
      </c>
      <c r="E919" s="24">
        <v>1218</v>
      </c>
      <c r="F919" s="17" t="s">
        <v>152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560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10394</v>
      </c>
      <c r="B920" s="17" t="s">
        <v>10394</v>
      </c>
      <c r="C920" s="17" t="s">
        <v>10395</v>
      </c>
      <c r="D920" s="17" t="s">
        <v>21</v>
      </c>
      <c r="E920" s="24">
        <v>1218</v>
      </c>
      <c r="F920" s="17" t="s">
        <v>154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620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10396</v>
      </c>
      <c r="B921" s="17" t="s">
        <v>10396</v>
      </c>
      <c r="C921" s="17" t="s">
        <v>10397</v>
      </c>
      <c r="D921" s="17" t="s">
        <v>21</v>
      </c>
      <c r="E921" s="24">
        <v>1218</v>
      </c>
      <c r="F921" s="17" t="s">
        <v>156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680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10398</v>
      </c>
      <c r="B922" s="17" t="s">
        <v>10398</v>
      </c>
      <c r="C922" s="17" t="s">
        <v>10399</v>
      </c>
      <c r="D922" s="17" t="s">
        <v>21</v>
      </c>
      <c r="E922" s="24">
        <v>1218</v>
      </c>
      <c r="F922" s="17" t="s">
        <v>158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750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10400</v>
      </c>
      <c r="B923" s="17" t="s">
        <v>10400</v>
      </c>
      <c r="C923" s="17" t="s">
        <v>10401</v>
      </c>
      <c r="D923" s="17" t="s">
        <v>21</v>
      </c>
      <c r="E923" s="24">
        <v>1218</v>
      </c>
      <c r="F923" s="17" t="s">
        <v>160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820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10402</v>
      </c>
      <c r="B924" s="17" t="s">
        <v>10402</v>
      </c>
      <c r="C924" s="17" t="s">
        <v>10403</v>
      </c>
      <c r="D924" s="17" t="s">
        <v>21</v>
      </c>
      <c r="E924" s="24">
        <v>1218</v>
      </c>
      <c r="F924" s="17" t="s">
        <v>162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910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10404</v>
      </c>
      <c r="B925" s="17" t="s">
        <v>10404</v>
      </c>
      <c r="C925" s="17" t="s">
        <v>10405</v>
      </c>
      <c r="D925" s="17" t="s">
        <v>21</v>
      </c>
      <c r="E925" s="24">
        <v>1218</v>
      </c>
      <c r="F925" s="17" t="s">
        <v>164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1000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10406</v>
      </c>
      <c r="B926" s="17" t="s">
        <v>10406</v>
      </c>
      <c r="C926" s="17" t="s">
        <v>10407</v>
      </c>
      <c r="D926" s="17" t="s">
        <v>21</v>
      </c>
      <c r="E926" s="24">
        <v>1218</v>
      </c>
      <c r="F926" s="17" t="s">
        <v>166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1100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10408</v>
      </c>
      <c r="B927" s="17" t="s">
        <v>10408</v>
      </c>
      <c r="C927" s="17" t="s">
        <v>10409</v>
      </c>
      <c r="D927" s="17" t="s">
        <v>21</v>
      </c>
      <c r="E927" s="24">
        <v>1218</v>
      </c>
      <c r="F927" s="17" t="s">
        <v>168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1200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10410</v>
      </c>
      <c r="B928" s="17" t="s">
        <v>10410</v>
      </c>
      <c r="C928" s="17" t="s">
        <v>10411</v>
      </c>
      <c r="D928" s="17" t="s">
        <v>21</v>
      </c>
      <c r="E928" s="24">
        <v>1218</v>
      </c>
      <c r="F928" s="17" t="s">
        <v>170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1300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10412</v>
      </c>
      <c r="B929" s="17" t="s">
        <v>10412</v>
      </c>
      <c r="C929" s="17" t="s">
        <v>10413</v>
      </c>
      <c r="D929" s="17" t="s">
        <v>21</v>
      </c>
      <c r="E929" s="24">
        <v>1218</v>
      </c>
      <c r="F929" s="17" t="s">
        <v>172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1500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10414</v>
      </c>
      <c r="B930" s="17" t="s">
        <v>10414</v>
      </c>
      <c r="C930" s="17" t="s">
        <v>10415</v>
      </c>
      <c r="D930" s="17" t="s">
        <v>21</v>
      </c>
      <c r="E930" s="24">
        <v>1218</v>
      </c>
      <c r="F930" s="17" t="s">
        <v>176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1600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10416</v>
      </c>
      <c r="B931" s="17" t="s">
        <v>10416</v>
      </c>
      <c r="C931" s="17" t="s">
        <v>10417</v>
      </c>
      <c r="D931" s="17" t="s">
        <v>21</v>
      </c>
      <c r="E931" s="24">
        <v>1218</v>
      </c>
      <c r="F931" s="17" t="s">
        <v>182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1800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10418</v>
      </c>
      <c r="B932" s="17" t="s">
        <v>10418</v>
      </c>
      <c r="C932" s="17" t="s">
        <v>10419</v>
      </c>
      <c r="D932" s="17" t="s">
        <v>21</v>
      </c>
      <c r="E932" s="24">
        <v>1218</v>
      </c>
      <c r="F932" s="17" t="s">
        <v>184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2000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10420</v>
      </c>
      <c r="B933" s="17" t="s">
        <v>10420</v>
      </c>
      <c r="C933" s="17" t="s">
        <v>10421</v>
      </c>
      <c r="D933" s="17" t="s">
        <v>21</v>
      </c>
      <c r="E933" s="24">
        <v>1218</v>
      </c>
      <c r="F933" s="17" t="s">
        <v>188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2200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10422</v>
      </c>
      <c r="B934" s="17" t="s">
        <v>10422</v>
      </c>
      <c r="C934" s="17" t="s">
        <v>10423</v>
      </c>
      <c r="D934" s="17" t="s">
        <v>21</v>
      </c>
      <c r="E934" s="24">
        <v>1218</v>
      </c>
      <c r="F934" s="17" t="s">
        <v>192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2400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10424</v>
      </c>
      <c r="B935" s="17" t="s">
        <v>10424</v>
      </c>
      <c r="C935" s="17" t="s">
        <v>10425</v>
      </c>
      <c r="D935" s="17" t="s">
        <v>21</v>
      </c>
      <c r="E935" s="24">
        <v>1218</v>
      </c>
      <c r="F935" s="17" t="s">
        <v>194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2700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10426</v>
      </c>
      <c r="B936" s="17" t="s">
        <v>10426</v>
      </c>
      <c r="C936" s="17" t="s">
        <v>10427</v>
      </c>
      <c r="D936" s="17" t="s">
        <v>21</v>
      </c>
      <c r="E936" s="24">
        <v>1218</v>
      </c>
      <c r="F936" s="17" t="s">
        <v>198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3000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10428</v>
      </c>
      <c r="B937" s="17" t="s">
        <v>10428</v>
      </c>
      <c r="C937" s="17" t="s">
        <v>10429</v>
      </c>
      <c r="D937" s="17" t="s">
        <v>21</v>
      </c>
      <c r="E937" s="24">
        <v>1218</v>
      </c>
      <c r="F937" s="17" t="s">
        <v>202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3300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10430</v>
      </c>
      <c r="B938" s="17" t="s">
        <v>10430</v>
      </c>
      <c r="C938" s="17" t="s">
        <v>10431</v>
      </c>
      <c r="D938" s="17" t="s">
        <v>21</v>
      </c>
      <c r="E938" s="24">
        <v>1218</v>
      </c>
      <c r="F938" s="17" t="s">
        <v>204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3600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10432</v>
      </c>
      <c r="B939" s="17" t="s">
        <v>10432</v>
      </c>
      <c r="C939" s="17" t="s">
        <v>10433</v>
      </c>
      <c r="D939" s="17" t="s">
        <v>21</v>
      </c>
      <c r="E939" s="24">
        <v>1218</v>
      </c>
      <c r="F939" s="17" t="s">
        <v>206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3900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10434</v>
      </c>
      <c r="B940" s="17" t="s">
        <v>10434</v>
      </c>
      <c r="C940" s="17" t="s">
        <v>10435</v>
      </c>
      <c r="D940" s="17" t="s">
        <v>21</v>
      </c>
      <c r="E940" s="24">
        <v>1218</v>
      </c>
      <c r="F940" s="17" t="s">
        <v>208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4300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10436</v>
      </c>
      <c r="B941" s="17" t="s">
        <v>10436</v>
      </c>
      <c r="C941" s="17" t="s">
        <v>10437</v>
      </c>
      <c r="D941" s="17" t="s">
        <v>21</v>
      </c>
      <c r="E941" s="24">
        <v>1218</v>
      </c>
      <c r="F941" s="17" t="s">
        <v>210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4700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10438</v>
      </c>
      <c r="B942" s="17" t="s">
        <v>10438</v>
      </c>
      <c r="C942" s="17" t="s">
        <v>10439</v>
      </c>
      <c r="D942" s="17" t="s">
        <v>21</v>
      </c>
      <c r="E942" s="24">
        <v>1218</v>
      </c>
      <c r="F942" s="17" t="s">
        <v>214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5100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10440</v>
      </c>
      <c r="B943" s="17" t="s">
        <v>10440</v>
      </c>
      <c r="C943" s="17" t="s">
        <v>10441</v>
      </c>
      <c r="D943" s="17" t="s">
        <v>21</v>
      </c>
      <c r="E943" s="24">
        <v>1218</v>
      </c>
      <c r="F943" s="17" t="s">
        <v>216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5600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10442</v>
      </c>
      <c r="B944" s="17" t="s">
        <v>10442</v>
      </c>
      <c r="C944" s="17" t="s">
        <v>10443</v>
      </c>
      <c r="D944" s="17" t="s">
        <v>21</v>
      </c>
      <c r="E944" s="24">
        <v>1218</v>
      </c>
      <c r="F944" s="17" t="s">
        <v>218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6200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10444</v>
      </c>
      <c r="B945" s="17" t="s">
        <v>10444</v>
      </c>
      <c r="C945" s="17" t="s">
        <v>10445</v>
      </c>
      <c r="D945" s="17" t="s">
        <v>21</v>
      </c>
      <c r="E945" s="24">
        <v>1218</v>
      </c>
      <c r="F945" s="17" t="s">
        <v>220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6800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10446</v>
      </c>
      <c r="B946" s="17" t="s">
        <v>10446</v>
      </c>
      <c r="C946" s="17" t="s">
        <v>10447</v>
      </c>
      <c r="D946" s="17" t="s">
        <v>21</v>
      </c>
      <c r="E946" s="24">
        <v>1218</v>
      </c>
      <c r="F946" s="17" t="s">
        <v>222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7500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10448</v>
      </c>
      <c r="B947" s="17" t="s">
        <v>10448</v>
      </c>
      <c r="C947" s="17" t="s">
        <v>10449</v>
      </c>
      <c r="D947" s="17" t="s">
        <v>21</v>
      </c>
      <c r="E947" s="24">
        <v>1218</v>
      </c>
      <c r="F947" s="17" t="s">
        <v>224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8200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10450</v>
      </c>
      <c r="B948" s="17" t="s">
        <v>10450</v>
      </c>
      <c r="C948" s="17" t="s">
        <v>10451</v>
      </c>
      <c r="D948" s="17" t="s">
        <v>21</v>
      </c>
      <c r="E948" s="24">
        <v>1218</v>
      </c>
      <c r="F948" s="17" t="s">
        <v>226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9100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10452</v>
      </c>
      <c r="B949" s="17" t="s">
        <v>10452</v>
      </c>
      <c r="C949" s="17" t="s">
        <v>10453</v>
      </c>
      <c r="D949" s="17" t="s">
        <v>21</v>
      </c>
      <c r="E949" s="24">
        <v>1218</v>
      </c>
      <c r="F949" s="17" t="s">
        <v>230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10000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10454</v>
      </c>
      <c r="B950" s="17" t="s">
        <v>10454</v>
      </c>
      <c r="C950" s="17" t="s">
        <v>10455</v>
      </c>
      <c r="D950" s="17" t="s">
        <v>21</v>
      </c>
      <c r="E950" s="24">
        <v>1218</v>
      </c>
      <c r="F950" s="17" t="s">
        <v>234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11000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10456</v>
      </c>
      <c r="B951" s="17" t="s">
        <v>10456</v>
      </c>
      <c r="C951" s="17" t="s">
        <v>10457</v>
      </c>
      <c r="D951" s="17" t="s">
        <v>21</v>
      </c>
      <c r="E951" s="24">
        <v>1218</v>
      </c>
      <c r="F951" s="17" t="s">
        <v>236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12000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10458</v>
      </c>
      <c r="B952" s="17" t="s">
        <v>10458</v>
      </c>
      <c r="C952" s="17" t="s">
        <v>10459</v>
      </c>
      <c r="D952" s="17" t="s">
        <v>21</v>
      </c>
      <c r="E952" s="24">
        <v>1218</v>
      </c>
      <c r="F952" s="17" t="s">
        <v>240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13000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10460</v>
      </c>
      <c r="B953" s="17" t="s">
        <v>10460</v>
      </c>
      <c r="C953" s="17" t="s">
        <v>10461</v>
      </c>
      <c r="D953" s="17" t="s">
        <v>21</v>
      </c>
      <c r="E953" s="24">
        <v>1218</v>
      </c>
      <c r="F953" s="17" t="s">
        <v>244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15000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10462</v>
      </c>
      <c r="B954" s="17" t="s">
        <v>10462</v>
      </c>
      <c r="C954" s="17" t="s">
        <v>10463</v>
      </c>
      <c r="D954" s="17" t="s">
        <v>21</v>
      </c>
      <c r="E954" s="24">
        <v>1218</v>
      </c>
      <c r="F954" s="17" t="s">
        <v>248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16000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10464</v>
      </c>
      <c r="B955" s="17" t="s">
        <v>10464</v>
      </c>
      <c r="C955" s="17" t="s">
        <v>10465</v>
      </c>
      <c r="D955" s="17" t="s">
        <v>21</v>
      </c>
      <c r="E955" s="24">
        <v>1218</v>
      </c>
      <c r="F955" s="17" t="s">
        <v>252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18000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10466</v>
      </c>
      <c r="B956" s="17" t="s">
        <v>10466</v>
      </c>
      <c r="C956" s="17" t="s">
        <v>10467</v>
      </c>
      <c r="D956" s="17" t="s">
        <v>21</v>
      </c>
      <c r="E956" s="24">
        <v>1218</v>
      </c>
      <c r="F956" s="17" t="s">
        <v>256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20000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10468</v>
      </c>
      <c r="B957" s="17" t="s">
        <v>10468</v>
      </c>
      <c r="C957" s="17" t="s">
        <v>10469</v>
      </c>
      <c r="D957" s="17" t="s">
        <v>21</v>
      </c>
      <c r="E957" s="24">
        <v>1218</v>
      </c>
      <c r="F957" s="17" t="s">
        <v>258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22000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10470</v>
      </c>
      <c r="B958" s="17" t="s">
        <v>10470</v>
      </c>
      <c r="C958" s="17" t="s">
        <v>10471</v>
      </c>
      <c r="D958" s="17" t="s">
        <v>21</v>
      </c>
      <c r="E958" s="24">
        <v>1218</v>
      </c>
      <c r="F958" s="17" t="s">
        <v>260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24000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10472</v>
      </c>
      <c r="B959" s="17" t="s">
        <v>10472</v>
      </c>
      <c r="C959" s="17" t="s">
        <v>10473</v>
      </c>
      <c r="D959" s="17" t="s">
        <v>21</v>
      </c>
      <c r="E959" s="24">
        <v>1218</v>
      </c>
      <c r="F959" s="17" t="s">
        <v>264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27000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10474</v>
      </c>
      <c r="B960" s="17" t="s">
        <v>10474</v>
      </c>
      <c r="C960" s="17" t="s">
        <v>10475</v>
      </c>
      <c r="D960" s="17" t="s">
        <v>21</v>
      </c>
      <c r="E960" s="24">
        <v>1218</v>
      </c>
      <c r="F960" s="17" t="s">
        <v>266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30000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10476</v>
      </c>
      <c r="B961" s="17" t="s">
        <v>10476</v>
      </c>
      <c r="C961" s="17" t="s">
        <v>10477</v>
      </c>
      <c r="D961" s="17" t="s">
        <v>21</v>
      </c>
      <c r="E961" s="24">
        <v>1218</v>
      </c>
      <c r="F961" s="17" t="s">
        <v>268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33000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10478</v>
      </c>
      <c r="B962" s="17" t="s">
        <v>10478</v>
      </c>
      <c r="C962" s="17" t="s">
        <v>10479</v>
      </c>
      <c r="D962" s="17" t="s">
        <v>21</v>
      </c>
      <c r="E962" s="24">
        <v>1218</v>
      </c>
      <c r="F962" s="17" t="s">
        <v>270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36000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10480</v>
      </c>
      <c r="B963" s="17" t="s">
        <v>10480</v>
      </c>
      <c r="C963" s="17" t="s">
        <v>10481</v>
      </c>
      <c r="D963" s="17" t="s">
        <v>21</v>
      </c>
      <c r="E963" s="24">
        <v>1218</v>
      </c>
      <c r="F963" s="17" t="s">
        <v>274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39000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10482</v>
      </c>
      <c r="B964" s="17" t="s">
        <v>10482</v>
      </c>
      <c r="C964" s="17" t="s">
        <v>10483</v>
      </c>
      <c r="D964" s="17" t="s">
        <v>21</v>
      </c>
      <c r="E964" s="24">
        <v>1218</v>
      </c>
      <c r="F964" s="17" t="s">
        <v>278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43000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10484</v>
      </c>
      <c r="B965" s="17" t="s">
        <v>10484</v>
      </c>
      <c r="C965" s="17" t="s">
        <v>10485</v>
      </c>
      <c r="D965" s="17" t="s">
        <v>21</v>
      </c>
      <c r="E965" s="24">
        <v>1218</v>
      </c>
      <c r="F965" s="17" t="s">
        <v>280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47000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10486</v>
      </c>
      <c r="B966" s="17" t="s">
        <v>10486</v>
      </c>
      <c r="C966" s="17" t="s">
        <v>10487</v>
      </c>
      <c r="D966" s="17" t="s">
        <v>21</v>
      </c>
      <c r="E966" s="24">
        <v>1218</v>
      </c>
      <c r="F966" s="17" t="s">
        <v>284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51000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10488</v>
      </c>
      <c r="B967" s="17" t="s">
        <v>10488</v>
      </c>
      <c r="C967" s="17" t="s">
        <v>10489</v>
      </c>
      <c r="D967" s="17" t="s">
        <v>21</v>
      </c>
      <c r="E967" s="24">
        <v>1218</v>
      </c>
      <c r="F967" s="17" t="s">
        <v>288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56000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10490</v>
      </c>
      <c r="B968" s="17" t="s">
        <v>10490</v>
      </c>
      <c r="C968" s="17" t="s">
        <v>10491</v>
      </c>
      <c r="D968" s="17" t="s">
        <v>21</v>
      </c>
      <c r="E968" s="24">
        <v>1218</v>
      </c>
      <c r="F968" s="17" t="s">
        <v>292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62000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10492</v>
      </c>
      <c r="B969" s="17" t="s">
        <v>10492</v>
      </c>
      <c r="C969" s="17" t="s">
        <v>10493</v>
      </c>
      <c r="D969" s="17" t="s">
        <v>21</v>
      </c>
      <c r="E969" s="24">
        <v>1218</v>
      </c>
      <c r="F969" s="17" t="s">
        <v>296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68000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10494</v>
      </c>
      <c r="B970" s="17" t="s">
        <v>10494</v>
      </c>
      <c r="C970" s="17" t="s">
        <v>10495</v>
      </c>
      <c r="D970" s="17" t="s">
        <v>21</v>
      </c>
      <c r="E970" s="24">
        <v>1218</v>
      </c>
      <c r="F970" s="17" t="s">
        <v>300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75000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10496</v>
      </c>
      <c r="B971" s="17" t="s">
        <v>10496</v>
      </c>
      <c r="C971" s="17" t="s">
        <v>10497</v>
      </c>
      <c r="D971" s="17" t="s">
        <v>21</v>
      </c>
      <c r="E971" s="24">
        <v>1218</v>
      </c>
      <c r="F971" s="17" t="s">
        <v>302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82000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10498</v>
      </c>
      <c r="B972" s="17" t="s">
        <v>10498</v>
      </c>
      <c r="C972" s="17" t="s">
        <v>10499</v>
      </c>
      <c r="D972" s="17" t="s">
        <v>21</v>
      </c>
      <c r="E972" s="24">
        <v>1218</v>
      </c>
      <c r="F972" s="17" t="s">
        <v>304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91000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10500</v>
      </c>
      <c r="B973" s="17" t="s">
        <v>10500</v>
      </c>
      <c r="C973" s="17" t="s">
        <v>10501</v>
      </c>
      <c r="D973" s="17" t="s">
        <v>21</v>
      </c>
      <c r="E973" s="24">
        <v>1218</v>
      </c>
      <c r="F973" s="17" t="s">
        <v>306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100000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10502</v>
      </c>
      <c r="B974" s="17" t="s">
        <v>10502</v>
      </c>
      <c r="C974" s="17" t="s">
        <v>10503</v>
      </c>
      <c r="D974" s="17" t="s">
        <v>21</v>
      </c>
      <c r="E974" s="24">
        <v>1218</v>
      </c>
      <c r="F974" s="17" t="s">
        <v>310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110000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10504</v>
      </c>
      <c r="B975" s="17" t="s">
        <v>10504</v>
      </c>
      <c r="C975" s="17" t="s">
        <v>10505</v>
      </c>
      <c r="D975" s="17" t="s">
        <v>21</v>
      </c>
      <c r="E975" s="24">
        <v>1218</v>
      </c>
      <c r="F975" s="17" t="s">
        <v>314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120000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10506</v>
      </c>
      <c r="B976" s="17" t="s">
        <v>10506</v>
      </c>
      <c r="C976" s="17" t="s">
        <v>10507</v>
      </c>
      <c r="D976" s="17" t="s">
        <v>21</v>
      </c>
      <c r="E976" s="24">
        <v>1218</v>
      </c>
      <c r="F976" s="17" t="s">
        <v>318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130000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10508</v>
      </c>
      <c r="B977" s="17" t="s">
        <v>10508</v>
      </c>
      <c r="C977" s="17" t="s">
        <v>10509</v>
      </c>
      <c r="D977" s="17" t="s">
        <v>21</v>
      </c>
      <c r="E977" s="24">
        <v>1218</v>
      </c>
      <c r="F977" s="17" t="s">
        <v>322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150000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10510</v>
      </c>
      <c r="B978" s="17" t="s">
        <v>10510</v>
      </c>
      <c r="C978" s="17" t="s">
        <v>10511</v>
      </c>
      <c r="D978" s="17" t="s">
        <v>21</v>
      </c>
      <c r="E978" s="24">
        <v>1218</v>
      </c>
      <c r="F978" s="17" t="s">
        <v>324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160000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10512</v>
      </c>
      <c r="B979" s="17" t="s">
        <v>10512</v>
      </c>
      <c r="C979" s="17" t="s">
        <v>10513</v>
      </c>
      <c r="D979" s="17" t="s">
        <v>21</v>
      </c>
      <c r="E979" s="24">
        <v>1218</v>
      </c>
      <c r="F979" s="17" t="s">
        <v>328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180000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10514</v>
      </c>
      <c r="B980" s="17" t="s">
        <v>10514</v>
      </c>
      <c r="C980" s="17" t="s">
        <v>10515</v>
      </c>
      <c r="D980" s="17" t="s">
        <v>21</v>
      </c>
      <c r="E980" s="24">
        <v>1218</v>
      </c>
      <c r="F980" s="17" t="s">
        <v>332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200000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10516</v>
      </c>
      <c r="B981" s="17" t="s">
        <v>10516</v>
      </c>
      <c r="C981" s="17" t="s">
        <v>10517</v>
      </c>
      <c r="D981" s="17" t="s">
        <v>21</v>
      </c>
      <c r="E981" s="24">
        <v>1218</v>
      </c>
      <c r="F981" s="17" t="s">
        <v>334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220000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10518</v>
      </c>
      <c r="B982" s="17" t="s">
        <v>10518</v>
      </c>
      <c r="C982" s="17" t="s">
        <v>10519</v>
      </c>
      <c r="D982" s="17" t="s">
        <v>21</v>
      </c>
      <c r="E982" s="24">
        <v>1218</v>
      </c>
      <c r="F982" s="17" t="s">
        <v>336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240000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10520</v>
      </c>
      <c r="B983" s="17" t="s">
        <v>10520</v>
      </c>
      <c r="C983" s="17" t="s">
        <v>10521</v>
      </c>
      <c r="D983" s="17" t="s">
        <v>21</v>
      </c>
      <c r="E983" s="24">
        <v>1218</v>
      </c>
      <c r="F983" s="17" t="s">
        <v>338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270000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10522</v>
      </c>
      <c r="B984" s="17" t="s">
        <v>10522</v>
      </c>
      <c r="C984" s="17" t="s">
        <v>10523</v>
      </c>
      <c r="D984" s="17" t="s">
        <v>21</v>
      </c>
      <c r="E984" s="24">
        <v>1218</v>
      </c>
      <c r="F984" s="17" t="s">
        <v>340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300000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10524</v>
      </c>
      <c r="B985" s="17" t="s">
        <v>10524</v>
      </c>
      <c r="C985" s="16" t="s">
        <v>10525</v>
      </c>
      <c r="D985" s="16" t="s">
        <v>21</v>
      </c>
      <c r="E985" s="24">
        <v>1218</v>
      </c>
      <c r="F985" s="17" t="s">
        <v>342</v>
      </c>
      <c r="G985" s="17" t="str">
        <f>Config!$B$3</f>
        <v>SCH/R_IEC.SchLib</v>
      </c>
      <c r="H985" s="16" t="s">
        <v>420</v>
      </c>
      <c r="I985" s="18" t="s">
        <v>462</v>
      </c>
      <c r="J985" s="40"/>
      <c r="K985" s="21">
        <v>330000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10526</v>
      </c>
      <c r="B986" s="17" t="s">
        <v>10526</v>
      </c>
      <c r="C986" s="17" t="s">
        <v>10527</v>
      </c>
      <c r="D986" s="17" t="s">
        <v>21</v>
      </c>
      <c r="E986" s="24">
        <v>1218</v>
      </c>
      <c r="F986" s="17" t="s">
        <v>346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360000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10528</v>
      </c>
      <c r="B987" s="17" t="s">
        <v>10528</v>
      </c>
      <c r="C987" s="17" t="s">
        <v>10529</v>
      </c>
      <c r="D987" s="17" t="s">
        <v>21</v>
      </c>
      <c r="E987" s="24">
        <v>1218</v>
      </c>
      <c r="F987" s="17" t="s">
        <v>350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390000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10530</v>
      </c>
      <c r="B988" s="17" t="s">
        <v>10530</v>
      </c>
      <c r="C988" s="17" t="s">
        <v>10531</v>
      </c>
      <c r="D988" s="17" t="s">
        <v>21</v>
      </c>
      <c r="E988" s="24">
        <v>1218</v>
      </c>
      <c r="F988" s="17" t="s">
        <v>352</v>
      </c>
      <c r="G988" s="17" t="str">
        <f>Config!$B$3</f>
        <v>SCH/R_IEC.SchLib</v>
      </c>
      <c r="H988" s="17" t="s">
        <v>420</v>
      </c>
      <c r="I988" s="17" t="s">
        <v>462</v>
      </c>
      <c r="J988" s="41"/>
      <c r="K988" s="21">
        <v>430000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10532</v>
      </c>
      <c r="B989" s="17" t="s">
        <v>10532</v>
      </c>
      <c r="C989" s="17" t="s">
        <v>10533</v>
      </c>
      <c r="D989" s="17" t="s">
        <v>21</v>
      </c>
      <c r="E989" s="24">
        <v>1218</v>
      </c>
      <c r="F989" s="17" t="s">
        <v>354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470000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10534</v>
      </c>
      <c r="B990" s="17" t="s">
        <v>10534</v>
      </c>
      <c r="C990" s="17" t="s">
        <v>10535</v>
      </c>
      <c r="D990" s="17" t="s">
        <v>21</v>
      </c>
      <c r="E990" s="24">
        <v>1218</v>
      </c>
      <c r="F990" s="17" t="s">
        <v>356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510000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10536</v>
      </c>
      <c r="B991" s="17" t="s">
        <v>10536</v>
      </c>
      <c r="C991" s="17" t="s">
        <v>10537</v>
      </c>
      <c r="D991" s="17" t="s">
        <v>21</v>
      </c>
      <c r="E991" s="24">
        <v>1218</v>
      </c>
      <c r="F991" s="17" t="s">
        <v>358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560000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10538</v>
      </c>
      <c r="B992" s="17" t="s">
        <v>10538</v>
      </c>
      <c r="C992" s="17" t="s">
        <v>10539</v>
      </c>
      <c r="D992" s="17" t="s">
        <v>21</v>
      </c>
      <c r="E992" s="24">
        <v>1218</v>
      </c>
      <c r="F992" s="17" t="s">
        <v>360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620000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10540</v>
      </c>
      <c r="B993" s="17" t="s">
        <v>10540</v>
      </c>
      <c r="C993" s="17" t="s">
        <v>10541</v>
      </c>
      <c r="D993" s="17" t="s">
        <v>21</v>
      </c>
      <c r="E993" s="24">
        <v>1218</v>
      </c>
      <c r="F993" s="17" t="s">
        <v>362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680000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10542</v>
      </c>
      <c r="B994" s="17" t="s">
        <v>10542</v>
      </c>
      <c r="C994" s="17" t="s">
        <v>10543</v>
      </c>
      <c r="D994" s="17" t="s">
        <v>21</v>
      </c>
      <c r="E994" s="24">
        <v>1218</v>
      </c>
      <c r="F994" s="17" t="s">
        <v>364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750000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10544</v>
      </c>
      <c r="B995" s="17" t="s">
        <v>10544</v>
      </c>
      <c r="C995" s="17" t="s">
        <v>10545</v>
      </c>
      <c r="D995" s="17" t="s">
        <v>21</v>
      </c>
      <c r="E995" s="24">
        <v>1218</v>
      </c>
      <c r="F995" s="17" t="s">
        <v>366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820000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10546</v>
      </c>
      <c r="B996" s="17" t="s">
        <v>10546</v>
      </c>
      <c r="C996" s="17" t="s">
        <v>10547</v>
      </c>
      <c r="D996" s="17" t="s">
        <v>21</v>
      </c>
      <c r="E996" s="24">
        <v>1218</v>
      </c>
      <c r="F996" s="17" t="s">
        <v>368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910000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10548</v>
      </c>
      <c r="B997" s="17" t="s">
        <v>10548</v>
      </c>
      <c r="C997" s="17" t="s">
        <v>10549</v>
      </c>
      <c r="D997" s="17" t="s">
        <v>21</v>
      </c>
      <c r="E997" s="24">
        <v>1218</v>
      </c>
      <c r="F997" s="17" t="s">
        <v>370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1000000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10550</v>
      </c>
      <c r="B998" s="17" t="s">
        <v>10550</v>
      </c>
      <c r="C998" s="17" t="s">
        <v>10551</v>
      </c>
      <c r="D998" s="17" t="s">
        <v>21</v>
      </c>
      <c r="E998" s="24">
        <v>1218</v>
      </c>
      <c r="F998" s="17" t="s">
        <v>372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1100000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10552</v>
      </c>
      <c r="B999" s="17" t="s">
        <v>10552</v>
      </c>
      <c r="C999" s="17" t="s">
        <v>10553</v>
      </c>
      <c r="D999" s="17" t="s">
        <v>21</v>
      </c>
      <c r="E999" s="24">
        <v>1218</v>
      </c>
      <c r="F999" s="17" t="s">
        <v>374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1200000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10554</v>
      </c>
      <c r="B1000" s="17" t="s">
        <v>10554</v>
      </c>
      <c r="C1000" s="17" t="s">
        <v>10555</v>
      </c>
      <c r="D1000" s="17" t="s">
        <v>21</v>
      </c>
      <c r="E1000" s="24">
        <v>1218</v>
      </c>
      <c r="F1000" s="17" t="s">
        <v>376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1300000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10556</v>
      </c>
      <c r="B1001" s="17" t="s">
        <v>10556</v>
      </c>
      <c r="C1001" s="17" t="s">
        <v>10557</v>
      </c>
      <c r="D1001" s="17" t="s">
        <v>21</v>
      </c>
      <c r="E1001" s="24">
        <v>1218</v>
      </c>
      <c r="F1001" s="17" t="s">
        <v>378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1500000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10558</v>
      </c>
      <c r="B1002" s="17" t="s">
        <v>10558</v>
      </c>
      <c r="C1002" s="17" t="s">
        <v>10559</v>
      </c>
      <c r="D1002" s="17" t="s">
        <v>21</v>
      </c>
      <c r="E1002" s="24">
        <v>1218</v>
      </c>
      <c r="F1002" s="17" t="s">
        <v>380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1600000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10560</v>
      </c>
      <c r="B1003" s="17" t="s">
        <v>10560</v>
      </c>
      <c r="C1003" s="17" t="s">
        <v>10561</v>
      </c>
      <c r="D1003" s="17" t="s">
        <v>21</v>
      </c>
      <c r="E1003" s="24">
        <v>1218</v>
      </c>
      <c r="F1003" s="17" t="s">
        <v>382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1800000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10562</v>
      </c>
      <c r="B1004" s="17" t="s">
        <v>10562</v>
      </c>
      <c r="C1004" s="17" t="s">
        <v>10563</v>
      </c>
      <c r="D1004" s="17" t="s">
        <v>21</v>
      </c>
      <c r="E1004" s="24">
        <v>1218</v>
      </c>
      <c r="F1004" s="17" t="s">
        <v>384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2000000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10564</v>
      </c>
      <c r="B1005" s="17" t="s">
        <v>10564</v>
      </c>
      <c r="C1005" s="17" t="s">
        <v>10565</v>
      </c>
      <c r="D1005" s="17" t="s">
        <v>21</v>
      </c>
      <c r="E1005" s="24">
        <v>1218</v>
      </c>
      <c r="F1005" s="17" t="s">
        <v>386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2200000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10566</v>
      </c>
      <c r="B1006" s="17" t="s">
        <v>10566</v>
      </c>
      <c r="C1006" s="17" t="s">
        <v>10567</v>
      </c>
      <c r="D1006" s="17" t="s">
        <v>21</v>
      </c>
      <c r="E1006" s="24">
        <v>1218</v>
      </c>
      <c r="F1006" s="17" t="s">
        <v>388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2400000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10568</v>
      </c>
      <c r="B1007" s="17" t="s">
        <v>10568</v>
      </c>
      <c r="C1007" s="17" t="s">
        <v>10569</v>
      </c>
      <c r="D1007" s="17" t="s">
        <v>21</v>
      </c>
      <c r="E1007" s="24">
        <v>1218</v>
      </c>
      <c r="F1007" s="17" t="s">
        <v>390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2700000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10570</v>
      </c>
      <c r="B1008" s="17" t="s">
        <v>10570</v>
      </c>
      <c r="C1008" s="17" t="s">
        <v>10571</v>
      </c>
      <c r="D1008" s="17" t="s">
        <v>21</v>
      </c>
      <c r="E1008" s="24">
        <v>1218</v>
      </c>
      <c r="F1008" s="17" t="s">
        <v>392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3000000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10572</v>
      </c>
      <c r="B1009" s="17" t="s">
        <v>10572</v>
      </c>
      <c r="C1009" s="17" t="s">
        <v>10573</v>
      </c>
      <c r="D1009" s="17" t="s">
        <v>21</v>
      </c>
      <c r="E1009" s="24">
        <v>1218</v>
      </c>
      <c r="F1009" s="17" t="s">
        <v>394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3300000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10574</v>
      </c>
      <c r="B1010" s="17" t="s">
        <v>10574</v>
      </c>
      <c r="C1010" s="17" t="s">
        <v>10575</v>
      </c>
      <c r="D1010" s="17" t="s">
        <v>21</v>
      </c>
      <c r="E1010" s="24">
        <v>1218</v>
      </c>
      <c r="F1010" s="17" t="s">
        <v>396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3600000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10576</v>
      </c>
      <c r="B1011" s="17" t="s">
        <v>10576</v>
      </c>
      <c r="C1011" s="17" t="s">
        <v>10577</v>
      </c>
      <c r="D1011" s="17" t="s">
        <v>21</v>
      </c>
      <c r="E1011" s="24">
        <v>1218</v>
      </c>
      <c r="F1011" s="17" t="s">
        <v>398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3900000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10578</v>
      </c>
      <c r="B1012" s="17" t="s">
        <v>10578</v>
      </c>
      <c r="C1012" s="17" t="s">
        <v>10579</v>
      </c>
      <c r="D1012" s="17" t="s">
        <v>21</v>
      </c>
      <c r="E1012" s="24">
        <v>1218</v>
      </c>
      <c r="F1012" s="17" t="s">
        <v>400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4300000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10580</v>
      </c>
      <c r="B1013" s="17" t="s">
        <v>10580</v>
      </c>
      <c r="C1013" s="17" t="s">
        <v>10581</v>
      </c>
      <c r="D1013" s="17" t="s">
        <v>21</v>
      </c>
      <c r="E1013" s="24">
        <v>1218</v>
      </c>
      <c r="F1013" s="17" t="s">
        <v>402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4700000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10582</v>
      </c>
      <c r="B1014" s="17" t="s">
        <v>10582</v>
      </c>
      <c r="C1014" s="17" t="s">
        <v>10583</v>
      </c>
      <c r="D1014" s="17" t="s">
        <v>21</v>
      </c>
      <c r="E1014" s="24">
        <v>1218</v>
      </c>
      <c r="F1014" s="17" t="s">
        <v>404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5100000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10584</v>
      </c>
      <c r="B1015" s="17" t="s">
        <v>10584</v>
      </c>
      <c r="C1015" s="17" t="s">
        <v>10585</v>
      </c>
      <c r="D1015" s="17" t="s">
        <v>21</v>
      </c>
      <c r="E1015" s="24">
        <v>1218</v>
      </c>
      <c r="F1015" s="17" t="s">
        <v>406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5600000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10586</v>
      </c>
      <c r="B1016" s="17" t="s">
        <v>10586</v>
      </c>
      <c r="C1016" s="17" t="s">
        <v>10587</v>
      </c>
      <c r="D1016" s="17" t="s">
        <v>21</v>
      </c>
      <c r="E1016" s="24">
        <v>1218</v>
      </c>
      <c r="F1016" s="17" t="s">
        <v>408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6200000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10588</v>
      </c>
      <c r="B1017" s="17" t="s">
        <v>10588</v>
      </c>
      <c r="C1017" s="17" t="s">
        <v>10589</v>
      </c>
      <c r="D1017" s="17" t="s">
        <v>21</v>
      </c>
      <c r="E1017" s="24">
        <v>1218</v>
      </c>
      <c r="F1017" s="17" t="s">
        <v>410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6800000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10590</v>
      </c>
      <c r="B1018" s="17" t="s">
        <v>10590</v>
      </c>
      <c r="C1018" s="17" t="s">
        <v>10591</v>
      </c>
      <c r="D1018" s="17" t="s">
        <v>21</v>
      </c>
      <c r="E1018" s="24">
        <v>1218</v>
      </c>
      <c r="F1018" s="17" t="s">
        <v>412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7500000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10592</v>
      </c>
      <c r="B1019" s="17" t="s">
        <v>10592</v>
      </c>
      <c r="C1019" s="17" t="s">
        <v>10593</v>
      </c>
      <c r="D1019" s="17" t="s">
        <v>21</v>
      </c>
      <c r="E1019" s="24">
        <v>1218</v>
      </c>
      <c r="F1019" s="17" t="s">
        <v>414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8200000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10594</v>
      </c>
      <c r="B1020" s="17" t="s">
        <v>10594</v>
      </c>
      <c r="C1020" s="17" t="s">
        <v>10595</v>
      </c>
      <c r="D1020" s="17" t="s">
        <v>21</v>
      </c>
      <c r="E1020" s="24">
        <v>1218</v>
      </c>
      <c r="F1020" s="17" t="s">
        <v>416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9100000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10596</v>
      </c>
      <c r="B1021" s="17" t="s">
        <v>10596</v>
      </c>
      <c r="C1021" s="17" t="s">
        <v>10597</v>
      </c>
      <c r="D1021" s="17" t="s">
        <v>21</v>
      </c>
      <c r="E1021" s="24">
        <v>1218</v>
      </c>
      <c r="F1021" s="17" t="s">
        <v>418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10000000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6" t="s">
        <v>9918</v>
      </c>
      <c r="B1022" s="16" t="s">
        <v>9918</v>
      </c>
      <c r="C1022" s="16" t="s">
        <v>9919</v>
      </c>
      <c r="D1022" s="16" t="s">
        <v>21</v>
      </c>
      <c r="E1022" s="16">
        <v>2010</v>
      </c>
      <c r="F1022" s="16" t="s">
        <v>23</v>
      </c>
      <c r="G1022" s="17" t="str">
        <f>Config!$B$3</f>
        <v>SCH/R_IEC.SchLib</v>
      </c>
      <c r="H1022" s="16" t="s">
        <v>420</v>
      </c>
      <c r="I1022" s="18" t="s">
        <v>462</v>
      </c>
      <c r="J1022" s="41"/>
      <c r="K1022" s="19">
        <v>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9920</v>
      </c>
      <c r="B1023" s="17" t="s">
        <v>9920</v>
      </c>
      <c r="C1023" s="17" t="s">
        <v>9921</v>
      </c>
      <c r="D1023" s="17" t="s">
        <v>21</v>
      </c>
      <c r="E1023" s="24">
        <v>2010</v>
      </c>
      <c r="F1023" s="17" t="s">
        <v>30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17">
        <v>1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9922</v>
      </c>
      <c r="B1024" s="17" t="s">
        <v>9922</v>
      </c>
      <c r="C1024" s="17" t="s">
        <v>9923</v>
      </c>
      <c r="D1024" s="17" t="s">
        <v>21</v>
      </c>
      <c r="E1024" s="24">
        <v>2010</v>
      </c>
      <c r="F1024" s="17" t="s">
        <v>1044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17">
        <v>1.1000000000000001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7" t="s">
        <v>9924</v>
      </c>
      <c r="B1025" s="17" t="s">
        <v>9924</v>
      </c>
      <c r="C1025" s="17" t="s">
        <v>9925</v>
      </c>
      <c r="D1025" s="17" t="s">
        <v>21</v>
      </c>
      <c r="E1025" s="24">
        <v>2010</v>
      </c>
      <c r="F1025" s="17" t="s">
        <v>32</v>
      </c>
      <c r="G1025" s="17" t="str">
        <f>Config!$B$3</f>
        <v>SCH/R_IEC.SchLib</v>
      </c>
      <c r="H1025" s="17" t="s">
        <v>420</v>
      </c>
      <c r="I1025" s="17" t="s">
        <v>462</v>
      </c>
      <c r="J1025" s="41"/>
      <c r="K1025" s="17">
        <v>1.2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9926</v>
      </c>
      <c r="B1026" s="17" t="s">
        <v>9926</v>
      </c>
      <c r="C1026" s="17" t="s">
        <v>9927</v>
      </c>
      <c r="D1026" s="17" t="s">
        <v>21</v>
      </c>
      <c r="E1026" s="24">
        <v>2010</v>
      </c>
      <c r="F1026" s="17" t="s">
        <v>1054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1.3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9928</v>
      </c>
      <c r="B1027" s="17" t="s">
        <v>9928</v>
      </c>
      <c r="C1027" s="17" t="s">
        <v>9929</v>
      </c>
      <c r="D1027" s="17" t="s">
        <v>21</v>
      </c>
      <c r="E1027" s="24">
        <v>2010</v>
      </c>
      <c r="F1027" s="17" t="s">
        <v>34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1.5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9930</v>
      </c>
      <c r="B1028" s="17" t="s">
        <v>9930</v>
      </c>
      <c r="C1028" s="17" t="s">
        <v>9931</v>
      </c>
      <c r="D1028" s="17" t="s">
        <v>21</v>
      </c>
      <c r="E1028" s="24">
        <v>2010</v>
      </c>
      <c r="F1028" s="17" t="s">
        <v>1064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1.6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9932</v>
      </c>
      <c r="B1029" s="17" t="s">
        <v>9932</v>
      </c>
      <c r="C1029" s="17" t="s">
        <v>9933</v>
      </c>
      <c r="D1029" s="17" t="s">
        <v>21</v>
      </c>
      <c r="E1029" s="24">
        <v>2010</v>
      </c>
      <c r="F1029" s="17" t="s">
        <v>36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1.8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9934</v>
      </c>
      <c r="B1030" s="17" t="s">
        <v>9934</v>
      </c>
      <c r="C1030" s="17" t="s">
        <v>9935</v>
      </c>
      <c r="D1030" s="17" t="s">
        <v>21</v>
      </c>
      <c r="E1030" s="24">
        <v>2010</v>
      </c>
      <c r="F1030" s="17" t="s">
        <v>1072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2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9936</v>
      </c>
      <c r="B1031" s="17" t="s">
        <v>9936</v>
      </c>
      <c r="C1031" s="17" t="s">
        <v>9937</v>
      </c>
      <c r="D1031" s="17" t="s">
        <v>21</v>
      </c>
      <c r="E1031" s="24">
        <v>2010</v>
      </c>
      <c r="F1031" s="17" t="s">
        <v>38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2.2000000000000002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9938</v>
      </c>
      <c r="B1032" s="17" t="s">
        <v>9938</v>
      </c>
      <c r="C1032" s="17" t="s">
        <v>9939</v>
      </c>
      <c r="D1032" s="17" t="s">
        <v>21</v>
      </c>
      <c r="E1032" s="24">
        <v>2010</v>
      </c>
      <c r="F1032" s="17" t="s">
        <v>1082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2.4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9940</v>
      </c>
      <c r="B1033" s="17" t="s">
        <v>9940</v>
      </c>
      <c r="C1033" s="17" t="s">
        <v>9941</v>
      </c>
      <c r="D1033" s="17" t="s">
        <v>21</v>
      </c>
      <c r="E1033" s="24">
        <v>2010</v>
      </c>
      <c r="F1033" s="17" t="s">
        <v>40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2.7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9942</v>
      </c>
      <c r="B1034" s="17" t="s">
        <v>9942</v>
      </c>
      <c r="C1034" s="17" t="s">
        <v>9943</v>
      </c>
      <c r="D1034" s="17" t="s">
        <v>21</v>
      </c>
      <c r="E1034" s="24">
        <v>2010</v>
      </c>
      <c r="F1034" s="17" t="s">
        <v>1090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3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9944</v>
      </c>
      <c r="B1035" s="17" t="s">
        <v>9944</v>
      </c>
      <c r="C1035" s="17" t="s">
        <v>9945</v>
      </c>
      <c r="D1035" s="17" t="s">
        <v>21</v>
      </c>
      <c r="E1035" s="24">
        <v>2010</v>
      </c>
      <c r="F1035" s="17" t="s">
        <v>42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3.3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9946</v>
      </c>
      <c r="B1036" s="17" t="s">
        <v>9946</v>
      </c>
      <c r="C1036" s="17" t="s">
        <v>9947</v>
      </c>
      <c r="D1036" s="17" t="s">
        <v>21</v>
      </c>
      <c r="E1036" s="24">
        <v>2010</v>
      </c>
      <c r="F1036" s="17" t="s">
        <v>1100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3.6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9948</v>
      </c>
      <c r="B1037" s="17" t="s">
        <v>9948</v>
      </c>
      <c r="C1037" s="17" t="s">
        <v>9949</v>
      </c>
      <c r="D1037" s="17" t="s">
        <v>21</v>
      </c>
      <c r="E1037" s="24">
        <v>2010</v>
      </c>
      <c r="F1037" s="17" t="s">
        <v>44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3.9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9950</v>
      </c>
      <c r="B1038" s="17" t="s">
        <v>9950</v>
      </c>
      <c r="C1038" s="17" t="s">
        <v>9951</v>
      </c>
      <c r="D1038" s="17" t="s">
        <v>21</v>
      </c>
      <c r="E1038" s="24">
        <v>2010</v>
      </c>
      <c r="F1038" s="17" t="s">
        <v>1108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4.3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9952</v>
      </c>
      <c r="B1039" s="17" t="s">
        <v>9952</v>
      </c>
      <c r="C1039" s="17" t="s">
        <v>9953</v>
      </c>
      <c r="D1039" s="17" t="s">
        <v>21</v>
      </c>
      <c r="E1039" s="24">
        <v>2010</v>
      </c>
      <c r="F1039" s="17" t="s">
        <v>46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4.7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9954</v>
      </c>
      <c r="B1040" s="17" t="s">
        <v>9954</v>
      </c>
      <c r="C1040" s="17" t="s">
        <v>9955</v>
      </c>
      <c r="D1040" s="17" t="s">
        <v>21</v>
      </c>
      <c r="E1040" s="24">
        <v>2010</v>
      </c>
      <c r="F1040" s="17" t="s">
        <v>1118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5.0999999999999996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9956</v>
      </c>
      <c r="B1041" s="17" t="s">
        <v>9956</v>
      </c>
      <c r="C1041" s="17" t="s">
        <v>9957</v>
      </c>
      <c r="D1041" s="17" t="s">
        <v>21</v>
      </c>
      <c r="E1041" s="24">
        <v>2010</v>
      </c>
      <c r="F1041" s="17" t="s">
        <v>48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5.6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9958</v>
      </c>
      <c r="B1042" s="17" t="s">
        <v>9958</v>
      </c>
      <c r="C1042" s="17" t="s">
        <v>9959</v>
      </c>
      <c r="D1042" s="17" t="s">
        <v>21</v>
      </c>
      <c r="E1042" s="24">
        <v>2010</v>
      </c>
      <c r="F1042" s="17" t="s">
        <v>1130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6.2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9960</v>
      </c>
      <c r="B1043" s="17" t="s">
        <v>9960</v>
      </c>
      <c r="C1043" s="17" t="s">
        <v>9961</v>
      </c>
      <c r="D1043" s="17" t="s">
        <v>21</v>
      </c>
      <c r="E1043" s="24">
        <v>2010</v>
      </c>
      <c r="F1043" s="17" t="s">
        <v>50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6.8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9962</v>
      </c>
      <c r="B1044" s="17" t="s">
        <v>9962</v>
      </c>
      <c r="C1044" s="17" t="s">
        <v>9963</v>
      </c>
      <c r="D1044" s="17" t="s">
        <v>21</v>
      </c>
      <c r="E1044" s="24">
        <v>2010</v>
      </c>
      <c r="F1044" s="17" t="s">
        <v>1140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7.5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9964</v>
      </c>
      <c r="B1045" s="17" t="s">
        <v>9964</v>
      </c>
      <c r="C1045" s="17" t="s">
        <v>9965</v>
      </c>
      <c r="D1045" s="17" t="s">
        <v>21</v>
      </c>
      <c r="E1045" s="24">
        <v>2010</v>
      </c>
      <c r="F1045" s="17" t="s">
        <v>52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8.1999999999999993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9966</v>
      </c>
      <c r="B1046" s="17" t="s">
        <v>9966</v>
      </c>
      <c r="C1046" s="17" t="s">
        <v>9967</v>
      </c>
      <c r="D1046" s="17" t="s">
        <v>21</v>
      </c>
      <c r="E1046" s="24">
        <v>2010</v>
      </c>
      <c r="F1046" s="17" t="s">
        <v>1150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9.1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9968</v>
      </c>
      <c r="B1047" s="17" t="s">
        <v>9968</v>
      </c>
      <c r="C1047" s="17" t="s">
        <v>9969</v>
      </c>
      <c r="D1047" s="17" t="s">
        <v>21</v>
      </c>
      <c r="E1047" s="24">
        <v>2010</v>
      </c>
      <c r="F1047" s="17" t="s">
        <v>54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21">
        <v>10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9970</v>
      </c>
      <c r="B1048" s="17" t="s">
        <v>9970</v>
      </c>
      <c r="C1048" s="17" t="s">
        <v>9971</v>
      </c>
      <c r="D1048" s="17" t="s">
        <v>21</v>
      </c>
      <c r="E1048" s="24">
        <v>2010</v>
      </c>
      <c r="F1048" s="17" t="s">
        <v>58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21">
        <v>11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9972</v>
      </c>
      <c r="B1049" s="17" t="s">
        <v>9972</v>
      </c>
      <c r="C1049" s="17" t="s">
        <v>9973</v>
      </c>
      <c r="D1049" s="17" t="s">
        <v>21</v>
      </c>
      <c r="E1049" s="24">
        <v>2010</v>
      </c>
      <c r="F1049" s="17" t="s">
        <v>60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21">
        <v>12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9974</v>
      </c>
      <c r="B1050" s="17" t="s">
        <v>9974</v>
      </c>
      <c r="C1050" s="17" t="s">
        <v>9975</v>
      </c>
      <c r="D1050" s="17" t="s">
        <v>21</v>
      </c>
      <c r="E1050" s="24">
        <v>2010</v>
      </c>
      <c r="F1050" s="17" t="s">
        <v>62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13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9976</v>
      </c>
      <c r="B1051" s="17" t="s">
        <v>9976</v>
      </c>
      <c r="C1051" s="17" t="s">
        <v>9977</v>
      </c>
      <c r="D1051" s="17" t="s">
        <v>21</v>
      </c>
      <c r="E1051" s="24">
        <v>2010</v>
      </c>
      <c r="F1051" s="17" t="s">
        <v>64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15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9978</v>
      </c>
      <c r="B1052" s="17" t="s">
        <v>9978</v>
      </c>
      <c r="C1052" s="17" t="s">
        <v>9979</v>
      </c>
      <c r="D1052" s="17" t="s">
        <v>21</v>
      </c>
      <c r="E1052" s="24">
        <v>2010</v>
      </c>
      <c r="F1052" s="17" t="s">
        <v>66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16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9980</v>
      </c>
      <c r="B1053" s="17" t="s">
        <v>9980</v>
      </c>
      <c r="C1053" s="17" t="s">
        <v>9981</v>
      </c>
      <c r="D1053" s="17" t="s">
        <v>21</v>
      </c>
      <c r="E1053" s="24">
        <v>2010</v>
      </c>
      <c r="F1053" s="17" t="s">
        <v>68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18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9982</v>
      </c>
      <c r="B1054" s="17" t="s">
        <v>9982</v>
      </c>
      <c r="C1054" s="17" t="s">
        <v>9983</v>
      </c>
      <c r="D1054" s="17" t="s">
        <v>21</v>
      </c>
      <c r="E1054" s="24">
        <v>2010</v>
      </c>
      <c r="F1054" s="17" t="s">
        <v>70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20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9984</v>
      </c>
      <c r="B1055" s="17" t="s">
        <v>9984</v>
      </c>
      <c r="C1055" s="17" t="s">
        <v>9985</v>
      </c>
      <c r="D1055" s="17" t="s">
        <v>21</v>
      </c>
      <c r="E1055" s="24">
        <v>2010</v>
      </c>
      <c r="F1055" s="17" t="s">
        <v>72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22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9986</v>
      </c>
      <c r="B1056" s="17" t="s">
        <v>9986</v>
      </c>
      <c r="C1056" s="17" t="s">
        <v>9987</v>
      </c>
      <c r="D1056" s="17" t="s">
        <v>21</v>
      </c>
      <c r="E1056" s="24">
        <v>2010</v>
      </c>
      <c r="F1056" s="17" t="s">
        <v>76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24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9988</v>
      </c>
      <c r="B1057" s="17" t="s">
        <v>9988</v>
      </c>
      <c r="C1057" s="17" t="s">
        <v>9989</v>
      </c>
      <c r="D1057" s="17" t="s">
        <v>21</v>
      </c>
      <c r="E1057" s="24">
        <v>2010</v>
      </c>
      <c r="F1057" s="17" t="s">
        <v>78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27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9990</v>
      </c>
      <c r="B1058" s="17" t="s">
        <v>9990</v>
      </c>
      <c r="C1058" s="17" t="s">
        <v>9991</v>
      </c>
      <c r="D1058" s="17" t="s">
        <v>21</v>
      </c>
      <c r="E1058" s="24">
        <v>2010</v>
      </c>
      <c r="F1058" s="17" t="s">
        <v>80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30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9992</v>
      </c>
      <c r="B1059" s="17" t="s">
        <v>9992</v>
      </c>
      <c r="C1059" s="17" t="s">
        <v>9993</v>
      </c>
      <c r="D1059" s="17" t="s">
        <v>21</v>
      </c>
      <c r="E1059" s="24">
        <v>2010</v>
      </c>
      <c r="F1059" s="17" t="s">
        <v>82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33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9994</v>
      </c>
      <c r="B1060" s="17" t="s">
        <v>9994</v>
      </c>
      <c r="C1060" s="17" t="s">
        <v>9995</v>
      </c>
      <c r="D1060" s="17" t="s">
        <v>21</v>
      </c>
      <c r="E1060" s="24">
        <v>2010</v>
      </c>
      <c r="F1060" s="17" t="s">
        <v>84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36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9996</v>
      </c>
      <c r="B1061" s="17" t="s">
        <v>9996</v>
      </c>
      <c r="C1061" s="17" t="s">
        <v>9997</v>
      </c>
      <c r="D1061" s="17" t="s">
        <v>21</v>
      </c>
      <c r="E1061" s="24">
        <v>2010</v>
      </c>
      <c r="F1061" s="17" t="s">
        <v>86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39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9998</v>
      </c>
      <c r="B1062" s="17" t="s">
        <v>9998</v>
      </c>
      <c r="C1062" s="17" t="s">
        <v>9999</v>
      </c>
      <c r="D1062" s="17" t="s">
        <v>21</v>
      </c>
      <c r="E1062" s="24">
        <v>2010</v>
      </c>
      <c r="F1062" s="17" t="s">
        <v>88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43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10000</v>
      </c>
      <c r="B1063" s="17" t="s">
        <v>10000</v>
      </c>
      <c r="C1063" s="17" t="s">
        <v>10001</v>
      </c>
      <c r="D1063" s="17" t="s">
        <v>21</v>
      </c>
      <c r="E1063" s="24">
        <v>2010</v>
      </c>
      <c r="F1063" s="17" t="s">
        <v>90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47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10002</v>
      </c>
      <c r="B1064" s="17" t="s">
        <v>10002</v>
      </c>
      <c r="C1064" s="17" t="s">
        <v>10003</v>
      </c>
      <c r="D1064" s="17" t="s">
        <v>21</v>
      </c>
      <c r="E1064" s="24">
        <v>2010</v>
      </c>
      <c r="F1064" s="17" t="s">
        <v>92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51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10004</v>
      </c>
      <c r="B1065" s="17" t="s">
        <v>10004</v>
      </c>
      <c r="C1065" s="17" t="s">
        <v>10005</v>
      </c>
      <c r="D1065" s="17" t="s">
        <v>21</v>
      </c>
      <c r="E1065" s="24">
        <v>2010</v>
      </c>
      <c r="F1065" s="17" t="s">
        <v>94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56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10006</v>
      </c>
      <c r="B1066" s="17" t="s">
        <v>10006</v>
      </c>
      <c r="C1066" s="17" t="s">
        <v>10007</v>
      </c>
      <c r="D1066" s="17" t="s">
        <v>21</v>
      </c>
      <c r="E1066" s="24">
        <v>2010</v>
      </c>
      <c r="F1066" s="17" t="s">
        <v>96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62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10008</v>
      </c>
      <c r="B1067" s="17" t="s">
        <v>10008</v>
      </c>
      <c r="C1067" s="17" t="s">
        <v>10009</v>
      </c>
      <c r="D1067" s="17" t="s">
        <v>21</v>
      </c>
      <c r="E1067" s="24">
        <v>2010</v>
      </c>
      <c r="F1067" s="17" t="s">
        <v>98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68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10010</v>
      </c>
      <c r="B1068" s="17" t="s">
        <v>10010</v>
      </c>
      <c r="C1068" s="17" t="s">
        <v>10011</v>
      </c>
      <c r="D1068" s="17" t="s">
        <v>21</v>
      </c>
      <c r="E1068" s="24">
        <v>2010</v>
      </c>
      <c r="F1068" s="17" t="s">
        <v>100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75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10012</v>
      </c>
      <c r="B1069" s="17" t="s">
        <v>10012</v>
      </c>
      <c r="C1069" s="17" t="s">
        <v>10013</v>
      </c>
      <c r="D1069" s="17" t="s">
        <v>21</v>
      </c>
      <c r="E1069" s="24">
        <v>2010</v>
      </c>
      <c r="F1069" s="17" t="s">
        <v>102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82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10014</v>
      </c>
      <c r="B1070" s="17" t="s">
        <v>10014</v>
      </c>
      <c r="C1070" s="17" t="s">
        <v>10015</v>
      </c>
      <c r="D1070" s="17" t="s">
        <v>21</v>
      </c>
      <c r="E1070" s="24">
        <v>2010</v>
      </c>
      <c r="F1070" s="17" t="s">
        <v>104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91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10016</v>
      </c>
      <c r="B1071" s="17" t="s">
        <v>10016</v>
      </c>
      <c r="C1071" s="17" t="s">
        <v>10017</v>
      </c>
      <c r="D1071" s="17" t="s">
        <v>21</v>
      </c>
      <c r="E1071" s="24">
        <v>2010</v>
      </c>
      <c r="F1071" s="17" t="s">
        <v>106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100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10018</v>
      </c>
      <c r="B1072" s="17" t="s">
        <v>10018</v>
      </c>
      <c r="C1072" s="17" t="s">
        <v>10019</v>
      </c>
      <c r="D1072" s="17" t="s">
        <v>21</v>
      </c>
      <c r="E1072" s="24">
        <v>2010</v>
      </c>
      <c r="F1072" s="17" t="s">
        <v>110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110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10020</v>
      </c>
      <c r="B1073" s="17" t="s">
        <v>10020</v>
      </c>
      <c r="C1073" s="17" t="s">
        <v>10021</v>
      </c>
      <c r="D1073" s="17" t="s">
        <v>21</v>
      </c>
      <c r="E1073" s="24">
        <v>2010</v>
      </c>
      <c r="F1073" s="17" t="s">
        <v>112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120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10022</v>
      </c>
      <c r="B1074" s="17" t="s">
        <v>10022</v>
      </c>
      <c r="C1074" s="17" t="s">
        <v>10023</v>
      </c>
      <c r="D1074" s="17" t="s">
        <v>21</v>
      </c>
      <c r="E1074" s="24">
        <v>2010</v>
      </c>
      <c r="F1074" s="17" t="s">
        <v>114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130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10024</v>
      </c>
      <c r="B1075" s="17" t="s">
        <v>10024</v>
      </c>
      <c r="C1075" s="17" t="s">
        <v>10025</v>
      </c>
      <c r="D1075" s="17" t="s">
        <v>21</v>
      </c>
      <c r="E1075" s="24">
        <v>2010</v>
      </c>
      <c r="F1075" s="17" t="s">
        <v>116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150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10026</v>
      </c>
      <c r="B1076" s="17" t="s">
        <v>10026</v>
      </c>
      <c r="C1076" s="17" t="s">
        <v>10027</v>
      </c>
      <c r="D1076" s="17" t="s">
        <v>21</v>
      </c>
      <c r="E1076" s="24">
        <v>2010</v>
      </c>
      <c r="F1076" s="17" t="s">
        <v>118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160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10028</v>
      </c>
      <c r="B1077" s="17" t="s">
        <v>10028</v>
      </c>
      <c r="C1077" s="17" t="s">
        <v>10029</v>
      </c>
      <c r="D1077" s="17" t="s">
        <v>21</v>
      </c>
      <c r="E1077" s="24">
        <v>2010</v>
      </c>
      <c r="F1077" s="17" t="s">
        <v>120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180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10030</v>
      </c>
      <c r="B1078" s="17" t="s">
        <v>10030</v>
      </c>
      <c r="C1078" s="17" t="s">
        <v>10031</v>
      </c>
      <c r="D1078" s="17" t="s">
        <v>21</v>
      </c>
      <c r="E1078" s="24">
        <v>2010</v>
      </c>
      <c r="F1078" s="17" t="s">
        <v>124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200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10032</v>
      </c>
      <c r="B1079" s="17" t="s">
        <v>10032</v>
      </c>
      <c r="C1079" s="17" t="s">
        <v>10033</v>
      </c>
      <c r="D1079" s="17" t="s">
        <v>21</v>
      </c>
      <c r="E1079" s="24">
        <v>2010</v>
      </c>
      <c r="F1079" s="17" t="s">
        <v>126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220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10034</v>
      </c>
      <c r="B1080" s="17" t="s">
        <v>10034</v>
      </c>
      <c r="C1080" s="17" t="s">
        <v>10035</v>
      </c>
      <c r="D1080" s="17" t="s">
        <v>21</v>
      </c>
      <c r="E1080" s="24">
        <v>2010</v>
      </c>
      <c r="F1080" s="17" t="s">
        <v>130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240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10036</v>
      </c>
      <c r="B1081" s="17" t="s">
        <v>10036</v>
      </c>
      <c r="C1081" s="17" t="s">
        <v>10037</v>
      </c>
      <c r="D1081" s="17" t="s">
        <v>21</v>
      </c>
      <c r="E1081" s="24">
        <v>2010</v>
      </c>
      <c r="F1081" s="17" t="s">
        <v>132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270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10038</v>
      </c>
      <c r="B1082" s="17" t="s">
        <v>10038</v>
      </c>
      <c r="C1082" s="17" t="s">
        <v>10039</v>
      </c>
      <c r="D1082" s="17" t="s">
        <v>21</v>
      </c>
      <c r="E1082" s="24">
        <v>2010</v>
      </c>
      <c r="F1082" s="17" t="s">
        <v>134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300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10040</v>
      </c>
      <c r="B1083" s="17" t="s">
        <v>10040</v>
      </c>
      <c r="C1083" s="17" t="s">
        <v>10041</v>
      </c>
      <c r="D1083" s="17" t="s">
        <v>21</v>
      </c>
      <c r="E1083" s="24">
        <v>2010</v>
      </c>
      <c r="F1083" s="17" t="s">
        <v>138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330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10042</v>
      </c>
      <c r="B1084" s="17" t="s">
        <v>10042</v>
      </c>
      <c r="C1084" s="17" t="s">
        <v>10043</v>
      </c>
      <c r="D1084" s="17" t="s">
        <v>21</v>
      </c>
      <c r="E1084" s="24">
        <v>2010</v>
      </c>
      <c r="F1084" s="17" t="s">
        <v>140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360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10044</v>
      </c>
      <c r="B1085" s="17" t="s">
        <v>10044</v>
      </c>
      <c r="C1085" s="17" t="s">
        <v>10045</v>
      </c>
      <c r="D1085" s="17" t="s">
        <v>21</v>
      </c>
      <c r="E1085" s="24">
        <v>2010</v>
      </c>
      <c r="F1085" s="17" t="s">
        <v>142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390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10046</v>
      </c>
      <c r="B1086" s="17" t="s">
        <v>10046</v>
      </c>
      <c r="C1086" s="17" t="s">
        <v>10047</v>
      </c>
      <c r="D1086" s="17" t="s">
        <v>21</v>
      </c>
      <c r="E1086" s="24">
        <v>2010</v>
      </c>
      <c r="F1086" s="17" t="s">
        <v>144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430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10048</v>
      </c>
      <c r="B1087" s="17" t="s">
        <v>10048</v>
      </c>
      <c r="C1087" s="17" t="s">
        <v>10049</v>
      </c>
      <c r="D1087" s="17" t="s">
        <v>21</v>
      </c>
      <c r="E1087" s="24">
        <v>2010</v>
      </c>
      <c r="F1087" s="17" t="s">
        <v>146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470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10050</v>
      </c>
      <c r="B1088" s="17" t="s">
        <v>10050</v>
      </c>
      <c r="C1088" s="17" t="s">
        <v>10051</v>
      </c>
      <c r="D1088" s="17" t="s">
        <v>21</v>
      </c>
      <c r="E1088" s="24">
        <v>2010</v>
      </c>
      <c r="F1088" s="17" t="s">
        <v>150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510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10052</v>
      </c>
      <c r="B1089" s="17" t="s">
        <v>10052</v>
      </c>
      <c r="C1089" s="17" t="s">
        <v>10053</v>
      </c>
      <c r="D1089" s="17" t="s">
        <v>21</v>
      </c>
      <c r="E1089" s="24">
        <v>2010</v>
      </c>
      <c r="F1089" s="17" t="s">
        <v>152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560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10054</v>
      </c>
      <c r="B1090" s="17" t="s">
        <v>10054</v>
      </c>
      <c r="C1090" s="17" t="s">
        <v>10055</v>
      </c>
      <c r="D1090" s="17" t="s">
        <v>21</v>
      </c>
      <c r="E1090" s="24">
        <v>2010</v>
      </c>
      <c r="F1090" s="17" t="s">
        <v>154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620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10056</v>
      </c>
      <c r="B1091" s="17" t="s">
        <v>10056</v>
      </c>
      <c r="C1091" s="17" t="s">
        <v>10057</v>
      </c>
      <c r="D1091" s="17" t="s">
        <v>21</v>
      </c>
      <c r="E1091" s="24">
        <v>2010</v>
      </c>
      <c r="F1091" s="17" t="s">
        <v>156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680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10058</v>
      </c>
      <c r="B1092" s="17" t="s">
        <v>10058</v>
      </c>
      <c r="C1092" s="17" t="s">
        <v>10059</v>
      </c>
      <c r="D1092" s="17" t="s">
        <v>21</v>
      </c>
      <c r="E1092" s="24">
        <v>2010</v>
      </c>
      <c r="F1092" s="17" t="s">
        <v>158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750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10060</v>
      </c>
      <c r="B1093" s="17" t="s">
        <v>10060</v>
      </c>
      <c r="C1093" s="17" t="s">
        <v>10061</v>
      </c>
      <c r="D1093" s="17" t="s">
        <v>21</v>
      </c>
      <c r="E1093" s="24">
        <v>2010</v>
      </c>
      <c r="F1093" s="17" t="s">
        <v>160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820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10062</v>
      </c>
      <c r="B1094" s="17" t="s">
        <v>10062</v>
      </c>
      <c r="C1094" s="17" t="s">
        <v>10063</v>
      </c>
      <c r="D1094" s="17" t="s">
        <v>21</v>
      </c>
      <c r="E1094" s="24">
        <v>2010</v>
      </c>
      <c r="F1094" s="17" t="s">
        <v>162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910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10064</v>
      </c>
      <c r="B1095" s="17" t="s">
        <v>10064</v>
      </c>
      <c r="C1095" s="17" t="s">
        <v>10065</v>
      </c>
      <c r="D1095" s="17" t="s">
        <v>21</v>
      </c>
      <c r="E1095" s="24">
        <v>2010</v>
      </c>
      <c r="F1095" s="17" t="s">
        <v>164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1000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10066</v>
      </c>
      <c r="B1096" s="17" t="s">
        <v>10066</v>
      </c>
      <c r="C1096" s="17" t="s">
        <v>10067</v>
      </c>
      <c r="D1096" s="17" t="s">
        <v>21</v>
      </c>
      <c r="E1096" s="24">
        <v>2010</v>
      </c>
      <c r="F1096" s="17" t="s">
        <v>166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1100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10068</v>
      </c>
      <c r="B1097" s="17" t="s">
        <v>10068</v>
      </c>
      <c r="C1097" s="17" t="s">
        <v>10069</v>
      </c>
      <c r="D1097" s="17" t="s">
        <v>21</v>
      </c>
      <c r="E1097" s="24">
        <v>2010</v>
      </c>
      <c r="F1097" s="17" t="s">
        <v>168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1200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10070</v>
      </c>
      <c r="B1098" s="17" t="s">
        <v>10070</v>
      </c>
      <c r="C1098" s="17" t="s">
        <v>10071</v>
      </c>
      <c r="D1098" s="17" t="s">
        <v>21</v>
      </c>
      <c r="E1098" s="24">
        <v>2010</v>
      </c>
      <c r="F1098" s="17" t="s">
        <v>170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1300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10072</v>
      </c>
      <c r="B1099" s="17" t="s">
        <v>10072</v>
      </c>
      <c r="C1099" s="17" t="s">
        <v>10073</v>
      </c>
      <c r="D1099" s="17" t="s">
        <v>21</v>
      </c>
      <c r="E1099" s="24">
        <v>2010</v>
      </c>
      <c r="F1099" s="17" t="s">
        <v>172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1500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10074</v>
      </c>
      <c r="B1100" s="17" t="s">
        <v>10074</v>
      </c>
      <c r="C1100" s="17" t="s">
        <v>10075</v>
      </c>
      <c r="D1100" s="17" t="s">
        <v>21</v>
      </c>
      <c r="E1100" s="24">
        <v>2010</v>
      </c>
      <c r="F1100" s="17" t="s">
        <v>176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1600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10076</v>
      </c>
      <c r="B1101" s="17" t="s">
        <v>10076</v>
      </c>
      <c r="C1101" s="17" t="s">
        <v>10077</v>
      </c>
      <c r="D1101" s="17" t="s">
        <v>21</v>
      </c>
      <c r="E1101" s="24">
        <v>2010</v>
      </c>
      <c r="F1101" s="17" t="s">
        <v>182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1800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10078</v>
      </c>
      <c r="B1102" s="17" t="s">
        <v>10078</v>
      </c>
      <c r="C1102" s="17" t="s">
        <v>10079</v>
      </c>
      <c r="D1102" s="17" t="s">
        <v>21</v>
      </c>
      <c r="E1102" s="24">
        <v>2010</v>
      </c>
      <c r="F1102" s="17" t="s">
        <v>184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2000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10080</v>
      </c>
      <c r="B1103" s="17" t="s">
        <v>10080</v>
      </c>
      <c r="C1103" s="17" t="s">
        <v>10081</v>
      </c>
      <c r="D1103" s="17" t="s">
        <v>21</v>
      </c>
      <c r="E1103" s="24">
        <v>2010</v>
      </c>
      <c r="F1103" s="17" t="s">
        <v>188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2200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10082</v>
      </c>
      <c r="B1104" s="17" t="s">
        <v>10082</v>
      </c>
      <c r="C1104" s="17" t="s">
        <v>10083</v>
      </c>
      <c r="D1104" s="17" t="s">
        <v>21</v>
      </c>
      <c r="E1104" s="24">
        <v>2010</v>
      </c>
      <c r="F1104" s="17" t="s">
        <v>192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2400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10084</v>
      </c>
      <c r="B1105" s="17" t="s">
        <v>10084</v>
      </c>
      <c r="C1105" s="17" t="s">
        <v>10085</v>
      </c>
      <c r="D1105" s="17" t="s">
        <v>21</v>
      </c>
      <c r="E1105" s="24">
        <v>2010</v>
      </c>
      <c r="F1105" s="17" t="s">
        <v>194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2700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10086</v>
      </c>
      <c r="B1106" s="17" t="s">
        <v>10086</v>
      </c>
      <c r="C1106" s="17" t="s">
        <v>10087</v>
      </c>
      <c r="D1106" s="17" t="s">
        <v>21</v>
      </c>
      <c r="E1106" s="24">
        <v>2010</v>
      </c>
      <c r="F1106" s="17" t="s">
        <v>198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3000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10088</v>
      </c>
      <c r="B1107" s="17" t="s">
        <v>10088</v>
      </c>
      <c r="C1107" s="17" t="s">
        <v>10089</v>
      </c>
      <c r="D1107" s="17" t="s">
        <v>21</v>
      </c>
      <c r="E1107" s="24">
        <v>2010</v>
      </c>
      <c r="F1107" s="17" t="s">
        <v>202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3300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10090</v>
      </c>
      <c r="B1108" s="17" t="s">
        <v>10090</v>
      </c>
      <c r="C1108" s="17" t="s">
        <v>10091</v>
      </c>
      <c r="D1108" s="17" t="s">
        <v>21</v>
      </c>
      <c r="E1108" s="24">
        <v>2010</v>
      </c>
      <c r="F1108" s="17" t="s">
        <v>204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3600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10092</v>
      </c>
      <c r="B1109" s="17" t="s">
        <v>10092</v>
      </c>
      <c r="C1109" s="17" t="s">
        <v>10093</v>
      </c>
      <c r="D1109" s="17" t="s">
        <v>21</v>
      </c>
      <c r="E1109" s="24">
        <v>2010</v>
      </c>
      <c r="F1109" s="17" t="s">
        <v>206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3900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10094</v>
      </c>
      <c r="B1110" s="17" t="s">
        <v>10094</v>
      </c>
      <c r="C1110" s="17" t="s">
        <v>10095</v>
      </c>
      <c r="D1110" s="17" t="s">
        <v>21</v>
      </c>
      <c r="E1110" s="24">
        <v>2010</v>
      </c>
      <c r="F1110" s="17" t="s">
        <v>208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4300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10096</v>
      </c>
      <c r="B1111" s="17" t="s">
        <v>10096</v>
      </c>
      <c r="C1111" s="17" t="s">
        <v>10097</v>
      </c>
      <c r="D1111" s="17" t="s">
        <v>21</v>
      </c>
      <c r="E1111" s="24">
        <v>2010</v>
      </c>
      <c r="F1111" s="17" t="s">
        <v>210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4700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10098</v>
      </c>
      <c r="B1112" s="17" t="s">
        <v>10098</v>
      </c>
      <c r="C1112" s="17" t="s">
        <v>10099</v>
      </c>
      <c r="D1112" s="17" t="s">
        <v>21</v>
      </c>
      <c r="E1112" s="24">
        <v>2010</v>
      </c>
      <c r="F1112" s="17" t="s">
        <v>214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5100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10100</v>
      </c>
      <c r="B1113" s="17" t="s">
        <v>10100</v>
      </c>
      <c r="C1113" s="17" t="s">
        <v>10101</v>
      </c>
      <c r="D1113" s="17" t="s">
        <v>21</v>
      </c>
      <c r="E1113" s="24">
        <v>2010</v>
      </c>
      <c r="F1113" s="17" t="s">
        <v>216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5600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10102</v>
      </c>
      <c r="B1114" s="17" t="s">
        <v>10102</v>
      </c>
      <c r="C1114" s="17" t="s">
        <v>10103</v>
      </c>
      <c r="D1114" s="17" t="s">
        <v>21</v>
      </c>
      <c r="E1114" s="24">
        <v>2010</v>
      </c>
      <c r="F1114" s="17" t="s">
        <v>218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6200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10104</v>
      </c>
      <c r="B1115" s="17" t="s">
        <v>10104</v>
      </c>
      <c r="C1115" s="17" t="s">
        <v>10105</v>
      </c>
      <c r="D1115" s="17" t="s">
        <v>21</v>
      </c>
      <c r="E1115" s="24">
        <v>2010</v>
      </c>
      <c r="F1115" s="17" t="s">
        <v>220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6800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10106</v>
      </c>
      <c r="B1116" s="17" t="s">
        <v>10106</v>
      </c>
      <c r="C1116" s="17" t="s">
        <v>10107</v>
      </c>
      <c r="D1116" s="17" t="s">
        <v>21</v>
      </c>
      <c r="E1116" s="24">
        <v>2010</v>
      </c>
      <c r="F1116" s="17" t="s">
        <v>222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7500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10108</v>
      </c>
      <c r="B1117" s="17" t="s">
        <v>10108</v>
      </c>
      <c r="C1117" s="17" t="s">
        <v>10109</v>
      </c>
      <c r="D1117" s="17" t="s">
        <v>21</v>
      </c>
      <c r="E1117" s="24">
        <v>2010</v>
      </c>
      <c r="F1117" s="17" t="s">
        <v>224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8200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10110</v>
      </c>
      <c r="B1118" s="17" t="s">
        <v>10110</v>
      </c>
      <c r="C1118" s="17" t="s">
        <v>10111</v>
      </c>
      <c r="D1118" s="17" t="s">
        <v>21</v>
      </c>
      <c r="E1118" s="24">
        <v>2010</v>
      </c>
      <c r="F1118" s="17" t="s">
        <v>226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9100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10112</v>
      </c>
      <c r="B1119" s="17" t="s">
        <v>10112</v>
      </c>
      <c r="C1119" s="17" t="s">
        <v>10113</v>
      </c>
      <c r="D1119" s="17" t="s">
        <v>21</v>
      </c>
      <c r="E1119" s="24">
        <v>2010</v>
      </c>
      <c r="F1119" s="17" t="s">
        <v>230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10000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10114</v>
      </c>
      <c r="B1120" s="17" t="s">
        <v>10114</v>
      </c>
      <c r="C1120" s="17" t="s">
        <v>10115</v>
      </c>
      <c r="D1120" s="17" t="s">
        <v>21</v>
      </c>
      <c r="E1120" s="24">
        <v>2010</v>
      </c>
      <c r="F1120" s="17" t="s">
        <v>234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11000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10116</v>
      </c>
      <c r="B1121" s="17" t="s">
        <v>10116</v>
      </c>
      <c r="C1121" s="17" t="s">
        <v>10117</v>
      </c>
      <c r="D1121" s="17" t="s">
        <v>21</v>
      </c>
      <c r="E1121" s="24">
        <v>2010</v>
      </c>
      <c r="F1121" s="17" t="s">
        <v>236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12000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10118</v>
      </c>
      <c r="B1122" s="17" t="s">
        <v>10118</v>
      </c>
      <c r="C1122" s="17" t="s">
        <v>10119</v>
      </c>
      <c r="D1122" s="17" t="s">
        <v>21</v>
      </c>
      <c r="E1122" s="24">
        <v>2010</v>
      </c>
      <c r="F1122" s="17" t="s">
        <v>240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13000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10120</v>
      </c>
      <c r="B1123" s="17" t="s">
        <v>10120</v>
      </c>
      <c r="C1123" s="17" t="s">
        <v>10121</v>
      </c>
      <c r="D1123" s="17" t="s">
        <v>21</v>
      </c>
      <c r="E1123" s="24">
        <v>2010</v>
      </c>
      <c r="F1123" s="17" t="s">
        <v>244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15000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10122</v>
      </c>
      <c r="B1124" s="17" t="s">
        <v>10122</v>
      </c>
      <c r="C1124" s="17" t="s">
        <v>10123</v>
      </c>
      <c r="D1124" s="17" t="s">
        <v>21</v>
      </c>
      <c r="E1124" s="24">
        <v>2010</v>
      </c>
      <c r="F1124" s="17" t="s">
        <v>248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16000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10124</v>
      </c>
      <c r="B1125" s="17" t="s">
        <v>10124</v>
      </c>
      <c r="C1125" s="17" t="s">
        <v>10125</v>
      </c>
      <c r="D1125" s="17" t="s">
        <v>21</v>
      </c>
      <c r="E1125" s="24">
        <v>2010</v>
      </c>
      <c r="F1125" s="17" t="s">
        <v>252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18000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10126</v>
      </c>
      <c r="B1126" s="17" t="s">
        <v>10126</v>
      </c>
      <c r="C1126" s="17" t="s">
        <v>10127</v>
      </c>
      <c r="D1126" s="17" t="s">
        <v>21</v>
      </c>
      <c r="E1126" s="24">
        <v>2010</v>
      </c>
      <c r="F1126" s="17" t="s">
        <v>256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20000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10128</v>
      </c>
      <c r="B1127" s="17" t="s">
        <v>10128</v>
      </c>
      <c r="C1127" s="17" t="s">
        <v>10129</v>
      </c>
      <c r="D1127" s="17" t="s">
        <v>21</v>
      </c>
      <c r="E1127" s="24">
        <v>2010</v>
      </c>
      <c r="F1127" s="17" t="s">
        <v>258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22000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10130</v>
      </c>
      <c r="B1128" s="17" t="s">
        <v>10130</v>
      </c>
      <c r="C1128" s="17" t="s">
        <v>10131</v>
      </c>
      <c r="D1128" s="17" t="s">
        <v>21</v>
      </c>
      <c r="E1128" s="24">
        <v>2010</v>
      </c>
      <c r="F1128" s="17" t="s">
        <v>260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24000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10132</v>
      </c>
      <c r="B1129" s="17" t="s">
        <v>10132</v>
      </c>
      <c r="C1129" s="17" t="s">
        <v>10133</v>
      </c>
      <c r="D1129" s="17" t="s">
        <v>21</v>
      </c>
      <c r="E1129" s="24">
        <v>2010</v>
      </c>
      <c r="F1129" s="17" t="s">
        <v>264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27000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10134</v>
      </c>
      <c r="B1130" s="17" t="s">
        <v>10134</v>
      </c>
      <c r="C1130" s="17" t="s">
        <v>10135</v>
      </c>
      <c r="D1130" s="17" t="s">
        <v>21</v>
      </c>
      <c r="E1130" s="24">
        <v>2010</v>
      </c>
      <c r="F1130" s="17" t="s">
        <v>266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30000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10136</v>
      </c>
      <c r="B1131" s="17" t="s">
        <v>10136</v>
      </c>
      <c r="C1131" s="17" t="s">
        <v>10137</v>
      </c>
      <c r="D1131" s="17" t="s">
        <v>21</v>
      </c>
      <c r="E1131" s="24">
        <v>2010</v>
      </c>
      <c r="F1131" s="17" t="s">
        <v>268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33000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10138</v>
      </c>
      <c r="B1132" s="17" t="s">
        <v>10138</v>
      </c>
      <c r="C1132" s="17" t="s">
        <v>10139</v>
      </c>
      <c r="D1132" s="17" t="s">
        <v>21</v>
      </c>
      <c r="E1132" s="24">
        <v>2010</v>
      </c>
      <c r="F1132" s="17" t="s">
        <v>270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36000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10140</v>
      </c>
      <c r="B1133" s="17" t="s">
        <v>10140</v>
      </c>
      <c r="C1133" s="17" t="s">
        <v>10141</v>
      </c>
      <c r="D1133" s="17" t="s">
        <v>21</v>
      </c>
      <c r="E1133" s="24">
        <v>2010</v>
      </c>
      <c r="F1133" s="17" t="s">
        <v>274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39000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10142</v>
      </c>
      <c r="B1134" s="17" t="s">
        <v>10142</v>
      </c>
      <c r="C1134" s="17" t="s">
        <v>10143</v>
      </c>
      <c r="D1134" s="17" t="s">
        <v>21</v>
      </c>
      <c r="E1134" s="24">
        <v>2010</v>
      </c>
      <c r="F1134" s="17" t="s">
        <v>278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43000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10144</v>
      </c>
      <c r="B1135" s="17" t="s">
        <v>10144</v>
      </c>
      <c r="C1135" s="17" t="s">
        <v>10145</v>
      </c>
      <c r="D1135" s="17" t="s">
        <v>21</v>
      </c>
      <c r="E1135" s="24">
        <v>2010</v>
      </c>
      <c r="F1135" s="17" t="s">
        <v>280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47000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10146</v>
      </c>
      <c r="B1136" s="17" t="s">
        <v>10146</v>
      </c>
      <c r="C1136" s="17" t="s">
        <v>10147</v>
      </c>
      <c r="D1136" s="17" t="s">
        <v>21</v>
      </c>
      <c r="E1136" s="24">
        <v>2010</v>
      </c>
      <c r="F1136" s="17" t="s">
        <v>284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51000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10148</v>
      </c>
      <c r="B1137" s="17" t="s">
        <v>10148</v>
      </c>
      <c r="C1137" s="17" t="s">
        <v>10149</v>
      </c>
      <c r="D1137" s="17" t="s">
        <v>21</v>
      </c>
      <c r="E1137" s="24">
        <v>2010</v>
      </c>
      <c r="F1137" s="17" t="s">
        <v>288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56000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10150</v>
      </c>
      <c r="B1138" s="17" t="s">
        <v>10150</v>
      </c>
      <c r="C1138" s="17" t="s">
        <v>10151</v>
      </c>
      <c r="D1138" s="17" t="s">
        <v>21</v>
      </c>
      <c r="E1138" s="24">
        <v>2010</v>
      </c>
      <c r="F1138" s="17" t="s">
        <v>292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62000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10152</v>
      </c>
      <c r="B1139" s="17" t="s">
        <v>10152</v>
      </c>
      <c r="C1139" s="17" t="s">
        <v>10153</v>
      </c>
      <c r="D1139" s="17" t="s">
        <v>21</v>
      </c>
      <c r="E1139" s="24">
        <v>2010</v>
      </c>
      <c r="F1139" s="17" t="s">
        <v>296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68000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10154</v>
      </c>
      <c r="B1140" s="17" t="s">
        <v>10154</v>
      </c>
      <c r="C1140" s="17" t="s">
        <v>10155</v>
      </c>
      <c r="D1140" s="17" t="s">
        <v>21</v>
      </c>
      <c r="E1140" s="24">
        <v>2010</v>
      </c>
      <c r="F1140" s="17" t="s">
        <v>300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75000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10156</v>
      </c>
      <c r="B1141" s="17" t="s">
        <v>10156</v>
      </c>
      <c r="C1141" s="17" t="s">
        <v>10157</v>
      </c>
      <c r="D1141" s="17" t="s">
        <v>21</v>
      </c>
      <c r="E1141" s="24">
        <v>2010</v>
      </c>
      <c r="F1141" s="17" t="s">
        <v>302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82000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10158</v>
      </c>
      <c r="B1142" s="17" t="s">
        <v>10158</v>
      </c>
      <c r="C1142" s="17" t="s">
        <v>10159</v>
      </c>
      <c r="D1142" s="17" t="s">
        <v>21</v>
      </c>
      <c r="E1142" s="24">
        <v>2010</v>
      </c>
      <c r="F1142" s="17" t="s">
        <v>304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91000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10160</v>
      </c>
      <c r="B1143" s="17" t="s">
        <v>10160</v>
      </c>
      <c r="C1143" s="17" t="s">
        <v>10161</v>
      </c>
      <c r="D1143" s="17" t="s">
        <v>21</v>
      </c>
      <c r="E1143" s="24">
        <v>2010</v>
      </c>
      <c r="F1143" s="17" t="s">
        <v>306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100000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10162</v>
      </c>
      <c r="B1144" s="17" t="s">
        <v>10162</v>
      </c>
      <c r="C1144" s="17" t="s">
        <v>10163</v>
      </c>
      <c r="D1144" s="17" t="s">
        <v>21</v>
      </c>
      <c r="E1144" s="24">
        <v>2010</v>
      </c>
      <c r="F1144" s="17" t="s">
        <v>310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110000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10164</v>
      </c>
      <c r="B1145" s="17" t="s">
        <v>10164</v>
      </c>
      <c r="C1145" s="17" t="s">
        <v>10165</v>
      </c>
      <c r="D1145" s="17" t="s">
        <v>21</v>
      </c>
      <c r="E1145" s="24">
        <v>2010</v>
      </c>
      <c r="F1145" s="17" t="s">
        <v>314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120000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10166</v>
      </c>
      <c r="B1146" s="17" t="s">
        <v>10166</v>
      </c>
      <c r="C1146" s="17" t="s">
        <v>10167</v>
      </c>
      <c r="D1146" s="17" t="s">
        <v>21</v>
      </c>
      <c r="E1146" s="24">
        <v>2010</v>
      </c>
      <c r="F1146" s="17" t="s">
        <v>318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130000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10168</v>
      </c>
      <c r="B1147" s="17" t="s">
        <v>10168</v>
      </c>
      <c r="C1147" s="17" t="s">
        <v>10169</v>
      </c>
      <c r="D1147" s="17" t="s">
        <v>21</v>
      </c>
      <c r="E1147" s="24">
        <v>2010</v>
      </c>
      <c r="F1147" s="17" t="s">
        <v>322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150000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10170</v>
      </c>
      <c r="B1148" s="17" t="s">
        <v>10170</v>
      </c>
      <c r="C1148" s="17" t="s">
        <v>10171</v>
      </c>
      <c r="D1148" s="17" t="s">
        <v>21</v>
      </c>
      <c r="E1148" s="24">
        <v>2010</v>
      </c>
      <c r="F1148" s="17" t="s">
        <v>324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160000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10172</v>
      </c>
      <c r="B1149" s="17" t="s">
        <v>10172</v>
      </c>
      <c r="C1149" s="17" t="s">
        <v>10173</v>
      </c>
      <c r="D1149" s="17" t="s">
        <v>21</v>
      </c>
      <c r="E1149" s="24">
        <v>2010</v>
      </c>
      <c r="F1149" s="17" t="s">
        <v>328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180000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10174</v>
      </c>
      <c r="B1150" s="17" t="s">
        <v>10174</v>
      </c>
      <c r="C1150" s="17" t="s">
        <v>10175</v>
      </c>
      <c r="D1150" s="17" t="s">
        <v>21</v>
      </c>
      <c r="E1150" s="24">
        <v>2010</v>
      </c>
      <c r="F1150" s="17" t="s">
        <v>332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200000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10176</v>
      </c>
      <c r="B1151" s="17" t="s">
        <v>10176</v>
      </c>
      <c r="C1151" s="17" t="s">
        <v>10177</v>
      </c>
      <c r="D1151" s="17" t="s">
        <v>21</v>
      </c>
      <c r="E1151" s="24">
        <v>2010</v>
      </c>
      <c r="F1151" s="17" t="s">
        <v>334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220000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10178</v>
      </c>
      <c r="B1152" s="17" t="s">
        <v>10178</v>
      </c>
      <c r="C1152" s="17" t="s">
        <v>10179</v>
      </c>
      <c r="D1152" s="17" t="s">
        <v>21</v>
      </c>
      <c r="E1152" s="24">
        <v>2010</v>
      </c>
      <c r="F1152" s="17" t="s">
        <v>336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240000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10180</v>
      </c>
      <c r="B1153" s="17" t="s">
        <v>10180</v>
      </c>
      <c r="C1153" s="17" t="s">
        <v>10181</v>
      </c>
      <c r="D1153" s="17" t="s">
        <v>21</v>
      </c>
      <c r="E1153" s="24">
        <v>2010</v>
      </c>
      <c r="F1153" s="17" t="s">
        <v>338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270000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10182</v>
      </c>
      <c r="B1154" s="17" t="s">
        <v>10182</v>
      </c>
      <c r="C1154" s="17" t="s">
        <v>10183</v>
      </c>
      <c r="D1154" s="17" t="s">
        <v>21</v>
      </c>
      <c r="E1154" s="24">
        <v>2010</v>
      </c>
      <c r="F1154" s="17" t="s">
        <v>340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300000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10184</v>
      </c>
      <c r="B1155" s="17" t="s">
        <v>10184</v>
      </c>
      <c r="C1155" s="16" t="s">
        <v>10185</v>
      </c>
      <c r="D1155" s="16" t="s">
        <v>21</v>
      </c>
      <c r="E1155" s="24">
        <v>2010</v>
      </c>
      <c r="F1155" s="17" t="s">
        <v>342</v>
      </c>
      <c r="G1155" s="17" t="str">
        <f>Config!$B$3</f>
        <v>SCH/R_IEC.SchLib</v>
      </c>
      <c r="H1155" s="16" t="s">
        <v>420</v>
      </c>
      <c r="I1155" s="18" t="s">
        <v>462</v>
      </c>
      <c r="J1155" s="40"/>
      <c r="K1155" s="21">
        <v>330000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10186</v>
      </c>
      <c r="B1156" s="17" t="s">
        <v>10186</v>
      </c>
      <c r="C1156" s="17" t="s">
        <v>10187</v>
      </c>
      <c r="D1156" s="17" t="s">
        <v>21</v>
      </c>
      <c r="E1156" s="24">
        <v>2010</v>
      </c>
      <c r="F1156" s="17" t="s">
        <v>346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360000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10188</v>
      </c>
      <c r="B1157" s="17" t="s">
        <v>10188</v>
      </c>
      <c r="C1157" s="17" t="s">
        <v>10189</v>
      </c>
      <c r="D1157" s="17" t="s">
        <v>21</v>
      </c>
      <c r="E1157" s="24">
        <v>2010</v>
      </c>
      <c r="F1157" s="17" t="s">
        <v>350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390000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10190</v>
      </c>
      <c r="B1158" s="17" t="s">
        <v>10190</v>
      </c>
      <c r="C1158" s="17" t="s">
        <v>10191</v>
      </c>
      <c r="D1158" s="17" t="s">
        <v>21</v>
      </c>
      <c r="E1158" s="24">
        <v>2010</v>
      </c>
      <c r="F1158" s="17" t="s">
        <v>352</v>
      </c>
      <c r="G1158" s="17" t="str">
        <f>Config!$B$3</f>
        <v>SCH/R_IEC.SchLib</v>
      </c>
      <c r="H1158" s="17" t="s">
        <v>420</v>
      </c>
      <c r="I1158" s="17" t="s">
        <v>462</v>
      </c>
      <c r="J1158" s="41"/>
      <c r="K1158" s="21">
        <v>430000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10192</v>
      </c>
      <c r="B1159" s="17" t="s">
        <v>10192</v>
      </c>
      <c r="C1159" s="17" t="s">
        <v>10193</v>
      </c>
      <c r="D1159" s="17" t="s">
        <v>21</v>
      </c>
      <c r="E1159" s="24">
        <v>2010</v>
      </c>
      <c r="F1159" s="17" t="s">
        <v>354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470000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10194</v>
      </c>
      <c r="B1160" s="17" t="s">
        <v>10194</v>
      </c>
      <c r="C1160" s="17" t="s">
        <v>10195</v>
      </c>
      <c r="D1160" s="17" t="s">
        <v>21</v>
      </c>
      <c r="E1160" s="24">
        <v>2010</v>
      </c>
      <c r="F1160" s="17" t="s">
        <v>356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510000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10196</v>
      </c>
      <c r="B1161" s="17" t="s">
        <v>10196</v>
      </c>
      <c r="C1161" s="17" t="s">
        <v>10197</v>
      </c>
      <c r="D1161" s="17" t="s">
        <v>21</v>
      </c>
      <c r="E1161" s="24">
        <v>2010</v>
      </c>
      <c r="F1161" s="17" t="s">
        <v>358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560000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10198</v>
      </c>
      <c r="B1162" s="17" t="s">
        <v>10198</v>
      </c>
      <c r="C1162" s="17" t="s">
        <v>10199</v>
      </c>
      <c r="D1162" s="17" t="s">
        <v>21</v>
      </c>
      <c r="E1162" s="24">
        <v>2010</v>
      </c>
      <c r="F1162" s="17" t="s">
        <v>360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620000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10200</v>
      </c>
      <c r="B1163" s="17" t="s">
        <v>10200</v>
      </c>
      <c r="C1163" s="17" t="s">
        <v>10201</v>
      </c>
      <c r="D1163" s="17" t="s">
        <v>21</v>
      </c>
      <c r="E1163" s="24">
        <v>2010</v>
      </c>
      <c r="F1163" s="17" t="s">
        <v>362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680000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10202</v>
      </c>
      <c r="B1164" s="17" t="s">
        <v>10202</v>
      </c>
      <c r="C1164" s="17" t="s">
        <v>10203</v>
      </c>
      <c r="D1164" s="17" t="s">
        <v>21</v>
      </c>
      <c r="E1164" s="24">
        <v>2010</v>
      </c>
      <c r="F1164" s="17" t="s">
        <v>364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750000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10204</v>
      </c>
      <c r="B1165" s="17" t="s">
        <v>10204</v>
      </c>
      <c r="C1165" s="17" t="s">
        <v>10205</v>
      </c>
      <c r="D1165" s="17" t="s">
        <v>21</v>
      </c>
      <c r="E1165" s="24">
        <v>2010</v>
      </c>
      <c r="F1165" s="17" t="s">
        <v>366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820000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10206</v>
      </c>
      <c r="B1166" s="17" t="s">
        <v>10206</v>
      </c>
      <c r="C1166" s="17" t="s">
        <v>10207</v>
      </c>
      <c r="D1166" s="17" t="s">
        <v>21</v>
      </c>
      <c r="E1166" s="24">
        <v>2010</v>
      </c>
      <c r="F1166" s="17" t="s">
        <v>368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910000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10208</v>
      </c>
      <c r="B1167" s="17" t="s">
        <v>10208</v>
      </c>
      <c r="C1167" s="17" t="s">
        <v>10209</v>
      </c>
      <c r="D1167" s="17" t="s">
        <v>21</v>
      </c>
      <c r="E1167" s="24">
        <v>2010</v>
      </c>
      <c r="F1167" s="17" t="s">
        <v>370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1000000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10210</v>
      </c>
      <c r="B1168" s="17" t="s">
        <v>10210</v>
      </c>
      <c r="C1168" s="17" t="s">
        <v>10211</v>
      </c>
      <c r="D1168" s="17" t="s">
        <v>21</v>
      </c>
      <c r="E1168" s="24">
        <v>2010</v>
      </c>
      <c r="F1168" s="17" t="s">
        <v>372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1100000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10212</v>
      </c>
      <c r="B1169" s="17" t="s">
        <v>10212</v>
      </c>
      <c r="C1169" s="17" t="s">
        <v>10213</v>
      </c>
      <c r="D1169" s="17" t="s">
        <v>21</v>
      </c>
      <c r="E1169" s="24">
        <v>2010</v>
      </c>
      <c r="F1169" s="17" t="s">
        <v>374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1200000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10214</v>
      </c>
      <c r="B1170" s="17" t="s">
        <v>10214</v>
      </c>
      <c r="C1170" s="17" t="s">
        <v>10215</v>
      </c>
      <c r="D1170" s="17" t="s">
        <v>21</v>
      </c>
      <c r="E1170" s="24">
        <v>2010</v>
      </c>
      <c r="F1170" s="17" t="s">
        <v>376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1300000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10216</v>
      </c>
      <c r="B1171" s="17" t="s">
        <v>10216</v>
      </c>
      <c r="C1171" s="17" t="s">
        <v>10217</v>
      </c>
      <c r="D1171" s="17" t="s">
        <v>21</v>
      </c>
      <c r="E1171" s="24">
        <v>2010</v>
      </c>
      <c r="F1171" s="17" t="s">
        <v>378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1500000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10218</v>
      </c>
      <c r="B1172" s="17" t="s">
        <v>10218</v>
      </c>
      <c r="C1172" s="17" t="s">
        <v>10219</v>
      </c>
      <c r="D1172" s="17" t="s">
        <v>21</v>
      </c>
      <c r="E1172" s="24">
        <v>2010</v>
      </c>
      <c r="F1172" s="17" t="s">
        <v>380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1600000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10220</v>
      </c>
      <c r="B1173" s="17" t="s">
        <v>10220</v>
      </c>
      <c r="C1173" s="17" t="s">
        <v>10221</v>
      </c>
      <c r="D1173" s="17" t="s">
        <v>21</v>
      </c>
      <c r="E1173" s="24">
        <v>2010</v>
      </c>
      <c r="F1173" s="17" t="s">
        <v>382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1800000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10222</v>
      </c>
      <c r="B1174" s="17" t="s">
        <v>10222</v>
      </c>
      <c r="C1174" s="17" t="s">
        <v>10223</v>
      </c>
      <c r="D1174" s="17" t="s">
        <v>21</v>
      </c>
      <c r="E1174" s="24">
        <v>2010</v>
      </c>
      <c r="F1174" s="17" t="s">
        <v>384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2000000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10224</v>
      </c>
      <c r="B1175" s="17" t="s">
        <v>10224</v>
      </c>
      <c r="C1175" s="17" t="s">
        <v>10225</v>
      </c>
      <c r="D1175" s="17" t="s">
        <v>21</v>
      </c>
      <c r="E1175" s="24">
        <v>2010</v>
      </c>
      <c r="F1175" s="17" t="s">
        <v>386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2200000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10226</v>
      </c>
      <c r="B1176" s="17" t="s">
        <v>10226</v>
      </c>
      <c r="C1176" s="17" t="s">
        <v>10227</v>
      </c>
      <c r="D1176" s="17" t="s">
        <v>21</v>
      </c>
      <c r="E1176" s="24">
        <v>2010</v>
      </c>
      <c r="F1176" s="17" t="s">
        <v>388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2400000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10228</v>
      </c>
      <c r="B1177" s="17" t="s">
        <v>10228</v>
      </c>
      <c r="C1177" s="17" t="s">
        <v>10229</v>
      </c>
      <c r="D1177" s="17" t="s">
        <v>21</v>
      </c>
      <c r="E1177" s="24">
        <v>2010</v>
      </c>
      <c r="F1177" s="17" t="s">
        <v>390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2700000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10230</v>
      </c>
      <c r="B1178" s="17" t="s">
        <v>10230</v>
      </c>
      <c r="C1178" s="17" t="s">
        <v>10231</v>
      </c>
      <c r="D1178" s="17" t="s">
        <v>21</v>
      </c>
      <c r="E1178" s="24">
        <v>2010</v>
      </c>
      <c r="F1178" s="17" t="s">
        <v>392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3000000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10232</v>
      </c>
      <c r="B1179" s="17" t="s">
        <v>10232</v>
      </c>
      <c r="C1179" s="17" t="s">
        <v>10233</v>
      </c>
      <c r="D1179" s="17" t="s">
        <v>21</v>
      </c>
      <c r="E1179" s="24">
        <v>2010</v>
      </c>
      <c r="F1179" s="17" t="s">
        <v>394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3300000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10234</v>
      </c>
      <c r="B1180" s="17" t="s">
        <v>10234</v>
      </c>
      <c r="C1180" s="17" t="s">
        <v>10235</v>
      </c>
      <c r="D1180" s="17" t="s">
        <v>21</v>
      </c>
      <c r="E1180" s="24">
        <v>2010</v>
      </c>
      <c r="F1180" s="17" t="s">
        <v>396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3600000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10236</v>
      </c>
      <c r="B1181" s="17" t="s">
        <v>10236</v>
      </c>
      <c r="C1181" s="17" t="s">
        <v>10237</v>
      </c>
      <c r="D1181" s="17" t="s">
        <v>21</v>
      </c>
      <c r="E1181" s="24">
        <v>2010</v>
      </c>
      <c r="F1181" s="17" t="s">
        <v>398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3900000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10238</v>
      </c>
      <c r="B1182" s="17" t="s">
        <v>10238</v>
      </c>
      <c r="C1182" s="17" t="s">
        <v>10239</v>
      </c>
      <c r="D1182" s="17" t="s">
        <v>21</v>
      </c>
      <c r="E1182" s="24">
        <v>2010</v>
      </c>
      <c r="F1182" s="17" t="s">
        <v>400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4300000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10240</v>
      </c>
      <c r="B1183" s="17" t="s">
        <v>10240</v>
      </c>
      <c r="C1183" s="17" t="s">
        <v>10241</v>
      </c>
      <c r="D1183" s="17" t="s">
        <v>21</v>
      </c>
      <c r="E1183" s="24">
        <v>2010</v>
      </c>
      <c r="F1183" s="17" t="s">
        <v>402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4700000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10242</v>
      </c>
      <c r="B1184" s="17" t="s">
        <v>10242</v>
      </c>
      <c r="C1184" s="17" t="s">
        <v>10243</v>
      </c>
      <c r="D1184" s="17" t="s">
        <v>21</v>
      </c>
      <c r="E1184" s="24">
        <v>2010</v>
      </c>
      <c r="F1184" s="17" t="s">
        <v>404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5100000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10244</v>
      </c>
      <c r="B1185" s="17" t="s">
        <v>10244</v>
      </c>
      <c r="C1185" s="17" t="s">
        <v>10245</v>
      </c>
      <c r="D1185" s="17" t="s">
        <v>21</v>
      </c>
      <c r="E1185" s="24">
        <v>2010</v>
      </c>
      <c r="F1185" s="17" t="s">
        <v>406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5600000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10246</v>
      </c>
      <c r="B1186" s="17" t="s">
        <v>10246</v>
      </c>
      <c r="C1186" s="17" t="s">
        <v>10247</v>
      </c>
      <c r="D1186" s="17" t="s">
        <v>21</v>
      </c>
      <c r="E1186" s="24">
        <v>2010</v>
      </c>
      <c r="F1186" s="17" t="s">
        <v>408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6200000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10248</v>
      </c>
      <c r="B1187" s="17" t="s">
        <v>10248</v>
      </c>
      <c r="C1187" s="17" t="s">
        <v>10249</v>
      </c>
      <c r="D1187" s="17" t="s">
        <v>21</v>
      </c>
      <c r="E1187" s="24">
        <v>2010</v>
      </c>
      <c r="F1187" s="17" t="s">
        <v>410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6800000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10250</v>
      </c>
      <c r="B1188" s="17" t="s">
        <v>10250</v>
      </c>
      <c r="C1188" s="17" t="s">
        <v>10251</v>
      </c>
      <c r="D1188" s="17" t="s">
        <v>21</v>
      </c>
      <c r="E1188" s="24">
        <v>2010</v>
      </c>
      <c r="F1188" s="17" t="s">
        <v>412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7500000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10252</v>
      </c>
      <c r="B1189" s="17" t="s">
        <v>10252</v>
      </c>
      <c r="C1189" s="17" t="s">
        <v>10253</v>
      </c>
      <c r="D1189" s="17" t="s">
        <v>21</v>
      </c>
      <c r="E1189" s="24">
        <v>2010</v>
      </c>
      <c r="F1189" s="17" t="s">
        <v>414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8200000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10254</v>
      </c>
      <c r="B1190" s="17" t="s">
        <v>10254</v>
      </c>
      <c r="C1190" s="17" t="s">
        <v>10255</v>
      </c>
      <c r="D1190" s="17" t="s">
        <v>21</v>
      </c>
      <c r="E1190" s="24">
        <v>2010</v>
      </c>
      <c r="F1190" s="17" t="s">
        <v>416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9100000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10256</v>
      </c>
      <c r="B1191" s="17" t="s">
        <v>10256</v>
      </c>
      <c r="C1191" s="17" t="s">
        <v>10257</v>
      </c>
      <c r="D1191" s="17" t="s">
        <v>21</v>
      </c>
      <c r="E1191" s="24">
        <v>2010</v>
      </c>
      <c r="F1191" s="17" t="s">
        <v>418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10000000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6" t="s">
        <v>9580</v>
      </c>
      <c r="B1192" s="16" t="s">
        <v>9580</v>
      </c>
      <c r="C1192" s="16" t="s">
        <v>9581</v>
      </c>
      <c r="D1192" s="16" t="s">
        <v>21</v>
      </c>
      <c r="E1192" s="16">
        <v>2512</v>
      </c>
      <c r="F1192" s="16" t="s">
        <v>23</v>
      </c>
      <c r="G1192" s="17" t="str">
        <f>Config!$B$3</f>
        <v>SCH/R_IEC.SchLib</v>
      </c>
      <c r="H1192" s="16" t="s">
        <v>420</v>
      </c>
      <c r="I1192" s="18" t="s">
        <v>462</v>
      </c>
      <c r="J1192" s="17" t="s">
        <v>7482</v>
      </c>
      <c r="K1192" s="19">
        <v>0</v>
      </c>
      <c r="L1192" s="17"/>
      <c r="M1192" s="16"/>
      <c r="N1192" s="17"/>
      <c r="O1192" s="16"/>
      <c r="P1192" s="17"/>
      <c r="Q1192" s="16"/>
      <c r="R1192" s="17"/>
      <c r="S1192" s="16"/>
      <c r="T1192" s="16"/>
      <c r="U1192" s="17"/>
      <c r="V1192" s="17"/>
      <c r="W1192" s="16"/>
      <c r="X1192" s="17"/>
      <c r="Y1192" s="17"/>
      <c r="Z1192" s="17"/>
    </row>
    <row r="1193" spans="1:26">
      <c r="A1193" s="17" t="s">
        <v>9582</v>
      </c>
      <c r="B1193" s="17" t="s">
        <v>9582</v>
      </c>
      <c r="C1193" s="17" t="s">
        <v>9583</v>
      </c>
      <c r="D1193" s="17" t="s">
        <v>21</v>
      </c>
      <c r="E1193" s="24">
        <v>2512</v>
      </c>
      <c r="F1193" s="17" t="s">
        <v>30</v>
      </c>
      <c r="G1193" s="17" t="str">
        <f>Config!$B$3</f>
        <v>SCH/R_IEC.SchLib</v>
      </c>
      <c r="H1193" s="17" t="s">
        <v>420</v>
      </c>
      <c r="I1193" s="17" t="s">
        <v>462</v>
      </c>
      <c r="J1193" s="17" t="s">
        <v>7482</v>
      </c>
      <c r="K1193" s="17">
        <v>1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9584</v>
      </c>
      <c r="B1194" s="17" t="s">
        <v>9584</v>
      </c>
      <c r="C1194" s="17" t="s">
        <v>9585</v>
      </c>
      <c r="D1194" s="17" t="s">
        <v>21</v>
      </c>
      <c r="E1194" s="24">
        <v>2512</v>
      </c>
      <c r="F1194" s="17" t="s">
        <v>1044</v>
      </c>
      <c r="G1194" s="17" t="str">
        <f>Config!$B$3</f>
        <v>SCH/R_IEC.SchLib</v>
      </c>
      <c r="H1194" s="17" t="s">
        <v>420</v>
      </c>
      <c r="I1194" s="17" t="s">
        <v>462</v>
      </c>
      <c r="J1194" s="17" t="s">
        <v>7482</v>
      </c>
      <c r="K1194" s="17">
        <v>1.1000000000000001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7" t="s">
        <v>9586</v>
      </c>
      <c r="B1195" s="17" t="s">
        <v>9586</v>
      </c>
      <c r="C1195" s="17" t="s">
        <v>9587</v>
      </c>
      <c r="D1195" s="17" t="s">
        <v>21</v>
      </c>
      <c r="E1195" s="24">
        <v>2512</v>
      </c>
      <c r="F1195" s="17" t="s">
        <v>32</v>
      </c>
      <c r="G1195" s="17" t="str">
        <f>Config!$B$3</f>
        <v>SCH/R_IEC.SchLib</v>
      </c>
      <c r="H1195" s="17" t="s">
        <v>420</v>
      </c>
      <c r="I1195" s="17" t="s">
        <v>462</v>
      </c>
      <c r="J1195" s="17" t="s">
        <v>7482</v>
      </c>
      <c r="K1195" s="17">
        <v>1.2</v>
      </c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</row>
    <row r="1196" spans="1:26">
      <c r="A1196" s="17" t="s">
        <v>9588</v>
      </c>
      <c r="B1196" s="17" t="s">
        <v>9588</v>
      </c>
      <c r="C1196" s="17" t="s">
        <v>9589</v>
      </c>
      <c r="D1196" s="17" t="s">
        <v>21</v>
      </c>
      <c r="E1196" s="24">
        <v>2512</v>
      </c>
      <c r="F1196" s="17" t="s">
        <v>1054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1.3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9590</v>
      </c>
      <c r="B1197" s="17" t="s">
        <v>9590</v>
      </c>
      <c r="C1197" s="17" t="s">
        <v>9591</v>
      </c>
      <c r="D1197" s="17" t="s">
        <v>21</v>
      </c>
      <c r="E1197" s="24">
        <v>2512</v>
      </c>
      <c r="F1197" s="17" t="s">
        <v>34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1.5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9592</v>
      </c>
      <c r="B1198" s="17" t="s">
        <v>9592</v>
      </c>
      <c r="C1198" s="17" t="s">
        <v>9593</v>
      </c>
      <c r="D1198" s="17" t="s">
        <v>21</v>
      </c>
      <c r="E1198" s="24">
        <v>2512</v>
      </c>
      <c r="F1198" s="17" t="s">
        <v>1064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1.6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9594</v>
      </c>
      <c r="B1199" s="17" t="s">
        <v>9594</v>
      </c>
      <c r="C1199" s="17" t="s">
        <v>9595</v>
      </c>
      <c r="D1199" s="17" t="s">
        <v>21</v>
      </c>
      <c r="E1199" s="24">
        <v>2512</v>
      </c>
      <c r="F1199" s="17" t="s">
        <v>36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1.8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9596</v>
      </c>
      <c r="B1200" s="17" t="s">
        <v>9596</v>
      </c>
      <c r="C1200" s="17" t="s">
        <v>9597</v>
      </c>
      <c r="D1200" s="17" t="s">
        <v>21</v>
      </c>
      <c r="E1200" s="24">
        <v>2512</v>
      </c>
      <c r="F1200" s="17" t="s">
        <v>1072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2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9598</v>
      </c>
      <c r="B1201" s="17" t="s">
        <v>9598</v>
      </c>
      <c r="C1201" s="17" t="s">
        <v>9599</v>
      </c>
      <c r="D1201" s="17" t="s">
        <v>21</v>
      </c>
      <c r="E1201" s="24">
        <v>2512</v>
      </c>
      <c r="F1201" s="17" t="s">
        <v>38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2.2000000000000002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9600</v>
      </c>
      <c r="B1202" s="17" t="s">
        <v>9600</v>
      </c>
      <c r="C1202" s="17" t="s">
        <v>9601</v>
      </c>
      <c r="D1202" s="17" t="s">
        <v>21</v>
      </c>
      <c r="E1202" s="24">
        <v>2512</v>
      </c>
      <c r="F1202" s="17" t="s">
        <v>1082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2.4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9602</v>
      </c>
      <c r="B1203" s="17" t="s">
        <v>9602</v>
      </c>
      <c r="C1203" s="17" t="s">
        <v>9603</v>
      </c>
      <c r="D1203" s="17" t="s">
        <v>21</v>
      </c>
      <c r="E1203" s="24">
        <v>2512</v>
      </c>
      <c r="F1203" s="17" t="s">
        <v>40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2.7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9604</v>
      </c>
      <c r="B1204" s="17" t="s">
        <v>9604</v>
      </c>
      <c r="C1204" s="17" t="s">
        <v>9605</v>
      </c>
      <c r="D1204" s="17" t="s">
        <v>21</v>
      </c>
      <c r="E1204" s="24">
        <v>2512</v>
      </c>
      <c r="F1204" s="17" t="s">
        <v>1090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3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9606</v>
      </c>
      <c r="B1205" s="17" t="s">
        <v>9606</v>
      </c>
      <c r="C1205" s="17" t="s">
        <v>9607</v>
      </c>
      <c r="D1205" s="17" t="s">
        <v>21</v>
      </c>
      <c r="E1205" s="24">
        <v>2512</v>
      </c>
      <c r="F1205" s="17" t="s">
        <v>42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3.3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9608</v>
      </c>
      <c r="B1206" s="17" t="s">
        <v>9608</v>
      </c>
      <c r="C1206" s="17" t="s">
        <v>9609</v>
      </c>
      <c r="D1206" s="17" t="s">
        <v>21</v>
      </c>
      <c r="E1206" s="24">
        <v>2512</v>
      </c>
      <c r="F1206" s="17" t="s">
        <v>1100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3.6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9610</v>
      </c>
      <c r="B1207" s="17" t="s">
        <v>9610</v>
      </c>
      <c r="C1207" s="17" t="s">
        <v>9611</v>
      </c>
      <c r="D1207" s="17" t="s">
        <v>21</v>
      </c>
      <c r="E1207" s="24">
        <v>2512</v>
      </c>
      <c r="F1207" s="17" t="s">
        <v>44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3.9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9612</v>
      </c>
      <c r="B1208" s="17" t="s">
        <v>9612</v>
      </c>
      <c r="C1208" s="17" t="s">
        <v>9613</v>
      </c>
      <c r="D1208" s="17" t="s">
        <v>21</v>
      </c>
      <c r="E1208" s="24">
        <v>2512</v>
      </c>
      <c r="F1208" s="17" t="s">
        <v>1108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4.3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9614</v>
      </c>
      <c r="B1209" s="17" t="s">
        <v>9614</v>
      </c>
      <c r="C1209" s="17" t="s">
        <v>9615</v>
      </c>
      <c r="D1209" s="17" t="s">
        <v>21</v>
      </c>
      <c r="E1209" s="24">
        <v>2512</v>
      </c>
      <c r="F1209" s="17" t="s">
        <v>46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4.7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9616</v>
      </c>
      <c r="B1210" s="17" t="s">
        <v>9616</v>
      </c>
      <c r="C1210" s="17" t="s">
        <v>9617</v>
      </c>
      <c r="D1210" s="17" t="s">
        <v>21</v>
      </c>
      <c r="E1210" s="24">
        <v>2512</v>
      </c>
      <c r="F1210" s="17" t="s">
        <v>1118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5.0999999999999996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9618</v>
      </c>
      <c r="B1211" s="17" t="s">
        <v>9618</v>
      </c>
      <c r="C1211" s="17" t="s">
        <v>9619</v>
      </c>
      <c r="D1211" s="17" t="s">
        <v>21</v>
      </c>
      <c r="E1211" s="24">
        <v>2512</v>
      </c>
      <c r="F1211" s="17" t="s">
        <v>48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5.6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9620</v>
      </c>
      <c r="B1212" s="17" t="s">
        <v>9620</v>
      </c>
      <c r="C1212" s="17" t="s">
        <v>9621</v>
      </c>
      <c r="D1212" s="17" t="s">
        <v>21</v>
      </c>
      <c r="E1212" s="24">
        <v>2512</v>
      </c>
      <c r="F1212" s="17" t="s">
        <v>1130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6.2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9622</v>
      </c>
      <c r="B1213" s="17" t="s">
        <v>9622</v>
      </c>
      <c r="C1213" s="17" t="s">
        <v>9623</v>
      </c>
      <c r="D1213" s="17" t="s">
        <v>21</v>
      </c>
      <c r="E1213" s="24">
        <v>2512</v>
      </c>
      <c r="F1213" s="17" t="s">
        <v>50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6.8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9624</v>
      </c>
      <c r="B1214" s="17" t="s">
        <v>9624</v>
      </c>
      <c r="C1214" s="17" t="s">
        <v>9625</v>
      </c>
      <c r="D1214" s="17" t="s">
        <v>21</v>
      </c>
      <c r="E1214" s="24">
        <v>2512</v>
      </c>
      <c r="F1214" s="17" t="s">
        <v>1140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7.5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9626</v>
      </c>
      <c r="B1215" s="17" t="s">
        <v>9626</v>
      </c>
      <c r="C1215" s="17" t="s">
        <v>9627</v>
      </c>
      <c r="D1215" s="17" t="s">
        <v>21</v>
      </c>
      <c r="E1215" s="24">
        <v>2512</v>
      </c>
      <c r="F1215" s="17" t="s">
        <v>52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8.1999999999999993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9628</v>
      </c>
      <c r="B1216" s="17" t="s">
        <v>9628</v>
      </c>
      <c r="C1216" s="17" t="s">
        <v>9629</v>
      </c>
      <c r="D1216" s="17" t="s">
        <v>21</v>
      </c>
      <c r="E1216" s="24">
        <v>2512</v>
      </c>
      <c r="F1216" s="17" t="s">
        <v>1150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9.1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9630</v>
      </c>
      <c r="B1217" s="17" t="s">
        <v>9630</v>
      </c>
      <c r="C1217" s="17" t="s">
        <v>9631</v>
      </c>
      <c r="D1217" s="17" t="s">
        <v>21</v>
      </c>
      <c r="E1217" s="24">
        <v>2512</v>
      </c>
      <c r="F1217" s="17" t="s">
        <v>54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21">
        <v>10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9632</v>
      </c>
      <c r="B1218" s="17" t="s">
        <v>9632</v>
      </c>
      <c r="C1218" s="17" t="s">
        <v>9633</v>
      </c>
      <c r="D1218" s="17" t="s">
        <v>21</v>
      </c>
      <c r="E1218" s="24">
        <v>2512</v>
      </c>
      <c r="F1218" s="17" t="s">
        <v>58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21">
        <v>11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9634</v>
      </c>
      <c r="B1219" s="17" t="s">
        <v>9634</v>
      </c>
      <c r="C1219" s="17" t="s">
        <v>9635</v>
      </c>
      <c r="D1219" s="17" t="s">
        <v>21</v>
      </c>
      <c r="E1219" s="24">
        <v>2512</v>
      </c>
      <c r="F1219" s="17" t="s">
        <v>60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21">
        <v>12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9636</v>
      </c>
      <c r="B1220" s="17" t="s">
        <v>9636</v>
      </c>
      <c r="C1220" s="17" t="s">
        <v>9637</v>
      </c>
      <c r="D1220" s="17" t="s">
        <v>21</v>
      </c>
      <c r="E1220" s="24">
        <v>2512</v>
      </c>
      <c r="F1220" s="17" t="s">
        <v>62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13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9638</v>
      </c>
      <c r="B1221" s="17" t="s">
        <v>9638</v>
      </c>
      <c r="C1221" s="17" t="s">
        <v>9639</v>
      </c>
      <c r="D1221" s="17" t="s">
        <v>21</v>
      </c>
      <c r="E1221" s="24">
        <v>2512</v>
      </c>
      <c r="F1221" s="17" t="s">
        <v>64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15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9640</v>
      </c>
      <c r="B1222" s="17" t="s">
        <v>9640</v>
      </c>
      <c r="C1222" s="17" t="s">
        <v>9641</v>
      </c>
      <c r="D1222" s="17" t="s">
        <v>21</v>
      </c>
      <c r="E1222" s="24">
        <v>2512</v>
      </c>
      <c r="F1222" s="17" t="s">
        <v>66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16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9642</v>
      </c>
      <c r="B1223" s="17" t="s">
        <v>9642</v>
      </c>
      <c r="C1223" s="17" t="s">
        <v>9643</v>
      </c>
      <c r="D1223" s="17" t="s">
        <v>21</v>
      </c>
      <c r="E1223" s="24">
        <v>2512</v>
      </c>
      <c r="F1223" s="17" t="s">
        <v>68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18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9644</v>
      </c>
      <c r="B1224" s="17" t="s">
        <v>9644</v>
      </c>
      <c r="C1224" s="17" t="s">
        <v>9645</v>
      </c>
      <c r="D1224" s="17" t="s">
        <v>21</v>
      </c>
      <c r="E1224" s="24">
        <v>2512</v>
      </c>
      <c r="F1224" s="17" t="s">
        <v>70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20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9646</v>
      </c>
      <c r="B1225" s="17" t="s">
        <v>9646</v>
      </c>
      <c r="C1225" s="17" t="s">
        <v>9647</v>
      </c>
      <c r="D1225" s="17" t="s">
        <v>21</v>
      </c>
      <c r="E1225" s="24">
        <v>2512</v>
      </c>
      <c r="F1225" s="17" t="s">
        <v>72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22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9648</v>
      </c>
      <c r="B1226" s="17" t="s">
        <v>9648</v>
      </c>
      <c r="C1226" s="17" t="s">
        <v>9649</v>
      </c>
      <c r="D1226" s="17" t="s">
        <v>21</v>
      </c>
      <c r="E1226" s="24">
        <v>2512</v>
      </c>
      <c r="F1226" s="17" t="s">
        <v>76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24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9650</v>
      </c>
      <c r="B1227" s="17" t="s">
        <v>9650</v>
      </c>
      <c r="C1227" s="17" t="s">
        <v>9651</v>
      </c>
      <c r="D1227" s="17" t="s">
        <v>21</v>
      </c>
      <c r="E1227" s="24">
        <v>2512</v>
      </c>
      <c r="F1227" s="17" t="s">
        <v>78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27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9652</v>
      </c>
      <c r="B1228" s="17" t="s">
        <v>9652</v>
      </c>
      <c r="C1228" s="17" t="s">
        <v>9653</v>
      </c>
      <c r="D1228" s="17" t="s">
        <v>21</v>
      </c>
      <c r="E1228" s="24">
        <v>2512</v>
      </c>
      <c r="F1228" s="17" t="s">
        <v>80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30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9654</v>
      </c>
      <c r="B1229" s="17" t="s">
        <v>9654</v>
      </c>
      <c r="C1229" s="17" t="s">
        <v>9655</v>
      </c>
      <c r="D1229" s="17" t="s">
        <v>21</v>
      </c>
      <c r="E1229" s="24">
        <v>2512</v>
      </c>
      <c r="F1229" s="17" t="s">
        <v>82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33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9656</v>
      </c>
      <c r="B1230" s="17" t="s">
        <v>9656</v>
      </c>
      <c r="C1230" s="17" t="s">
        <v>9657</v>
      </c>
      <c r="D1230" s="17" t="s">
        <v>21</v>
      </c>
      <c r="E1230" s="24">
        <v>2512</v>
      </c>
      <c r="F1230" s="17" t="s">
        <v>84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36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9658</v>
      </c>
      <c r="B1231" s="17" t="s">
        <v>9658</v>
      </c>
      <c r="C1231" s="17" t="s">
        <v>9659</v>
      </c>
      <c r="D1231" s="17" t="s">
        <v>21</v>
      </c>
      <c r="E1231" s="24">
        <v>2512</v>
      </c>
      <c r="F1231" s="17" t="s">
        <v>86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39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9660</v>
      </c>
      <c r="B1232" s="17" t="s">
        <v>9660</v>
      </c>
      <c r="C1232" s="17" t="s">
        <v>9661</v>
      </c>
      <c r="D1232" s="17" t="s">
        <v>21</v>
      </c>
      <c r="E1232" s="24">
        <v>2512</v>
      </c>
      <c r="F1232" s="17" t="s">
        <v>88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43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9662</v>
      </c>
      <c r="B1233" s="17" t="s">
        <v>9662</v>
      </c>
      <c r="C1233" s="17" t="s">
        <v>9663</v>
      </c>
      <c r="D1233" s="17" t="s">
        <v>21</v>
      </c>
      <c r="E1233" s="24">
        <v>2512</v>
      </c>
      <c r="F1233" s="17" t="s">
        <v>90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47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9664</v>
      </c>
      <c r="B1234" s="17" t="s">
        <v>9664</v>
      </c>
      <c r="C1234" s="17" t="s">
        <v>9665</v>
      </c>
      <c r="D1234" s="17" t="s">
        <v>21</v>
      </c>
      <c r="E1234" s="24">
        <v>2512</v>
      </c>
      <c r="F1234" s="17" t="s">
        <v>92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51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9666</v>
      </c>
      <c r="B1235" s="17" t="s">
        <v>9666</v>
      </c>
      <c r="C1235" s="17" t="s">
        <v>9667</v>
      </c>
      <c r="D1235" s="17" t="s">
        <v>21</v>
      </c>
      <c r="E1235" s="24">
        <v>2512</v>
      </c>
      <c r="F1235" s="17" t="s">
        <v>94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56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9668</v>
      </c>
      <c r="B1236" s="17" t="s">
        <v>9668</v>
      </c>
      <c r="C1236" s="17" t="s">
        <v>9669</v>
      </c>
      <c r="D1236" s="17" t="s">
        <v>21</v>
      </c>
      <c r="E1236" s="24">
        <v>2512</v>
      </c>
      <c r="F1236" s="17" t="s">
        <v>96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62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9670</v>
      </c>
      <c r="B1237" s="17" t="s">
        <v>9670</v>
      </c>
      <c r="C1237" s="17" t="s">
        <v>9671</v>
      </c>
      <c r="D1237" s="17" t="s">
        <v>21</v>
      </c>
      <c r="E1237" s="24">
        <v>2512</v>
      </c>
      <c r="F1237" s="17" t="s">
        <v>98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68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9672</v>
      </c>
      <c r="B1238" s="17" t="s">
        <v>9672</v>
      </c>
      <c r="C1238" s="17" t="s">
        <v>9673</v>
      </c>
      <c r="D1238" s="17" t="s">
        <v>21</v>
      </c>
      <c r="E1238" s="24">
        <v>2512</v>
      </c>
      <c r="F1238" s="17" t="s">
        <v>100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75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9674</v>
      </c>
      <c r="B1239" s="17" t="s">
        <v>9674</v>
      </c>
      <c r="C1239" s="17" t="s">
        <v>9675</v>
      </c>
      <c r="D1239" s="17" t="s">
        <v>21</v>
      </c>
      <c r="E1239" s="24">
        <v>2512</v>
      </c>
      <c r="F1239" s="17" t="s">
        <v>102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82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9676</v>
      </c>
      <c r="B1240" s="17" t="s">
        <v>9676</v>
      </c>
      <c r="C1240" s="17" t="s">
        <v>9677</v>
      </c>
      <c r="D1240" s="17" t="s">
        <v>21</v>
      </c>
      <c r="E1240" s="24">
        <v>2512</v>
      </c>
      <c r="F1240" s="17" t="s">
        <v>104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91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9678</v>
      </c>
      <c r="B1241" s="17" t="s">
        <v>9678</v>
      </c>
      <c r="C1241" s="17" t="s">
        <v>9679</v>
      </c>
      <c r="D1241" s="17" t="s">
        <v>21</v>
      </c>
      <c r="E1241" s="24">
        <v>2512</v>
      </c>
      <c r="F1241" s="17" t="s">
        <v>106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100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9680</v>
      </c>
      <c r="B1242" s="17" t="s">
        <v>9680</v>
      </c>
      <c r="C1242" s="17" t="s">
        <v>9681</v>
      </c>
      <c r="D1242" s="17" t="s">
        <v>21</v>
      </c>
      <c r="E1242" s="24">
        <v>2512</v>
      </c>
      <c r="F1242" s="17" t="s">
        <v>110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110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9682</v>
      </c>
      <c r="B1243" s="17" t="s">
        <v>9682</v>
      </c>
      <c r="C1243" s="17" t="s">
        <v>9683</v>
      </c>
      <c r="D1243" s="17" t="s">
        <v>21</v>
      </c>
      <c r="E1243" s="24">
        <v>2512</v>
      </c>
      <c r="F1243" s="17" t="s">
        <v>112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120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9684</v>
      </c>
      <c r="B1244" s="17" t="s">
        <v>9684</v>
      </c>
      <c r="C1244" s="17" t="s">
        <v>9685</v>
      </c>
      <c r="D1244" s="17" t="s">
        <v>21</v>
      </c>
      <c r="E1244" s="24">
        <v>2512</v>
      </c>
      <c r="F1244" s="17" t="s">
        <v>114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130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9686</v>
      </c>
      <c r="B1245" s="17" t="s">
        <v>9686</v>
      </c>
      <c r="C1245" s="17" t="s">
        <v>9687</v>
      </c>
      <c r="D1245" s="17" t="s">
        <v>21</v>
      </c>
      <c r="E1245" s="24">
        <v>2512</v>
      </c>
      <c r="F1245" s="17" t="s">
        <v>116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150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9688</v>
      </c>
      <c r="B1246" s="17" t="s">
        <v>9688</v>
      </c>
      <c r="C1246" s="17" t="s">
        <v>9689</v>
      </c>
      <c r="D1246" s="17" t="s">
        <v>21</v>
      </c>
      <c r="E1246" s="24">
        <v>2512</v>
      </c>
      <c r="F1246" s="17" t="s">
        <v>118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160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9690</v>
      </c>
      <c r="B1247" s="17" t="s">
        <v>9690</v>
      </c>
      <c r="C1247" s="17" t="s">
        <v>9691</v>
      </c>
      <c r="D1247" s="17" t="s">
        <v>21</v>
      </c>
      <c r="E1247" s="24">
        <v>2512</v>
      </c>
      <c r="F1247" s="17" t="s">
        <v>120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180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9692</v>
      </c>
      <c r="B1248" s="17" t="s">
        <v>9692</v>
      </c>
      <c r="C1248" s="17" t="s">
        <v>9693</v>
      </c>
      <c r="D1248" s="17" t="s">
        <v>21</v>
      </c>
      <c r="E1248" s="24">
        <v>2512</v>
      </c>
      <c r="F1248" s="17" t="s">
        <v>124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200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9694</v>
      </c>
      <c r="B1249" s="17" t="s">
        <v>9694</v>
      </c>
      <c r="C1249" s="17" t="s">
        <v>9695</v>
      </c>
      <c r="D1249" s="17" t="s">
        <v>21</v>
      </c>
      <c r="E1249" s="24">
        <v>2512</v>
      </c>
      <c r="F1249" s="17" t="s">
        <v>126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220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9696</v>
      </c>
      <c r="B1250" s="17" t="s">
        <v>9696</v>
      </c>
      <c r="C1250" s="17" t="s">
        <v>9697</v>
      </c>
      <c r="D1250" s="17" t="s">
        <v>21</v>
      </c>
      <c r="E1250" s="24">
        <v>2512</v>
      </c>
      <c r="F1250" s="17" t="s">
        <v>130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240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9698</v>
      </c>
      <c r="B1251" s="17" t="s">
        <v>9698</v>
      </c>
      <c r="C1251" s="17" t="s">
        <v>9699</v>
      </c>
      <c r="D1251" s="17" t="s">
        <v>21</v>
      </c>
      <c r="E1251" s="24">
        <v>2512</v>
      </c>
      <c r="F1251" s="17" t="s">
        <v>132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270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9700</v>
      </c>
      <c r="B1252" s="17" t="s">
        <v>9700</v>
      </c>
      <c r="C1252" s="17" t="s">
        <v>9701</v>
      </c>
      <c r="D1252" s="17" t="s">
        <v>21</v>
      </c>
      <c r="E1252" s="24">
        <v>2512</v>
      </c>
      <c r="F1252" s="17" t="s">
        <v>134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300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9702</v>
      </c>
      <c r="B1253" s="17" t="s">
        <v>9702</v>
      </c>
      <c r="C1253" s="17" t="s">
        <v>9703</v>
      </c>
      <c r="D1253" s="17" t="s">
        <v>21</v>
      </c>
      <c r="E1253" s="24">
        <v>2512</v>
      </c>
      <c r="F1253" s="17" t="s">
        <v>138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330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9704</v>
      </c>
      <c r="B1254" s="17" t="s">
        <v>9704</v>
      </c>
      <c r="C1254" s="17" t="s">
        <v>9705</v>
      </c>
      <c r="D1254" s="17" t="s">
        <v>21</v>
      </c>
      <c r="E1254" s="24">
        <v>2512</v>
      </c>
      <c r="F1254" s="17" t="s">
        <v>140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360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9706</v>
      </c>
      <c r="B1255" s="17" t="s">
        <v>9706</v>
      </c>
      <c r="C1255" s="17" t="s">
        <v>9707</v>
      </c>
      <c r="D1255" s="17" t="s">
        <v>21</v>
      </c>
      <c r="E1255" s="24">
        <v>2512</v>
      </c>
      <c r="F1255" s="17" t="s">
        <v>142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390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9708</v>
      </c>
      <c r="B1256" s="17" t="s">
        <v>9708</v>
      </c>
      <c r="C1256" s="17" t="s">
        <v>9709</v>
      </c>
      <c r="D1256" s="17" t="s">
        <v>21</v>
      </c>
      <c r="E1256" s="24">
        <v>2512</v>
      </c>
      <c r="F1256" s="17" t="s">
        <v>144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430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9710</v>
      </c>
      <c r="B1257" s="17" t="s">
        <v>9710</v>
      </c>
      <c r="C1257" s="17" t="s">
        <v>9711</v>
      </c>
      <c r="D1257" s="17" t="s">
        <v>21</v>
      </c>
      <c r="E1257" s="24">
        <v>2512</v>
      </c>
      <c r="F1257" s="17" t="s">
        <v>146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470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9712</v>
      </c>
      <c r="B1258" s="17" t="s">
        <v>9712</v>
      </c>
      <c r="C1258" s="17" t="s">
        <v>9713</v>
      </c>
      <c r="D1258" s="17" t="s">
        <v>21</v>
      </c>
      <c r="E1258" s="24">
        <v>2512</v>
      </c>
      <c r="F1258" s="17" t="s">
        <v>150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510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9714</v>
      </c>
      <c r="B1259" s="17" t="s">
        <v>9714</v>
      </c>
      <c r="C1259" s="17" t="s">
        <v>9715</v>
      </c>
      <c r="D1259" s="17" t="s">
        <v>21</v>
      </c>
      <c r="E1259" s="24">
        <v>2512</v>
      </c>
      <c r="F1259" s="17" t="s">
        <v>152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560</v>
      </c>
      <c r="L1259" t="s">
        <v>4824</v>
      </c>
      <c r="M1259" s="17" t="s">
        <v>478</v>
      </c>
      <c r="N1259" s="17" t="s">
        <v>13712</v>
      </c>
      <c r="O1259" s="17" t="s">
        <v>26</v>
      </c>
      <c r="P1259" s="17" t="s">
        <v>13713</v>
      </c>
      <c r="Q1259" t="s">
        <v>478</v>
      </c>
      <c r="R1259" s="17" t="s">
        <v>13714</v>
      </c>
      <c r="S1259" t="s">
        <v>26</v>
      </c>
      <c r="T1259" s="17" t="s">
        <v>13715</v>
      </c>
      <c r="U1259" s="17"/>
      <c r="V1259" s="17"/>
      <c r="W1259" s="17"/>
      <c r="X1259" s="17"/>
      <c r="Y1259" s="17"/>
      <c r="Z1259" s="17"/>
    </row>
    <row r="1260" spans="1:26">
      <c r="A1260" s="17" t="s">
        <v>9716</v>
      </c>
      <c r="B1260" s="17" t="s">
        <v>9716</v>
      </c>
      <c r="C1260" s="17" t="s">
        <v>9717</v>
      </c>
      <c r="D1260" s="17" t="s">
        <v>21</v>
      </c>
      <c r="E1260" s="24">
        <v>2512</v>
      </c>
      <c r="F1260" s="17" t="s">
        <v>154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620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9718</v>
      </c>
      <c r="B1261" s="17" t="s">
        <v>9718</v>
      </c>
      <c r="C1261" s="17" t="s">
        <v>9719</v>
      </c>
      <c r="D1261" s="17" t="s">
        <v>21</v>
      </c>
      <c r="E1261" s="24">
        <v>2512</v>
      </c>
      <c r="F1261" s="17" t="s">
        <v>156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680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9720</v>
      </c>
      <c r="B1262" s="17" t="s">
        <v>9720</v>
      </c>
      <c r="C1262" s="17" t="s">
        <v>9721</v>
      </c>
      <c r="D1262" s="17" t="s">
        <v>21</v>
      </c>
      <c r="E1262" s="24">
        <v>2512</v>
      </c>
      <c r="F1262" s="17" t="s">
        <v>158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750</v>
      </c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</row>
    <row r="1263" spans="1:26">
      <c r="A1263" s="17" t="s">
        <v>9722</v>
      </c>
      <c r="B1263" s="17" t="s">
        <v>9722</v>
      </c>
      <c r="C1263" s="17" t="s">
        <v>9723</v>
      </c>
      <c r="D1263" s="17" t="s">
        <v>21</v>
      </c>
      <c r="E1263" s="24">
        <v>2512</v>
      </c>
      <c r="F1263" s="17" t="s">
        <v>160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820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9724</v>
      </c>
      <c r="B1264" s="17" t="s">
        <v>9724</v>
      </c>
      <c r="C1264" s="17" t="s">
        <v>9725</v>
      </c>
      <c r="D1264" s="17" t="s">
        <v>21</v>
      </c>
      <c r="E1264" s="24">
        <v>2512</v>
      </c>
      <c r="F1264" s="17" t="s">
        <v>162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910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9726</v>
      </c>
      <c r="B1265" s="17" t="s">
        <v>9726</v>
      </c>
      <c r="C1265" s="17" t="s">
        <v>9727</v>
      </c>
      <c r="D1265" s="17" t="s">
        <v>21</v>
      </c>
      <c r="E1265" s="24">
        <v>2512</v>
      </c>
      <c r="F1265" s="17" t="s">
        <v>164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1000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9728</v>
      </c>
      <c r="B1266" s="17" t="s">
        <v>9728</v>
      </c>
      <c r="C1266" s="17" t="s">
        <v>9729</v>
      </c>
      <c r="D1266" s="17" t="s">
        <v>21</v>
      </c>
      <c r="E1266" s="24">
        <v>2512</v>
      </c>
      <c r="F1266" s="17" t="s">
        <v>166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1100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6" t="s">
        <v>8087</v>
      </c>
      <c r="B1267" s="16" t="s">
        <v>8087</v>
      </c>
      <c r="C1267" s="16" t="s">
        <v>8088</v>
      </c>
      <c r="D1267" s="16" t="s">
        <v>21</v>
      </c>
      <c r="E1267" s="16" t="s">
        <v>7480</v>
      </c>
      <c r="F1267" s="16" t="s">
        <v>168</v>
      </c>
      <c r="G1267" s="17" t="str">
        <f>Config!$B$3</f>
        <v>SCH/R_IEC.SchLib</v>
      </c>
      <c r="H1267" s="16" t="s">
        <v>420</v>
      </c>
      <c r="I1267" s="18" t="s">
        <v>462</v>
      </c>
      <c r="J1267" s="16" t="s">
        <v>7482</v>
      </c>
      <c r="K1267" s="20">
        <v>1200</v>
      </c>
      <c r="L1267" t="s">
        <v>4824</v>
      </c>
      <c r="M1267" s="16" t="s">
        <v>478</v>
      </c>
      <c r="N1267" s="16" t="s">
        <v>8091</v>
      </c>
      <c r="O1267" s="16" t="s">
        <v>26</v>
      </c>
      <c r="P1267" s="16" t="s">
        <v>8092</v>
      </c>
      <c r="Q1267" s="16" t="s">
        <v>478</v>
      </c>
      <c r="R1267" s="16" t="s">
        <v>8089</v>
      </c>
      <c r="S1267" s="16" t="s">
        <v>26</v>
      </c>
      <c r="T1267" s="16" t="s">
        <v>8090</v>
      </c>
      <c r="U1267" s="17"/>
      <c r="V1267" s="17"/>
      <c r="W1267" s="17"/>
      <c r="X1267" s="17"/>
      <c r="Y1267" s="17"/>
      <c r="Z1267" s="17" t="str">
        <f t="shared" ref="Z1267" si="9">"GPR"&amp;E1267&amp;F1267</f>
        <v>GPR25121K2</v>
      </c>
    </row>
    <row r="1268" spans="1:26">
      <c r="A1268" s="17" t="s">
        <v>9730</v>
      </c>
      <c r="B1268" s="17" t="s">
        <v>9730</v>
      </c>
      <c r="C1268" s="17" t="s">
        <v>9731</v>
      </c>
      <c r="D1268" s="17" t="s">
        <v>21</v>
      </c>
      <c r="E1268" s="24">
        <v>2512</v>
      </c>
      <c r="F1268" s="17" t="s">
        <v>170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1300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9732</v>
      </c>
      <c r="B1269" s="17" t="s">
        <v>9732</v>
      </c>
      <c r="C1269" s="17" t="s">
        <v>9733</v>
      </c>
      <c r="D1269" s="17" t="s">
        <v>21</v>
      </c>
      <c r="E1269" s="24">
        <v>2512</v>
      </c>
      <c r="F1269" s="17" t="s">
        <v>172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1500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7" t="s">
        <v>9734</v>
      </c>
      <c r="B1270" s="17" t="s">
        <v>9734</v>
      </c>
      <c r="C1270" s="17" t="s">
        <v>9735</v>
      </c>
      <c r="D1270" s="17" t="s">
        <v>21</v>
      </c>
      <c r="E1270" s="24">
        <v>2512</v>
      </c>
      <c r="F1270" s="17" t="s">
        <v>176</v>
      </c>
      <c r="G1270" s="17" t="str">
        <f>Config!$B$3</f>
        <v>SCH/R_IEC.SchLib</v>
      </c>
      <c r="H1270" s="17" t="s">
        <v>420</v>
      </c>
      <c r="I1270" s="17" t="s">
        <v>462</v>
      </c>
      <c r="J1270" s="17" t="s">
        <v>7482</v>
      </c>
      <c r="K1270" s="21">
        <v>1600</v>
      </c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</row>
    <row r="1271" spans="1:26">
      <c r="A1271" s="17" t="s">
        <v>9736</v>
      </c>
      <c r="B1271" s="17" t="s">
        <v>9736</v>
      </c>
      <c r="C1271" s="17" t="s">
        <v>9737</v>
      </c>
      <c r="D1271" s="17" t="s">
        <v>21</v>
      </c>
      <c r="E1271" s="24">
        <v>2512</v>
      </c>
      <c r="F1271" s="17" t="s">
        <v>182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1800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9738</v>
      </c>
      <c r="B1272" s="17" t="s">
        <v>9738</v>
      </c>
      <c r="C1272" s="17" t="s">
        <v>9739</v>
      </c>
      <c r="D1272" s="17" t="s">
        <v>21</v>
      </c>
      <c r="E1272" s="24">
        <v>2512</v>
      </c>
      <c r="F1272" s="17" t="s">
        <v>184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2000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9740</v>
      </c>
      <c r="B1273" s="17" t="s">
        <v>9740</v>
      </c>
      <c r="C1273" s="17" t="s">
        <v>9741</v>
      </c>
      <c r="D1273" s="17" t="s">
        <v>21</v>
      </c>
      <c r="E1273" s="24">
        <v>2512</v>
      </c>
      <c r="F1273" s="17" t="s">
        <v>188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2200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9742</v>
      </c>
      <c r="B1274" s="17" t="s">
        <v>9742</v>
      </c>
      <c r="C1274" s="17" t="s">
        <v>9743</v>
      </c>
      <c r="D1274" s="17" t="s">
        <v>21</v>
      </c>
      <c r="E1274" s="24">
        <v>2512</v>
      </c>
      <c r="F1274" s="17" t="s">
        <v>192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2400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9744</v>
      </c>
      <c r="B1275" s="17" t="s">
        <v>9744</v>
      </c>
      <c r="C1275" s="17" t="s">
        <v>9745</v>
      </c>
      <c r="D1275" s="17" t="s">
        <v>21</v>
      </c>
      <c r="E1275" s="24">
        <v>2512</v>
      </c>
      <c r="F1275" s="17" t="s">
        <v>194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2700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9746</v>
      </c>
      <c r="B1276" s="17" t="s">
        <v>9746</v>
      </c>
      <c r="C1276" s="17" t="s">
        <v>9747</v>
      </c>
      <c r="D1276" s="17" t="s">
        <v>21</v>
      </c>
      <c r="E1276" s="24">
        <v>2512</v>
      </c>
      <c r="F1276" s="17" t="s">
        <v>198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3000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9748</v>
      </c>
      <c r="B1277" s="17" t="s">
        <v>9748</v>
      </c>
      <c r="C1277" s="17" t="s">
        <v>9749</v>
      </c>
      <c r="D1277" s="17" t="s">
        <v>21</v>
      </c>
      <c r="E1277" s="24">
        <v>2512</v>
      </c>
      <c r="F1277" s="17" t="s">
        <v>202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3300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9750</v>
      </c>
      <c r="B1278" s="17" t="s">
        <v>9750</v>
      </c>
      <c r="C1278" s="17" t="s">
        <v>9751</v>
      </c>
      <c r="D1278" s="17" t="s">
        <v>21</v>
      </c>
      <c r="E1278" s="24">
        <v>2512</v>
      </c>
      <c r="F1278" s="17" t="s">
        <v>204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3600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9752</v>
      </c>
      <c r="B1279" s="17" t="s">
        <v>9752</v>
      </c>
      <c r="C1279" s="17" t="s">
        <v>9753</v>
      </c>
      <c r="D1279" s="17" t="s">
        <v>21</v>
      </c>
      <c r="E1279" s="24">
        <v>2512</v>
      </c>
      <c r="F1279" s="17" t="s">
        <v>206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3900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9754</v>
      </c>
      <c r="B1280" s="17" t="s">
        <v>9754</v>
      </c>
      <c r="C1280" s="17" t="s">
        <v>9755</v>
      </c>
      <c r="D1280" s="17" t="s">
        <v>21</v>
      </c>
      <c r="E1280" s="24">
        <v>2512</v>
      </c>
      <c r="F1280" s="17" t="s">
        <v>208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4300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9756</v>
      </c>
      <c r="B1281" s="17" t="s">
        <v>9756</v>
      </c>
      <c r="C1281" s="17" t="s">
        <v>9757</v>
      </c>
      <c r="D1281" s="17" t="s">
        <v>21</v>
      </c>
      <c r="E1281" s="24">
        <v>2512</v>
      </c>
      <c r="F1281" s="17" t="s">
        <v>210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4700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9758</v>
      </c>
      <c r="B1282" s="17" t="s">
        <v>9758</v>
      </c>
      <c r="C1282" s="17" t="s">
        <v>9759</v>
      </c>
      <c r="D1282" s="17" t="s">
        <v>21</v>
      </c>
      <c r="E1282" s="24">
        <v>2512</v>
      </c>
      <c r="F1282" s="17" t="s">
        <v>214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5100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9760</v>
      </c>
      <c r="B1283" s="17" t="s">
        <v>9760</v>
      </c>
      <c r="C1283" s="17" t="s">
        <v>9761</v>
      </c>
      <c r="D1283" s="17" t="s">
        <v>21</v>
      </c>
      <c r="E1283" s="24">
        <v>2512</v>
      </c>
      <c r="F1283" s="17" t="s">
        <v>216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5600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9762</v>
      </c>
      <c r="B1284" s="17" t="s">
        <v>9762</v>
      </c>
      <c r="C1284" s="17" t="s">
        <v>9763</v>
      </c>
      <c r="D1284" s="17" t="s">
        <v>21</v>
      </c>
      <c r="E1284" s="24">
        <v>2512</v>
      </c>
      <c r="F1284" s="17" t="s">
        <v>218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6200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9764</v>
      </c>
      <c r="B1285" s="17" t="s">
        <v>9764</v>
      </c>
      <c r="C1285" s="17" t="s">
        <v>9765</v>
      </c>
      <c r="D1285" s="17" t="s">
        <v>21</v>
      </c>
      <c r="E1285" s="24">
        <v>2512</v>
      </c>
      <c r="F1285" s="17" t="s">
        <v>220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6800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9766</v>
      </c>
      <c r="B1286" s="17" t="s">
        <v>9766</v>
      </c>
      <c r="C1286" s="17" t="s">
        <v>9767</v>
      </c>
      <c r="D1286" s="17" t="s">
        <v>21</v>
      </c>
      <c r="E1286" s="24">
        <v>2512</v>
      </c>
      <c r="F1286" s="17" t="s">
        <v>222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7500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9768</v>
      </c>
      <c r="B1287" s="17" t="s">
        <v>9768</v>
      </c>
      <c r="C1287" s="17" t="s">
        <v>9769</v>
      </c>
      <c r="D1287" s="17" t="s">
        <v>21</v>
      </c>
      <c r="E1287" s="24">
        <v>2512</v>
      </c>
      <c r="F1287" s="17" t="s">
        <v>224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8200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9770</v>
      </c>
      <c r="B1288" s="17" t="s">
        <v>9770</v>
      </c>
      <c r="C1288" s="17" t="s">
        <v>9771</v>
      </c>
      <c r="D1288" s="17" t="s">
        <v>21</v>
      </c>
      <c r="E1288" s="24">
        <v>2512</v>
      </c>
      <c r="F1288" s="17" t="s">
        <v>226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9100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9772</v>
      </c>
      <c r="B1289" s="17" t="s">
        <v>9772</v>
      </c>
      <c r="C1289" s="17" t="s">
        <v>9773</v>
      </c>
      <c r="D1289" s="17" t="s">
        <v>21</v>
      </c>
      <c r="E1289" s="24">
        <v>2512</v>
      </c>
      <c r="F1289" s="17" t="s">
        <v>230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10000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9774</v>
      </c>
      <c r="B1290" s="17" t="s">
        <v>9774</v>
      </c>
      <c r="C1290" s="17" t="s">
        <v>9775</v>
      </c>
      <c r="D1290" s="17" t="s">
        <v>21</v>
      </c>
      <c r="E1290" s="24">
        <v>2512</v>
      </c>
      <c r="F1290" s="17" t="s">
        <v>234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11000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9776</v>
      </c>
      <c r="B1291" s="17" t="s">
        <v>9776</v>
      </c>
      <c r="C1291" s="17" t="s">
        <v>9777</v>
      </c>
      <c r="D1291" s="17" t="s">
        <v>21</v>
      </c>
      <c r="E1291" s="24">
        <v>2512</v>
      </c>
      <c r="F1291" s="17" t="s">
        <v>236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12000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9778</v>
      </c>
      <c r="B1292" s="17" t="s">
        <v>9778</v>
      </c>
      <c r="C1292" s="17" t="s">
        <v>9779</v>
      </c>
      <c r="D1292" s="17" t="s">
        <v>21</v>
      </c>
      <c r="E1292" s="24">
        <v>2512</v>
      </c>
      <c r="F1292" s="17" t="s">
        <v>240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13000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9780</v>
      </c>
      <c r="B1293" s="17" t="s">
        <v>9780</v>
      </c>
      <c r="C1293" s="17" t="s">
        <v>9781</v>
      </c>
      <c r="D1293" s="17" t="s">
        <v>21</v>
      </c>
      <c r="E1293" s="24">
        <v>2512</v>
      </c>
      <c r="F1293" s="17" t="s">
        <v>244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15000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9782</v>
      </c>
      <c r="B1294" s="17" t="s">
        <v>9782</v>
      </c>
      <c r="C1294" s="17" t="s">
        <v>9783</v>
      </c>
      <c r="D1294" s="17" t="s">
        <v>21</v>
      </c>
      <c r="E1294" s="24">
        <v>2512</v>
      </c>
      <c r="F1294" s="17" t="s">
        <v>248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16000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9784</v>
      </c>
      <c r="B1295" s="17" t="s">
        <v>9784</v>
      </c>
      <c r="C1295" s="17" t="s">
        <v>9785</v>
      </c>
      <c r="D1295" s="17" t="s">
        <v>21</v>
      </c>
      <c r="E1295" s="24">
        <v>2512</v>
      </c>
      <c r="F1295" s="17" t="s">
        <v>252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18000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9786</v>
      </c>
      <c r="B1296" s="17" t="s">
        <v>9786</v>
      </c>
      <c r="C1296" s="17" t="s">
        <v>9787</v>
      </c>
      <c r="D1296" s="17" t="s">
        <v>21</v>
      </c>
      <c r="E1296" s="24">
        <v>2512</v>
      </c>
      <c r="F1296" s="17" t="s">
        <v>256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20000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9788</v>
      </c>
      <c r="B1297" s="17" t="s">
        <v>9788</v>
      </c>
      <c r="C1297" s="17" t="s">
        <v>9789</v>
      </c>
      <c r="D1297" s="17" t="s">
        <v>21</v>
      </c>
      <c r="E1297" s="24">
        <v>2512</v>
      </c>
      <c r="F1297" s="17" t="s">
        <v>258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22000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9790</v>
      </c>
      <c r="B1298" s="17" t="s">
        <v>9790</v>
      </c>
      <c r="C1298" s="17" t="s">
        <v>9791</v>
      </c>
      <c r="D1298" s="17" t="s">
        <v>21</v>
      </c>
      <c r="E1298" s="24">
        <v>2512</v>
      </c>
      <c r="F1298" s="17" t="s">
        <v>260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24000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9792</v>
      </c>
      <c r="B1299" s="17" t="s">
        <v>9792</v>
      </c>
      <c r="C1299" s="17" t="s">
        <v>9793</v>
      </c>
      <c r="D1299" s="17" t="s">
        <v>21</v>
      </c>
      <c r="E1299" s="24">
        <v>2512</v>
      </c>
      <c r="F1299" s="17" t="s">
        <v>264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27000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9794</v>
      </c>
      <c r="B1300" s="17" t="s">
        <v>9794</v>
      </c>
      <c r="C1300" s="17" t="s">
        <v>9795</v>
      </c>
      <c r="D1300" s="17" t="s">
        <v>21</v>
      </c>
      <c r="E1300" s="24">
        <v>2512</v>
      </c>
      <c r="F1300" s="17" t="s">
        <v>266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30000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9796</v>
      </c>
      <c r="B1301" s="17" t="s">
        <v>9796</v>
      </c>
      <c r="C1301" s="17" t="s">
        <v>9797</v>
      </c>
      <c r="D1301" s="17" t="s">
        <v>21</v>
      </c>
      <c r="E1301" s="24">
        <v>2512</v>
      </c>
      <c r="F1301" s="17" t="s">
        <v>268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33000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9798</v>
      </c>
      <c r="B1302" s="17" t="s">
        <v>9798</v>
      </c>
      <c r="C1302" s="17" t="s">
        <v>9799</v>
      </c>
      <c r="D1302" s="17" t="s">
        <v>21</v>
      </c>
      <c r="E1302" s="24">
        <v>2512</v>
      </c>
      <c r="F1302" s="17" t="s">
        <v>270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36000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9800</v>
      </c>
      <c r="B1303" s="17" t="s">
        <v>9800</v>
      </c>
      <c r="C1303" s="17" t="s">
        <v>9801</v>
      </c>
      <c r="D1303" s="17" t="s">
        <v>21</v>
      </c>
      <c r="E1303" s="24">
        <v>2512</v>
      </c>
      <c r="F1303" s="17" t="s">
        <v>274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39000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9802</v>
      </c>
      <c r="B1304" s="17" t="s">
        <v>9802</v>
      </c>
      <c r="C1304" s="17" t="s">
        <v>9803</v>
      </c>
      <c r="D1304" s="17" t="s">
        <v>21</v>
      </c>
      <c r="E1304" s="24">
        <v>2512</v>
      </c>
      <c r="F1304" s="17" t="s">
        <v>278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43000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9804</v>
      </c>
      <c r="B1305" s="17" t="s">
        <v>9804</v>
      </c>
      <c r="C1305" s="17" t="s">
        <v>9805</v>
      </c>
      <c r="D1305" s="17" t="s">
        <v>21</v>
      </c>
      <c r="E1305" s="24">
        <v>2512</v>
      </c>
      <c r="F1305" s="17" t="s">
        <v>280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47000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9806</v>
      </c>
      <c r="B1306" s="17" t="s">
        <v>9806</v>
      </c>
      <c r="C1306" s="17" t="s">
        <v>9807</v>
      </c>
      <c r="D1306" s="17" t="s">
        <v>21</v>
      </c>
      <c r="E1306" s="24">
        <v>2512</v>
      </c>
      <c r="F1306" s="17" t="s">
        <v>284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51000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9808</v>
      </c>
      <c r="B1307" s="17" t="s">
        <v>9808</v>
      </c>
      <c r="C1307" s="17" t="s">
        <v>9809</v>
      </c>
      <c r="D1307" s="17" t="s">
        <v>21</v>
      </c>
      <c r="E1307" s="24">
        <v>2512</v>
      </c>
      <c r="F1307" s="17" t="s">
        <v>288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56000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9810</v>
      </c>
      <c r="B1308" s="17" t="s">
        <v>9810</v>
      </c>
      <c r="C1308" s="17" t="s">
        <v>9811</v>
      </c>
      <c r="D1308" s="17" t="s">
        <v>21</v>
      </c>
      <c r="E1308" s="24">
        <v>2512</v>
      </c>
      <c r="F1308" s="17" t="s">
        <v>292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62000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9812</v>
      </c>
      <c r="B1309" s="17" t="s">
        <v>9812</v>
      </c>
      <c r="C1309" s="17" t="s">
        <v>9813</v>
      </c>
      <c r="D1309" s="17" t="s">
        <v>21</v>
      </c>
      <c r="E1309" s="24">
        <v>2512</v>
      </c>
      <c r="F1309" s="17" t="s">
        <v>296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68000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9814</v>
      </c>
      <c r="B1310" s="17" t="s">
        <v>9814</v>
      </c>
      <c r="C1310" s="17" t="s">
        <v>9815</v>
      </c>
      <c r="D1310" s="17" t="s">
        <v>21</v>
      </c>
      <c r="E1310" s="24">
        <v>2512</v>
      </c>
      <c r="F1310" s="17" t="s">
        <v>300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75000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9816</v>
      </c>
      <c r="B1311" s="17" t="s">
        <v>9816</v>
      </c>
      <c r="C1311" s="17" t="s">
        <v>9817</v>
      </c>
      <c r="D1311" s="17" t="s">
        <v>21</v>
      </c>
      <c r="E1311" s="24">
        <v>2512</v>
      </c>
      <c r="F1311" s="17" t="s">
        <v>302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82000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9818</v>
      </c>
      <c r="B1312" s="17" t="s">
        <v>9818</v>
      </c>
      <c r="C1312" s="17" t="s">
        <v>9819</v>
      </c>
      <c r="D1312" s="17" t="s">
        <v>21</v>
      </c>
      <c r="E1312" s="24">
        <v>2512</v>
      </c>
      <c r="F1312" s="17" t="s">
        <v>304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91000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9820</v>
      </c>
      <c r="B1313" s="17" t="s">
        <v>9820</v>
      </c>
      <c r="C1313" s="17" t="s">
        <v>9821</v>
      </c>
      <c r="D1313" s="17" t="s">
        <v>21</v>
      </c>
      <c r="E1313" s="24">
        <v>2512</v>
      </c>
      <c r="F1313" s="17" t="s">
        <v>306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100000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9822</v>
      </c>
      <c r="B1314" s="17" t="s">
        <v>9822</v>
      </c>
      <c r="C1314" s="17" t="s">
        <v>9823</v>
      </c>
      <c r="D1314" s="17" t="s">
        <v>21</v>
      </c>
      <c r="E1314" s="24">
        <v>2512</v>
      </c>
      <c r="F1314" s="17" t="s">
        <v>310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110000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9824</v>
      </c>
      <c r="B1315" s="17" t="s">
        <v>9824</v>
      </c>
      <c r="C1315" s="17" t="s">
        <v>9825</v>
      </c>
      <c r="D1315" s="17" t="s">
        <v>21</v>
      </c>
      <c r="E1315" s="24">
        <v>2512</v>
      </c>
      <c r="F1315" s="17" t="s">
        <v>314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120000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9826</v>
      </c>
      <c r="B1316" s="17" t="s">
        <v>9826</v>
      </c>
      <c r="C1316" s="17" t="s">
        <v>9827</v>
      </c>
      <c r="D1316" s="17" t="s">
        <v>21</v>
      </c>
      <c r="E1316" s="24">
        <v>2512</v>
      </c>
      <c r="F1316" s="17" t="s">
        <v>318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130000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9828</v>
      </c>
      <c r="B1317" s="17" t="s">
        <v>9828</v>
      </c>
      <c r="C1317" s="17" t="s">
        <v>9829</v>
      </c>
      <c r="D1317" s="17" t="s">
        <v>21</v>
      </c>
      <c r="E1317" s="24">
        <v>2512</v>
      </c>
      <c r="F1317" s="17" t="s">
        <v>322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150000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9830</v>
      </c>
      <c r="B1318" s="17" t="s">
        <v>9830</v>
      </c>
      <c r="C1318" s="17" t="s">
        <v>9831</v>
      </c>
      <c r="D1318" s="17" t="s">
        <v>21</v>
      </c>
      <c r="E1318" s="24">
        <v>2512</v>
      </c>
      <c r="F1318" s="17" t="s">
        <v>324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160000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9832</v>
      </c>
      <c r="B1319" s="17" t="s">
        <v>9832</v>
      </c>
      <c r="C1319" s="17" t="s">
        <v>9833</v>
      </c>
      <c r="D1319" s="17" t="s">
        <v>21</v>
      </c>
      <c r="E1319" s="24">
        <v>2512</v>
      </c>
      <c r="F1319" s="17" t="s">
        <v>328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180000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9834</v>
      </c>
      <c r="B1320" s="17" t="s">
        <v>9834</v>
      </c>
      <c r="C1320" s="17" t="s">
        <v>9835</v>
      </c>
      <c r="D1320" s="17" t="s">
        <v>21</v>
      </c>
      <c r="E1320" s="24">
        <v>2512</v>
      </c>
      <c r="F1320" s="17" t="s">
        <v>332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200000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9836</v>
      </c>
      <c r="B1321" s="17" t="s">
        <v>9836</v>
      </c>
      <c r="C1321" s="17" t="s">
        <v>9837</v>
      </c>
      <c r="D1321" s="17" t="s">
        <v>21</v>
      </c>
      <c r="E1321" s="24">
        <v>2512</v>
      </c>
      <c r="F1321" s="17" t="s">
        <v>334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220000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9838</v>
      </c>
      <c r="B1322" s="17" t="s">
        <v>9838</v>
      </c>
      <c r="C1322" s="17" t="s">
        <v>9839</v>
      </c>
      <c r="D1322" s="17" t="s">
        <v>21</v>
      </c>
      <c r="E1322" s="24">
        <v>2512</v>
      </c>
      <c r="F1322" s="17" t="s">
        <v>336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240000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9840</v>
      </c>
      <c r="B1323" s="17" t="s">
        <v>9840</v>
      </c>
      <c r="C1323" s="17" t="s">
        <v>9841</v>
      </c>
      <c r="D1323" s="17" t="s">
        <v>21</v>
      </c>
      <c r="E1323" s="24">
        <v>2512</v>
      </c>
      <c r="F1323" s="17" t="s">
        <v>338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270000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9842</v>
      </c>
      <c r="B1324" s="17" t="s">
        <v>9842</v>
      </c>
      <c r="C1324" s="17" t="s">
        <v>9843</v>
      </c>
      <c r="D1324" s="17" t="s">
        <v>21</v>
      </c>
      <c r="E1324" s="24">
        <v>2512</v>
      </c>
      <c r="F1324" s="17" t="s">
        <v>340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300000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9844</v>
      </c>
      <c r="B1325" s="17" t="s">
        <v>9844</v>
      </c>
      <c r="C1325" s="16" t="s">
        <v>9845</v>
      </c>
      <c r="D1325" s="16" t="s">
        <v>21</v>
      </c>
      <c r="E1325" s="24">
        <v>2512</v>
      </c>
      <c r="F1325" s="17" t="s">
        <v>342</v>
      </c>
      <c r="G1325" s="17" t="str">
        <f>Config!$B$3</f>
        <v>SCH/R_IEC.SchLib</v>
      </c>
      <c r="H1325" s="16" t="s">
        <v>420</v>
      </c>
      <c r="I1325" s="18" t="s">
        <v>462</v>
      </c>
      <c r="J1325" s="17" t="s">
        <v>7482</v>
      </c>
      <c r="K1325" s="21">
        <v>330000</v>
      </c>
      <c r="L1325" s="17"/>
      <c r="M1325" s="16"/>
      <c r="N1325" s="17"/>
      <c r="O1325" s="16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9846</v>
      </c>
      <c r="B1326" s="17" t="s">
        <v>9846</v>
      </c>
      <c r="C1326" s="17" t="s">
        <v>9847</v>
      </c>
      <c r="D1326" s="17" t="s">
        <v>21</v>
      </c>
      <c r="E1326" s="24">
        <v>2512</v>
      </c>
      <c r="F1326" s="17" t="s">
        <v>346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360000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9848</v>
      </c>
      <c r="B1327" s="17" t="s">
        <v>9848</v>
      </c>
      <c r="C1327" s="17" t="s">
        <v>9849</v>
      </c>
      <c r="D1327" s="17" t="s">
        <v>21</v>
      </c>
      <c r="E1327" s="24">
        <v>2512</v>
      </c>
      <c r="F1327" s="17" t="s">
        <v>350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390000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9850</v>
      </c>
      <c r="B1328" s="17" t="s">
        <v>9850</v>
      </c>
      <c r="C1328" s="17" t="s">
        <v>9851</v>
      </c>
      <c r="D1328" s="17" t="s">
        <v>21</v>
      </c>
      <c r="E1328" s="24">
        <v>2512</v>
      </c>
      <c r="F1328" s="17" t="s">
        <v>352</v>
      </c>
      <c r="G1328" s="17" t="str">
        <f>Config!$B$3</f>
        <v>SCH/R_IEC.SchLib</v>
      </c>
      <c r="H1328" s="17" t="s">
        <v>420</v>
      </c>
      <c r="I1328" s="17" t="s">
        <v>462</v>
      </c>
      <c r="J1328" s="17" t="s">
        <v>7482</v>
      </c>
      <c r="K1328" s="21">
        <v>430000</v>
      </c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9852</v>
      </c>
      <c r="B1329" s="17" t="s">
        <v>9852</v>
      </c>
      <c r="C1329" s="17" t="s">
        <v>9853</v>
      </c>
      <c r="D1329" s="17" t="s">
        <v>21</v>
      </c>
      <c r="E1329" s="24">
        <v>2512</v>
      </c>
      <c r="F1329" s="17" t="s">
        <v>354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470000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9854</v>
      </c>
      <c r="B1330" s="17" t="s">
        <v>9854</v>
      </c>
      <c r="C1330" s="17" t="s">
        <v>9855</v>
      </c>
      <c r="D1330" s="17" t="s">
        <v>21</v>
      </c>
      <c r="E1330" s="24">
        <v>2512</v>
      </c>
      <c r="F1330" s="17" t="s">
        <v>356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510000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9856</v>
      </c>
      <c r="B1331" s="17" t="s">
        <v>9856</v>
      </c>
      <c r="C1331" s="17" t="s">
        <v>9857</v>
      </c>
      <c r="D1331" s="17" t="s">
        <v>21</v>
      </c>
      <c r="E1331" s="24">
        <v>2512</v>
      </c>
      <c r="F1331" s="17" t="s">
        <v>358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560000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9858</v>
      </c>
      <c r="B1332" s="17" t="s">
        <v>9858</v>
      </c>
      <c r="C1332" s="17" t="s">
        <v>9859</v>
      </c>
      <c r="D1332" s="17" t="s">
        <v>21</v>
      </c>
      <c r="E1332" s="24">
        <v>2512</v>
      </c>
      <c r="F1332" s="17" t="s">
        <v>360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620000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9860</v>
      </c>
      <c r="B1333" s="17" t="s">
        <v>9860</v>
      </c>
      <c r="C1333" s="17" t="s">
        <v>9861</v>
      </c>
      <c r="D1333" s="17" t="s">
        <v>21</v>
      </c>
      <c r="E1333" s="24">
        <v>2512</v>
      </c>
      <c r="F1333" s="17" t="s">
        <v>362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680000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9862</v>
      </c>
      <c r="B1334" s="17" t="s">
        <v>9862</v>
      </c>
      <c r="C1334" s="17" t="s">
        <v>9863</v>
      </c>
      <c r="D1334" s="17" t="s">
        <v>21</v>
      </c>
      <c r="E1334" s="24">
        <v>2512</v>
      </c>
      <c r="F1334" s="17" t="s">
        <v>364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750000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9864</v>
      </c>
      <c r="B1335" s="17" t="s">
        <v>9864</v>
      </c>
      <c r="C1335" s="17" t="s">
        <v>9865</v>
      </c>
      <c r="D1335" s="17" t="s">
        <v>21</v>
      </c>
      <c r="E1335" s="24">
        <v>2512</v>
      </c>
      <c r="F1335" s="17" t="s">
        <v>366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820000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9866</v>
      </c>
      <c r="B1336" s="17" t="s">
        <v>9866</v>
      </c>
      <c r="C1336" s="17" t="s">
        <v>9867</v>
      </c>
      <c r="D1336" s="17" t="s">
        <v>21</v>
      </c>
      <c r="E1336" s="24">
        <v>2512</v>
      </c>
      <c r="F1336" s="17" t="s">
        <v>368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910000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9868</v>
      </c>
      <c r="B1337" s="17" t="s">
        <v>9868</v>
      </c>
      <c r="C1337" s="17" t="s">
        <v>9869</v>
      </c>
      <c r="D1337" s="17" t="s">
        <v>21</v>
      </c>
      <c r="E1337" s="24">
        <v>2512</v>
      </c>
      <c r="F1337" s="17" t="s">
        <v>370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1000000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9870</v>
      </c>
      <c r="B1338" s="17" t="s">
        <v>9870</v>
      </c>
      <c r="C1338" s="17" t="s">
        <v>9871</v>
      </c>
      <c r="D1338" s="17" t="s">
        <v>21</v>
      </c>
      <c r="E1338" s="24">
        <v>2512</v>
      </c>
      <c r="F1338" s="17" t="s">
        <v>372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1100000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9872</v>
      </c>
      <c r="B1339" s="17" t="s">
        <v>9872</v>
      </c>
      <c r="C1339" s="17" t="s">
        <v>9873</v>
      </c>
      <c r="D1339" s="17" t="s">
        <v>21</v>
      </c>
      <c r="E1339" s="24">
        <v>2512</v>
      </c>
      <c r="F1339" s="17" t="s">
        <v>374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1200000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9874</v>
      </c>
      <c r="B1340" s="17" t="s">
        <v>9874</v>
      </c>
      <c r="C1340" s="17" t="s">
        <v>9875</v>
      </c>
      <c r="D1340" s="17" t="s">
        <v>21</v>
      </c>
      <c r="E1340" s="24">
        <v>2512</v>
      </c>
      <c r="F1340" s="17" t="s">
        <v>376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1300000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9876</v>
      </c>
      <c r="B1341" s="17" t="s">
        <v>9876</v>
      </c>
      <c r="C1341" s="17" t="s">
        <v>9877</v>
      </c>
      <c r="D1341" s="17" t="s">
        <v>21</v>
      </c>
      <c r="E1341" s="24">
        <v>2512</v>
      </c>
      <c r="F1341" s="17" t="s">
        <v>378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1500000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9878</v>
      </c>
      <c r="B1342" s="17" t="s">
        <v>9878</v>
      </c>
      <c r="C1342" s="17" t="s">
        <v>9879</v>
      </c>
      <c r="D1342" s="17" t="s">
        <v>21</v>
      </c>
      <c r="E1342" s="24">
        <v>2512</v>
      </c>
      <c r="F1342" s="17" t="s">
        <v>380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1600000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9880</v>
      </c>
      <c r="B1343" s="17" t="s">
        <v>9880</v>
      </c>
      <c r="C1343" s="17" t="s">
        <v>9881</v>
      </c>
      <c r="D1343" s="17" t="s">
        <v>21</v>
      </c>
      <c r="E1343" s="24">
        <v>2512</v>
      </c>
      <c r="F1343" s="17" t="s">
        <v>382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1800000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9882</v>
      </c>
      <c r="B1344" s="17" t="s">
        <v>9882</v>
      </c>
      <c r="C1344" s="17" t="s">
        <v>9883</v>
      </c>
      <c r="D1344" s="17" t="s">
        <v>21</v>
      </c>
      <c r="E1344" s="24">
        <v>2512</v>
      </c>
      <c r="F1344" s="17" t="s">
        <v>384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2000000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9884</v>
      </c>
      <c r="B1345" s="17" t="s">
        <v>9884</v>
      </c>
      <c r="C1345" s="17" t="s">
        <v>9885</v>
      </c>
      <c r="D1345" s="17" t="s">
        <v>21</v>
      </c>
      <c r="E1345" s="24">
        <v>2512</v>
      </c>
      <c r="F1345" s="17" t="s">
        <v>386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2200000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9886</v>
      </c>
      <c r="B1346" s="17" t="s">
        <v>9886</v>
      </c>
      <c r="C1346" s="17" t="s">
        <v>9887</v>
      </c>
      <c r="D1346" s="17" t="s">
        <v>21</v>
      </c>
      <c r="E1346" s="24">
        <v>2512</v>
      </c>
      <c r="F1346" s="17" t="s">
        <v>388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2400000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9888</v>
      </c>
      <c r="B1347" s="17" t="s">
        <v>9888</v>
      </c>
      <c r="C1347" s="17" t="s">
        <v>9889</v>
      </c>
      <c r="D1347" s="17" t="s">
        <v>21</v>
      </c>
      <c r="E1347" s="24">
        <v>2512</v>
      </c>
      <c r="F1347" s="17" t="s">
        <v>390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2700000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9890</v>
      </c>
      <c r="B1348" s="17" t="s">
        <v>9890</v>
      </c>
      <c r="C1348" s="17" t="s">
        <v>9891</v>
      </c>
      <c r="D1348" s="17" t="s">
        <v>21</v>
      </c>
      <c r="E1348" s="24">
        <v>2512</v>
      </c>
      <c r="F1348" s="17" t="s">
        <v>392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3000000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9892</v>
      </c>
      <c r="B1349" s="17" t="s">
        <v>9892</v>
      </c>
      <c r="C1349" s="17" t="s">
        <v>9893</v>
      </c>
      <c r="D1349" s="17" t="s">
        <v>21</v>
      </c>
      <c r="E1349" s="24">
        <v>2512</v>
      </c>
      <c r="F1349" s="17" t="s">
        <v>394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3300000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9894</v>
      </c>
      <c r="B1350" s="17" t="s">
        <v>9894</v>
      </c>
      <c r="C1350" s="17" t="s">
        <v>9895</v>
      </c>
      <c r="D1350" s="17" t="s">
        <v>21</v>
      </c>
      <c r="E1350" s="24">
        <v>2512</v>
      </c>
      <c r="F1350" s="17" t="s">
        <v>396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3600000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9896</v>
      </c>
      <c r="B1351" s="17" t="s">
        <v>9896</v>
      </c>
      <c r="C1351" s="17" t="s">
        <v>9897</v>
      </c>
      <c r="D1351" s="17" t="s">
        <v>21</v>
      </c>
      <c r="E1351" s="24">
        <v>2512</v>
      </c>
      <c r="F1351" s="17" t="s">
        <v>398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3900000</v>
      </c>
      <c r="L1351" s="17" t="s">
        <v>4824</v>
      </c>
      <c r="M1351" s="17" t="s">
        <v>478</v>
      </c>
      <c r="N1351" s="17" t="s">
        <v>12719</v>
      </c>
      <c r="O1351" t="s">
        <v>26</v>
      </c>
      <c r="P1351" s="17" t="s">
        <v>12720</v>
      </c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9898</v>
      </c>
      <c r="B1352" s="17" t="s">
        <v>9898</v>
      </c>
      <c r="C1352" s="17" t="s">
        <v>9899</v>
      </c>
      <c r="D1352" s="17" t="s">
        <v>21</v>
      </c>
      <c r="E1352" s="24">
        <v>2512</v>
      </c>
      <c r="F1352" s="17" t="s">
        <v>400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4300000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9900</v>
      </c>
      <c r="B1353" s="17" t="s">
        <v>9900</v>
      </c>
      <c r="C1353" s="17" t="s">
        <v>9901</v>
      </c>
      <c r="D1353" s="17" t="s">
        <v>21</v>
      </c>
      <c r="E1353" s="24">
        <v>2512</v>
      </c>
      <c r="F1353" s="17" t="s">
        <v>402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4700000</v>
      </c>
      <c r="L1353" s="17" t="s">
        <v>4824</v>
      </c>
      <c r="M1353" t="s">
        <v>478</v>
      </c>
      <c r="N1353" t="s">
        <v>12721</v>
      </c>
      <c r="O1353" t="s">
        <v>26</v>
      </c>
      <c r="P1353" t="s">
        <v>12722</v>
      </c>
      <c r="Q1353" s="17" t="s">
        <v>478</v>
      </c>
      <c r="R1353" s="17" t="s">
        <v>12717</v>
      </c>
      <c r="S1353" t="s">
        <v>26</v>
      </c>
      <c r="T1353" s="17" t="s">
        <v>12718</v>
      </c>
      <c r="U1353" s="17"/>
      <c r="V1353" s="17"/>
      <c r="W1353" s="17"/>
      <c r="X1353" s="17"/>
      <c r="Y1353" s="17"/>
      <c r="Z1353" s="17"/>
    </row>
    <row r="1354" spans="1:26">
      <c r="A1354" s="17" t="s">
        <v>9902</v>
      </c>
      <c r="B1354" s="17" t="s">
        <v>9902</v>
      </c>
      <c r="C1354" s="17" t="s">
        <v>9903</v>
      </c>
      <c r="D1354" s="17" t="s">
        <v>21</v>
      </c>
      <c r="E1354" s="24">
        <v>2512</v>
      </c>
      <c r="F1354" s="17" t="s">
        <v>404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5100000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9904</v>
      </c>
      <c r="B1355" s="17" t="s">
        <v>9904</v>
      </c>
      <c r="C1355" s="17" t="s">
        <v>9905</v>
      </c>
      <c r="D1355" s="17" t="s">
        <v>21</v>
      </c>
      <c r="E1355" s="24">
        <v>2512</v>
      </c>
      <c r="F1355" s="17" t="s">
        <v>406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5600000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9906</v>
      </c>
      <c r="B1356" s="17" t="s">
        <v>9906</v>
      </c>
      <c r="C1356" s="17" t="s">
        <v>9907</v>
      </c>
      <c r="D1356" s="17" t="s">
        <v>21</v>
      </c>
      <c r="E1356" s="24">
        <v>2512</v>
      </c>
      <c r="F1356" s="17" t="s">
        <v>408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6200000</v>
      </c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</row>
    <row r="1357" spans="1:26">
      <c r="A1357" s="17" t="s">
        <v>9908</v>
      </c>
      <c r="B1357" s="17" t="s">
        <v>9908</v>
      </c>
      <c r="C1357" s="17" t="s">
        <v>9909</v>
      </c>
      <c r="D1357" s="17" t="s">
        <v>21</v>
      </c>
      <c r="E1357" s="24">
        <v>2512</v>
      </c>
      <c r="F1357" s="17" t="s">
        <v>410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6800000</v>
      </c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9910</v>
      </c>
      <c r="B1358" s="17" t="s">
        <v>9910</v>
      </c>
      <c r="C1358" s="17" t="s">
        <v>9911</v>
      </c>
      <c r="D1358" s="17" t="s">
        <v>21</v>
      </c>
      <c r="E1358" s="24">
        <v>2512</v>
      </c>
      <c r="F1358" s="17" t="s">
        <v>412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7500000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9912</v>
      </c>
      <c r="B1359" s="17" t="s">
        <v>9912</v>
      </c>
      <c r="C1359" s="17" t="s">
        <v>9913</v>
      </c>
      <c r="D1359" s="17" t="s">
        <v>21</v>
      </c>
      <c r="E1359" s="24">
        <v>2512</v>
      </c>
      <c r="F1359" s="17" t="s">
        <v>414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8200000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9914</v>
      </c>
      <c r="B1360" s="17" t="s">
        <v>9914</v>
      </c>
      <c r="C1360" s="17" t="s">
        <v>9915</v>
      </c>
      <c r="D1360" s="17" t="s">
        <v>21</v>
      </c>
      <c r="E1360" s="24">
        <v>2512</v>
      </c>
      <c r="F1360" s="17" t="s">
        <v>416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9100000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9916</v>
      </c>
      <c r="B1361" s="17" t="s">
        <v>9916</v>
      </c>
      <c r="C1361" s="17" t="s">
        <v>9917</v>
      </c>
      <c r="D1361" s="17" t="s">
        <v>21</v>
      </c>
      <c r="E1361" s="24">
        <v>2512</v>
      </c>
      <c r="F1361" s="17" t="s">
        <v>418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10000000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 ht="14.65" customHeight="1">
      <c r="A1362" s="17" t="s">
        <v>4303</v>
      </c>
      <c r="B1362" s="17" t="s">
        <v>4303</v>
      </c>
      <c r="C1362" s="17" t="s">
        <v>4297</v>
      </c>
      <c r="D1362" s="17" t="s">
        <v>21</v>
      </c>
      <c r="E1362" s="24" t="s">
        <v>22</v>
      </c>
      <c r="F1362" s="17" t="s">
        <v>230</v>
      </c>
      <c r="G1362" s="17" t="str">
        <f>Config!$B$3</f>
        <v>SCH/R_IEC.SchLib</v>
      </c>
      <c r="H1362" s="17" t="s">
        <v>4298</v>
      </c>
      <c r="I1362" s="17" t="s">
        <v>462</v>
      </c>
      <c r="J1362" s="17" t="s">
        <v>463</v>
      </c>
      <c r="K1362" s="21">
        <v>10000</v>
      </c>
      <c r="L1362" s="17" t="s">
        <v>4299</v>
      </c>
      <c r="M1362" s="17" t="s">
        <v>4300</v>
      </c>
      <c r="N1362" s="17" t="s">
        <v>4301</v>
      </c>
      <c r="O1362" s="17" t="s">
        <v>26</v>
      </c>
      <c r="P1362" s="22" t="s">
        <v>4302</v>
      </c>
      <c r="Q1362" s="17"/>
      <c r="R1362" s="17"/>
      <c r="S1362" s="17"/>
      <c r="T1362" s="17"/>
      <c r="U1362" s="17" t="s">
        <v>4305</v>
      </c>
      <c r="V1362" s="17" t="s">
        <v>4304</v>
      </c>
      <c r="W1362" s="17" t="s">
        <v>4561</v>
      </c>
      <c r="X1362" s="17" t="s">
        <v>4306</v>
      </c>
      <c r="Y1362" s="17" t="s">
        <v>4729</v>
      </c>
      <c r="Z1362" s="17" t="str">
        <f t="shared" ref="Z1362:Z1365" si="10">"GPR"&amp;E1362&amp;F1362</f>
        <v>GPR060310K</v>
      </c>
    </row>
    <row r="1363" spans="1:26">
      <c r="A1363" s="17" t="s">
        <v>4362</v>
      </c>
      <c r="B1363" s="17" t="s">
        <v>4362</v>
      </c>
      <c r="C1363" s="17" t="s">
        <v>4363</v>
      </c>
      <c r="D1363" s="17" t="s">
        <v>21</v>
      </c>
      <c r="E1363" s="24">
        <v>1206</v>
      </c>
      <c r="F1363" s="17" t="s">
        <v>4364</v>
      </c>
      <c r="G1363" s="17" t="str">
        <f>Config!$B$3</f>
        <v>SCH/R_IEC.SchLib</v>
      </c>
      <c r="H1363" s="17" t="s">
        <v>4365</v>
      </c>
      <c r="I1363" s="17" t="s">
        <v>462</v>
      </c>
      <c r="J1363" s="17" t="s">
        <v>4366</v>
      </c>
      <c r="K1363" s="21">
        <v>1.5</v>
      </c>
      <c r="L1363" s="17" t="s">
        <v>4369</v>
      </c>
      <c r="M1363" s="17" t="s">
        <v>4370</v>
      </c>
      <c r="N1363" s="17" t="s">
        <v>4368</v>
      </c>
      <c r="O1363" s="17" t="s">
        <v>26</v>
      </c>
      <c r="P1363" s="17" t="s">
        <v>4367</v>
      </c>
      <c r="Q1363" s="17"/>
      <c r="R1363" s="17"/>
      <c r="S1363" s="17"/>
      <c r="T1363" s="17"/>
      <c r="U1363" s="17" t="s">
        <v>4370</v>
      </c>
      <c r="V1363" s="17" t="s">
        <v>4368</v>
      </c>
      <c r="W1363" s="17" t="s">
        <v>4561</v>
      </c>
      <c r="X1363" s="23" t="s">
        <v>4371</v>
      </c>
      <c r="Y1363" s="17" t="s">
        <v>4729</v>
      </c>
      <c r="Z1363" s="17" t="str">
        <f t="shared" si="10"/>
        <v>GPR12061.5A</v>
      </c>
    </row>
    <row r="1364" spans="1:26">
      <c r="A1364" s="16" t="s">
        <v>4540</v>
      </c>
      <c r="B1364" s="16" t="s">
        <v>4540</v>
      </c>
      <c r="C1364" s="16" t="s">
        <v>4541</v>
      </c>
      <c r="D1364" s="16" t="s">
        <v>21</v>
      </c>
      <c r="E1364" s="16" t="s">
        <v>22</v>
      </c>
      <c r="F1364" s="16" t="s">
        <v>4542</v>
      </c>
      <c r="G1364" s="17" t="str">
        <f>Config!$B$3</f>
        <v>SCH/R_IEC.SchLib</v>
      </c>
      <c r="H1364" s="16" t="s">
        <v>420</v>
      </c>
      <c r="I1364" s="18" t="s">
        <v>462</v>
      </c>
      <c r="J1364" s="16" t="s">
        <v>463</v>
      </c>
      <c r="K1364" s="20">
        <v>732000</v>
      </c>
      <c r="L1364" s="19" t="s">
        <v>1037</v>
      </c>
      <c r="M1364" s="16" t="s">
        <v>478</v>
      </c>
      <c r="N1364" s="16" t="s">
        <v>4544</v>
      </c>
      <c r="O1364" s="16" t="s">
        <v>26</v>
      </c>
      <c r="P1364" s="16" t="s">
        <v>4543</v>
      </c>
      <c r="Q1364" s="17"/>
      <c r="R1364" s="17"/>
      <c r="S1364" s="17"/>
      <c r="T1364" s="17"/>
      <c r="U1364" s="17"/>
      <c r="V1364" s="17"/>
      <c r="W1364" s="17"/>
      <c r="X1364" s="17"/>
      <c r="Y1364" s="17"/>
      <c r="Z1364" s="17" t="str">
        <f t="shared" si="10"/>
        <v>GPR0603732K</v>
      </c>
    </row>
    <row r="1365" spans="1:26">
      <c r="A1365" s="16" t="s">
        <v>4550</v>
      </c>
      <c r="B1365" s="16" t="s">
        <v>4550</v>
      </c>
      <c r="C1365" s="16" t="s">
        <v>4545</v>
      </c>
      <c r="D1365" s="16" t="s">
        <v>21</v>
      </c>
      <c r="E1365" s="16" t="s">
        <v>22</v>
      </c>
      <c r="F1365" s="16" t="s">
        <v>4551</v>
      </c>
      <c r="G1365" s="17" t="str">
        <f>Config!$B$3</f>
        <v>SCH/R_IEC.SchLib</v>
      </c>
      <c r="H1365" s="16" t="s">
        <v>420</v>
      </c>
      <c r="I1365" s="18" t="s">
        <v>462</v>
      </c>
      <c r="J1365" s="16" t="s">
        <v>463</v>
      </c>
      <c r="K1365" s="20">
        <v>499000</v>
      </c>
      <c r="L1365" s="19" t="s">
        <v>4549</v>
      </c>
      <c r="M1365" s="16" t="s">
        <v>4548</v>
      </c>
      <c r="N1365" s="16" t="s">
        <v>4547</v>
      </c>
      <c r="O1365" s="16" t="s">
        <v>26</v>
      </c>
      <c r="P1365" s="16" t="s">
        <v>4546</v>
      </c>
      <c r="Q1365" s="17"/>
      <c r="R1365" s="17"/>
      <c r="S1365" s="17"/>
      <c r="T1365" s="17"/>
      <c r="U1365" s="17"/>
      <c r="V1365" s="17"/>
      <c r="W1365" s="17"/>
      <c r="X1365" s="17"/>
      <c r="Y1365" s="17"/>
      <c r="Z1365" s="17" t="str">
        <f t="shared" si="10"/>
        <v>GPR0603499K</v>
      </c>
    </row>
    <row r="1366" spans="1:26">
      <c r="A1366" s="17" t="s">
        <v>8119</v>
      </c>
      <c r="B1366" s="17" t="s">
        <v>8119</v>
      </c>
      <c r="C1366" s="16" t="s">
        <v>8120</v>
      </c>
      <c r="D1366" s="16" t="s">
        <v>21</v>
      </c>
      <c r="E1366" s="24" t="s">
        <v>22</v>
      </c>
      <c r="F1366" s="17" t="s">
        <v>6452</v>
      </c>
      <c r="G1366" s="17" t="str">
        <f>Config!$B$3</f>
        <v>SCH/R_IEC.SchLib</v>
      </c>
      <c r="H1366" s="16" t="s">
        <v>420</v>
      </c>
      <c r="I1366" s="18" t="s">
        <v>462</v>
      </c>
      <c r="J1366" s="16" t="s">
        <v>463</v>
      </c>
      <c r="K1366" s="21">
        <v>51.1</v>
      </c>
      <c r="L1366" s="17" t="s">
        <v>4824</v>
      </c>
      <c r="M1366" s="16" t="s">
        <v>478</v>
      </c>
      <c r="N1366" s="17" t="s">
        <v>8116</v>
      </c>
      <c r="O1366" s="16" t="s">
        <v>26</v>
      </c>
      <c r="P1366" s="17" t="s">
        <v>8117</v>
      </c>
      <c r="Q1366" s="17"/>
      <c r="R1366" s="17"/>
      <c r="S1366" s="17"/>
      <c r="T1366" s="17"/>
      <c r="U1366" s="17"/>
      <c r="V1366" s="17"/>
      <c r="W1366" s="17"/>
      <c r="X1366" s="17"/>
      <c r="Y1366" s="17"/>
      <c r="Z1366" s="17" t="str">
        <f t="shared" ref="Z1366" si="11">"GPR"&amp;E1366&amp;F1366</f>
        <v>GPR060351R1</v>
      </c>
    </row>
    <row r="1367" spans="1:26">
      <c r="A1367" s="17" t="s">
        <v>8118</v>
      </c>
      <c r="B1367" s="17" t="s">
        <v>8118</v>
      </c>
      <c r="C1367" s="16" t="s">
        <v>8121</v>
      </c>
      <c r="D1367" s="16" t="s">
        <v>21</v>
      </c>
      <c r="E1367" s="24" t="s">
        <v>22</v>
      </c>
      <c r="F1367" s="17" t="s">
        <v>8115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1">
        <v>51100</v>
      </c>
      <c r="L1367" s="17" t="s">
        <v>4824</v>
      </c>
      <c r="M1367" s="16" t="s">
        <v>478</v>
      </c>
      <c r="N1367" s="17" t="s">
        <v>6383</v>
      </c>
      <c r="O1367" s="16" t="s">
        <v>26</v>
      </c>
      <c r="P1367" s="17" t="s">
        <v>6384</v>
      </c>
      <c r="Q1367" s="17"/>
      <c r="R1367" s="17"/>
      <c r="S1367" s="17"/>
      <c r="T1367" s="17"/>
      <c r="U1367" s="17" t="s">
        <v>6386</v>
      </c>
      <c r="V1367" s="17" t="s">
        <v>6385</v>
      </c>
      <c r="W1367" s="17" t="s">
        <v>4561</v>
      </c>
      <c r="X1367" s="17" t="s">
        <v>6387</v>
      </c>
      <c r="Y1367" s="17"/>
      <c r="Z1367" s="17" t="str">
        <f t="shared" ref="Z1367:Z1371" si="12">"GPR"&amp;E1367&amp;F1367</f>
        <v>GPR060351K1</v>
      </c>
    </row>
    <row r="1368" spans="1:26">
      <c r="A1368" s="17" t="s">
        <v>6419</v>
      </c>
      <c r="B1368" s="17" t="s">
        <v>6419</v>
      </c>
      <c r="C1368" s="16" t="s">
        <v>6418</v>
      </c>
      <c r="D1368" s="16" t="s">
        <v>21</v>
      </c>
      <c r="E1368" s="24">
        <v>1206</v>
      </c>
      <c r="F1368" s="17" t="s">
        <v>6451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6417</v>
      </c>
      <c r="K1368" s="21">
        <v>60.4</v>
      </c>
      <c r="L1368" s="17" t="s">
        <v>4824</v>
      </c>
      <c r="M1368" s="16" t="s">
        <v>478</v>
      </c>
      <c r="N1368" s="17" t="s">
        <v>6423</v>
      </c>
      <c r="O1368" s="16" t="s">
        <v>26</v>
      </c>
      <c r="P1368" s="17" t="s">
        <v>6422</v>
      </c>
      <c r="Q1368" s="17"/>
      <c r="R1368" s="17"/>
      <c r="S1368" s="17"/>
      <c r="T1368" s="17"/>
      <c r="U1368" s="17" t="s">
        <v>6386</v>
      </c>
      <c r="V1368" s="17" t="s">
        <v>6420</v>
      </c>
      <c r="W1368" s="17" t="s">
        <v>4561</v>
      </c>
      <c r="X1368" s="17" t="s">
        <v>6421</v>
      </c>
      <c r="Y1368" s="17"/>
      <c r="Z1368" s="17" t="str">
        <f t="shared" si="12"/>
        <v>GPR120660R4</v>
      </c>
    </row>
    <row r="1369" spans="1:26">
      <c r="A1369" s="17" t="s">
        <v>6438</v>
      </c>
      <c r="B1369" s="17" t="s">
        <v>6438</v>
      </c>
      <c r="C1369" s="16" t="s">
        <v>6439</v>
      </c>
      <c r="D1369" s="16" t="s">
        <v>21</v>
      </c>
      <c r="E1369" s="24">
        <v>1206</v>
      </c>
      <c r="F1369" s="17" t="s">
        <v>64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6417</v>
      </c>
      <c r="K1369" s="21">
        <v>15</v>
      </c>
      <c r="L1369" s="17" t="s">
        <v>4824</v>
      </c>
      <c r="M1369" s="16" t="s">
        <v>478</v>
      </c>
      <c r="N1369" s="17" t="s">
        <v>6441</v>
      </c>
      <c r="O1369" s="16" t="s">
        <v>26</v>
      </c>
      <c r="P1369" s="17" t="s">
        <v>6440</v>
      </c>
      <c r="Q1369" s="17"/>
      <c r="R1369" s="17"/>
      <c r="S1369" s="17"/>
      <c r="T1369" s="17"/>
      <c r="U1369" s="17" t="s">
        <v>6386</v>
      </c>
      <c r="V1369" s="17" t="s">
        <v>6442</v>
      </c>
      <c r="W1369" s="17" t="s">
        <v>4561</v>
      </c>
      <c r="X1369" s="17" t="s">
        <v>6443</v>
      </c>
      <c r="Y1369" s="17"/>
      <c r="Z1369" s="17" t="str">
        <f t="shared" si="12"/>
        <v>GPR120615R</v>
      </c>
    </row>
    <row r="1370" spans="1:26">
      <c r="A1370" t="s">
        <v>6769</v>
      </c>
      <c r="B1370" t="s">
        <v>6769</v>
      </c>
      <c r="C1370" s="16" t="s">
        <v>6770</v>
      </c>
      <c r="D1370" s="16" t="s">
        <v>21</v>
      </c>
      <c r="E1370" s="14" t="s">
        <v>6771</v>
      </c>
      <c r="F1370" t="s">
        <v>6768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6417</v>
      </c>
      <c r="K1370" s="3">
        <v>0.25</v>
      </c>
      <c r="L1370" t="s">
        <v>6809</v>
      </c>
      <c r="M1370" s="16" t="s">
        <v>478</v>
      </c>
      <c r="N1370" s="17" t="s">
        <v>7819</v>
      </c>
      <c r="O1370" s="16" t="s">
        <v>26</v>
      </c>
      <c r="P1370" s="16" t="s">
        <v>6808</v>
      </c>
      <c r="U1370" s="29" t="s">
        <v>6812</v>
      </c>
      <c r="V1370" s="5" t="s">
        <v>6811</v>
      </c>
      <c r="W1370" s="17" t="s">
        <v>4561</v>
      </c>
      <c r="X1370" s="5" t="s">
        <v>6810</v>
      </c>
      <c r="Z1370" s="17" t="str">
        <f t="shared" si="12"/>
        <v>GPR12060R25</v>
      </c>
    </row>
    <row r="1371" spans="1:26">
      <c r="A1371" t="s">
        <v>6774</v>
      </c>
      <c r="B1371" t="s">
        <v>6774</v>
      </c>
      <c r="C1371" s="16" t="s">
        <v>6775</v>
      </c>
      <c r="D1371" s="16" t="s">
        <v>21</v>
      </c>
      <c r="E1371" s="14" t="s">
        <v>22</v>
      </c>
      <c r="F1371" t="s">
        <v>6776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463</v>
      </c>
      <c r="K1371" s="3">
        <v>191000</v>
      </c>
      <c r="L1371" t="s">
        <v>6809</v>
      </c>
      <c r="M1371" s="16" t="s">
        <v>478</v>
      </c>
      <c r="N1371" t="s">
        <v>6814</v>
      </c>
      <c r="O1371" s="16" t="s">
        <v>26</v>
      </c>
      <c r="P1371" t="s">
        <v>6813</v>
      </c>
      <c r="U1371" s="17" t="s">
        <v>6386</v>
      </c>
      <c r="V1371" s="5" t="s">
        <v>6815</v>
      </c>
      <c r="W1371" s="17" t="s">
        <v>4561</v>
      </c>
      <c r="X1371" s="5" t="s">
        <v>6816</v>
      </c>
      <c r="Z1371" s="17" t="str">
        <f t="shared" si="12"/>
        <v>GPR0603191K</v>
      </c>
    </row>
    <row r="1372" spans="1:26">
      <c r="A1372" t="s">
        <v>6995</v>
      </c>
      <c r="B1372" t="s">
        <v>6996</v>
      </c>
      <c r="C1372" s="30" t="s">
        <v>6997</v>
      </c>
      <c r="D1372" s="16" t="s">
        <v>6982</v>
      </c>
      <c r="E1372" s="14" t="s">
        <v>6998</v>
      </c>
      <c r="G1372" s="17" t="str">
        <f>Config!$B$3</f>
        <v>SCH/R_IEC.SchLib</v>
      </c>
      <c r="H1372" s="17" t="s">
        <v>4365</v>
      </c>
      <c r="I1372" s="38" t="str">
        <f>_xlfn.CONCAT(PrivateLibraryPath,"PCB/Schurter.PcbLib")</f>
        <v>../altium_lib_private/PCB/Schurter.PcbLib</v>
      </c>
      <c r="J1372" s="16" t="s">
        <v>6999</v>
      </c>
      <c r="L1372" s="28" t="s">
        <v>7000</v>
      </c>
      <c r="M1372" s="16" t="s">
        <v>6982</v>
      </c>
      <c r="N1372" t="s">
        <v>7001</v>
      </c>
      <c r="O1372" s="16" t="s">
        <v>26</v>
      </c>
      <c r="P1372" t="s">
        <v>7002</v>
      </c>
    </row>
    <row r="1373" spans="1:26" ht="16.5">
      <c r="A1373" t="s">
        <v>7021</v>
      </c>
      <c r="B1373" t="s">
        <v>7021</v>
      </c>
      <c r="C1373" s="16" t="s">
        <v>7022</v>
      </c>
      <c r="D1373" s="16" t="s">
        <v>21</v>
      </c>
      <c r="E1373" s="14" t="s">
        <v>22</v>
      </c>
      <c r="F1373" t="s">
        <v>7023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463</v>
      </c>
      <c r="K1373" s="3">
        <v>4420</v>
      </c>
      <c r="L1373" t="s">
        <v>4824</v>
      </c>
      <c r="M1373" s="16" t="s">
        <v>478</v>
      </c>
      <c r="N1373" t="s">
        <v>7024</v>
      </c>
      <c r="O1373" s="16" t="s">
        <v>26</v>
      </c>
      <c r="P1373" t="s">
        <v>7025</v>
      </c>
      <c r="Q1373" s="17" t="s">
        <v>478</v>
      </c>
      <c r="R1373" t="s">
        <v>7027</v>
      </c>
      <c r="S1373" t="s">
        <v>26</v>
      </c>
      <c r="T1373" t="s">
        <v>7026</v>
      </c>
      <c r="U1373" s="9" t="s">
        <v>478</v>
      </c>
      <c r="V1373" s="9" t="s">
        <v>7024</v>
      </c>
      <c r="W1373" s="17" t="s">
        <v>4561</v>
      </c>
      <c r="X1373" s="9" t="s">
        <v>7029</v>
      </c>
    </row>
    <row r="1374" spans="1:26" ht="16.5">
      <c r="A1374" t="s">
        <v>7036</v>
      </c>
      <c r="B1374" t="s">
        <v>7036</v>
      </c>
      <c r="C1374" s="16" t="s">
        <v>7038</v>
      </c>
      <c r="D1374" s="16" t="s">
        <v>21</v>
      </c>
      <c r="E1374" s="14" t="s">
        <v>22</v>
      </c>
      <c r="F1374" t="s">
        <v>7032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24300</v>
      </c>
      <c r="L1374" t="s">
        <v>4824</v>
      </c>
      <c r="M1374" s="16" t="s">
        <v>478</v>
      </c>
      <c r="N1374" t="s">
        <v>7041</v>
      </c>
      <c r="O1374" s="16" t="s">
        <v>26</v>
      </c>
      <c r="P1374" t="s">
        <v>7040</v>
      </c>
      <c r="Q1374" s="17" t="s">
        <v>478</v>
      </c>
      <c r="R1374" t="s">
        <v>7043</v>
      </c>
      <c r="S1374" t="s">
        <v>26</v>
      </c>
      <c r="T1374" t="s">
        <v>7042</v>
      </c>
      <c r="U1374" s="9" t="s">
        <v>478</v>
      </c>
      <c r="V1374" s="9" t="s">
        <v>7035</v>
      </c>
      <c r="W1374" t="s">
        <v>4561</v>
      </c>
      <c r="X1374" s="9" t="s">
        <v>7034</v>
      </c>
      <c r="Y1374" s="17" t="s">
        <v>4729</v>
      </c>
    </row>
    <row r="1375" spans="1:26" ht="16.5">
      <c r="A1375" t="s">
        <v>7037</v>
      </c>
      <c r="B1375" t="s">
        <v>7037</v>
      </c>
      <c r="C1375" s="16" t="s">
        <v>7039</v>
      </c>
      <c r="D1375" s="16" t="s">
        <v>21</v>
      </c>
      <c r="E1375" s="14" t="s">
        <v>22</v>
      </c>
      <c r="F1375" t="s">
        <v>7031</v>
      </c>
      <c r="G1375" s="17" t="str">
        <f>Config!$B$3</f>
        <v>SCH/R_IEC.SchLib</v>
      </c>
      <c r="H1375" s="16" t="s">
        <v>420</v>
      </c>
      <c r="I1375" s="18" t="s">
        <v>462</v>
      </c>
      <c r="J1375" s="16" t="s">
        <v>463</v>
      </c>
      <c r="K1375" s="3">
        <v>14300</v>
      </c>
      <c r="L1375" t="s">
        <v>4824</v>
      </c>
      <c r="M1375" s="16" t="s">
        <v>478</v>
      </c>
      <c r="N1375" t="s">
        <v>7033</v>
      </c>
      <c r="O1375" s="16" t="s">
        <v>26</v>
      </c>
      <c r="P1375" t="s">
        <v>7044</v>
      </c>
      <c r="U1375" s="9" t="s">
        <v>478</v>
      </c>
      <c r="V1375" t="s">
        <v>7033</v>
      </c>
      <c r="W1375" t="s">
        <v>4561</v>
      </c>
      <c r="X1375" t="s">
        <v>7030</v>
      </c>
      <c r="Y1375" s="17" t="s">
        <v>4729</v>
      </c>
    </row>
    <row r="1376" spans="1:26" ht="15.75">
      <c r="A1376" t="s">
        <v>7478</v>
      </c>
      <c r="B1376" t="s">
        <v>7478</v>
      </c>
      <c r="C1376" s="16" t="s">
        <v>7479</v>
      </c>
      <c r="D1376" s="16" t="s">
        <v>21</v>
      </c>
      <c r="E1376" s="14" t="s">
        <v>7480</v>
      </c>
      <c r="F1376" t="s">
        <v>7481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7482</v>
      </c>
      <c r="K1376" s="3">
        <v>5.0000000000000001E-3</v>
      </c>
      <c r="L1376" t="s">
        <v>7486</v>
      </c>
      <c r="M1376" t="s">
        <v>7484</v>
      </c>
      <c r="N1376" t="s">
        <v>7485</v>
      </c>
      <c r="O1376" s="16" t="s">
        <v>26</v>
      </c>
      <c r="P1376" t="s">
        <v>7483</v>
      </c>
      <c r="U1376" s="8" t="s">
        <v>13548</v>
      </c>
      <c r="V1376" s="8" t="s">
        <v>13547</v>
      </c>
      <c r="W1376" t="s">
        <v>4561</v>
      </c>
      <c r="X1376" t="s">
        <v>13546</v>
      </c>
    </row>
    <row r="1377" spans="1:24" ht="15.75">
      <c r="A1377" t="s">
        <v>12551</v>
      </c>
      <c r="B1377" t="s">
        <v>12551</v>
      </c>
      <c r="C1377" s="16" t="s">
        <v>12552</v>
      </c>
      <c r="D1377" s="16" t="s">
        <v>21</v>
      </c>
      <c r="E1377" s="14" t="s">
        <v>7480</v>
      </c>
      <c r="F1377" t="s">
        <v>12553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7482</v>
      </c>
      <c r="K1377" s="3">
        <v>0.01</v>
      </c>
      <c r="L1377" t="s">
        <v>12554</v>
      </c>
      <c r="M1377" s="16" t="s">
        <v>478</v>
      </c>
      <c r="N1377" t="s">
        <v>12555</v>
      </c>
      <c r="O1377" s="16" t="s">
        <v>26</v>
      </c>
      <c r="P1377" t="s">
        <v>12556</v>
      </c>
      <c r="U1377" s="8" t="s">
        <v>13548</v>
      </c>
      <c r="V1377" s="8" t="s">
        <v>13550</v>
      </c>
      <c r="W1377" t="s">
        <v>4561</v>
      </c>
      <c r="X1377" s="8" t="s">
        <v>13549</v>
      </c>
    </row>
    <row r="1378" spans="1:24">
      <c r="A1378" t="s">
        <v>7490</v>
      </c>
      <c r="B1378" t="s">
        <v>7490</v>
      </c>
      <c r="C1378" s="16" t="s">
        <v>7491</v>
      </c>
      <c r="D1378" s="16" t="s">
        <v>21</v>
      </c>
      <c r="E1378" s="14" t="s">
        <v>7480</v>
      </c>
      <c r="F1378" t="s">
        <v>7489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7482</v>
      </c>
      <c r="K1378" s="3">
        <v>2.5000000000000001E-2</v>
      </c>
      <c r="L1378" t="s">
        <v>7486</v>
      </c>
      <c r="M1378" t="s">
        <v>7484</v>
      </c>
      <c r="N1378" t="s">
        <v>7487</v>
      </c>
      <c r="O1378" s="16" t="s">
        <v>26</v>
      </c>
      <c r="P1378" t="s">
        <v>7488</v>
      </c>
    </row>
    <row r="1379" spans="1:24">
      <c r="A1379" s="17" t="s">
        <v>7492</v>
      </c>
      <c r="B1379" s="17" t="s">
        <v>7492</v>
      </c>
      <c r="C1379" s="17" t="s">
        <v>7493</v>
      </c>
      <c r="D1379" s="16" t="s">
        <v>21</v>
      </c>
      <c r="E1379" s="14" t="s">
        <v>22</v>
      </c>
      <c r="F1379" t="s">
        <v>306</v>
      </c>
      <c r="G1379" s="17" t="str">
        <f>Config!$B$3</f>
        <v>SCH/R_IEC.SchLib</v>
      </c>
      <c r="H1379" s="17" t="s">
        <v>4298</v>
      </c>
      <c r="I1379" s="17" t="s">
        <v>462</v>
      </c>
      <c r="J1379" s="17" t="s">
        <v>463</v>
      </c>
      <c r="K1379" s="3">
        <v>100000</v>
      </c>
      <c r="L1379" t="s">
        <v>7494</v>
      </c>
      <c r="M1379" t="s">
        <v>6413</v>
      </c>
      <c r="N1379" t="s">
        <v>7496</v>
      </c>
      <c r="O1379" s="16" t="s">
        <v>26</v>
      </c>
      <c r="P1379" t="s">
        <v>7495</v>
      </c>
    </row>
    <row r="1380" spans="1:24">
      <c r="A1380" t="s">
        <v>7504</v>
      </c>
      <c r="B1380" t="s">
        <v>7504</v>
      </c>
      <c r="C1380" s="16" t="s">
        <v>7505</v>
      </c>
      <c r="D1380" s="16" t="s">
        <v>21</v>
      </c>
      <c r="E1380" s="14" t="s">
        <v>7506</v>
      </c>
      <c r="F1380" t="s">
        <v>7507</v>
      </c>
      <c r="G1380" s="17" t="str">
        <f>Config!$B$3</f>
        <v>SCH/R_IEC.SchLib</v>
      </c>
      <c r="H1380" s="16" t="s">
        <v>4298</v>
      </c>
      <c r="I1380" s="18" t="s">
        <v>7508</v>
      </c>
      <c r="J1380" s="16" t="s">
        <v>7509</v>
      </c>
      <c r="K1380" s="3">
        <v>25</v>
      </c>
      <c r="L1380" s="26" t="s">
        <v>7510</v>
      </c>
      <c r="M1380" t="s">
        <v>7511</v>
      </c>
      <c r="N1380" t="s">
        <v>7513</v>
      </c>
      <c r="O1380" s="16" t="s">
        <v>26</v>
      </c>
      <c r="P1380" t="s">
        <v>7512</v>
      </c>
    </row>
    <row r="1381" spans="1:24">
      <c r="A1381" t="s">
        <v>7514</v>
      </c>
      <c r="B1381" t="s">
        <v>7514</v>
      </c>
      <c r="C1381" s="16" t="s">
        <v>7515</v>
      </c>
      <c r="D1381" s="16" t="s">
        <v>21</v>
      </c>
      <c r="E1381" s="14" t="s">
        <v>7519</v>
      </c>
      <c r="F1381" t="s">
        <v>7516</v>
      </c>
      <c r="G1381" s="17" t="str">
        <f>Config!$B$3</f>
        <v>SCH/R_IEC.SchLib</v>
      </c>
      <c r="H1381" s="16" t="s">
        <v>7517</v>
      </c>
      <c r="I1381" s="18" t="s">
        <v>7508</v>
      </c>
      <c r="J1381" s="16" t="s">
        <v>7518</v>
      </c>
      <c r="K1381" s="3">
        <v>391</v>
      </c>
      <c r="L1381" s="26" t="s">
        <v>7520</v>
      </c>
      <c r="M1381" t="s">
        <v>6413</v>
      </c>
      <c r="N1381" t="s">
        <v>7514</v>
      </c>
      <c r="O1381" s="16" t="s">
        <v>26</v>
      </c>
      <c r="P1381" t="s">
        <v>7521</v>
      </c>
    </row>
    <row r="1382" spans="1:24">
      <c r="A1382" t="s">
        <v>7538</v>
      </c>
      <c r="B1382" t="s">
        <v>7538</v>
      </c>
      <c r="C1382" s="16" t="s">
        <v>7559</v>
      </c>
      <c r="D1382" s="16" t="s">
        <v>6982</v>
      </c>
      <c r="E1382" s="14" t="s">
        <v>7580</v>
      </c>
      <c r="F1382" t="s">
        <v>7581</v>
      </c>
      <c r="G1382" s="17" t="str">
        <f>Config!$B$3</f>
        <v>SCH/R_IEC.SchLib</v>
      </c>
      <c r="H1382" s="17" t="s">
        <v>4365</v>
      </c>
      <c r="I1382" s="38" t="str">
        <f t="shared" ref="I1382:I1403" si="13">_xlfn.CONCAT(PrivateLibraryPath,"PCB/Schurter.PcbLib")</f>
        <v>../altium_lib_private/PCB/Schurter.PcbLib</v>
      </c>
      <c r="J1382" s="16" t="s">
        <v>7580</v>
      </c>
      <c r="K1382">
        <v>0.08</v>
      </c>
      <c r="L1382" t="s">
        <v>7627</v>
      </c>
      <c r="M1382" s="16" t="s">
        <v>6982</v>
      </c>
      <c r="N1382" t="s">
        <v>7602</v>
      </c>
      <c r="O1382" s="16" t="s">
        <v>26</v>
      </c>
      <c r="P1382" t="s">
        <v>7628</v>
      </c>
    </row>
    <row r="1383" spans="1:24">
      <c r="A1383" t="s">
        <v>7539</v>
      </c>
      <c r="B1383" t="s">
        <v>7539</v>
      </c>
      <c r="C1383" t="s">
        <v>7560</v>
      </c>
      <c r="D1383" s="16" t="s">
        <v>6982</v>
      </c>
      <c r="E1383" s="14" t="s">
        <v>7580</v>
      </c>
      <c r="F1383" t="s">
        <v>7582</v>
      </c>
      <c r="G1383" s="17" t="str">
        <f>Config!$B$3</f>
        <v>SCH/R_IEC.SchLib</v>
      </c>
      <c r="H1383" s="17" t="s">
        <v>4365</v>
      </c>
      <c r="I1383" s="38" t="str">
        <f t="shared" si="13"/>
        <v>../altium_lib_private/PCB/Schurter.PcbLib</v>
      </c>
      <c r="J1383" s="16" t="s">
        <v>7580</v>
      </c>
      <c r="K1383">
        <v>0.1</v>
      </c>
      <c r="L1383" t="s">
        <v>7627</v>
      </c>
      <c r="M1383" s="16" t="s">
        <v>6982</v>
      </c>
      <c r="N1383" t="s">
        <v>7603</v>
      </c>
      <c r="O1383" s="16" t="s">
        <v>26</v>
      </c>
      <c r="P1383" t="s">
        <v>7629</v>
      </c>
    </row>
    <row r="1384" spans="1:24">
      <c r="A1384" t="s">
        <v>7540</v>
      </c>
      <c r="B1384" t="s">
        <v>7540</v>
      </c>
      <c r="C1384" t="s">
        <v>7561</v>
      </c>
      <c r="D1384" s="16" t="s">
        <v>6982</v>
      </c>
      <c r="E1384" s="14" t="s">
        <v>7580</v>
      </c>
      <c r="F1384" t="s">
        <v>7583</v>
      </c>
      <c r="G1384" s="17" t="str">
        <f>Config!$B$3</f>
        <v>SCH/R_IEC.SchLib</v>
      </c>
      <c r="H1384" s="17" t="s">
        <v>4365</v>
      </c>
      <c r="I1384" s="38" t="str">
        <f t="shared" si="13"/>
        <v>../altium_lib_private/PCB/Schurter.PcbLib</v>
      </c>
      <c r="J1384" s="16" t="s">
        <v>7580</v>
      </c>
      <c r="K1384">
        <v>0.125</v>
      </c>
      <c r="L1384" t="s">
        <v>7627</v>
      </c>
      <c r="M1384" s="16" t="s">
        <v>6982</v>
      </c>
      <c r="N1384" t="s">
        <v>7604</v>
      </c>
      <c r="O1384" s="16" t="s">
        <v>26</v>
      </c>
      <c r="P1384" t="s">
        <v>7630</v>
      </c>
    </row>
    <row r="1385" spans="1:24">
      <c r="A1385" t="s">
        <v>7541</v>
      </c>
      <c r="B1385" t="s">
        <v>7541</v>
      </c>
      <c r="C1385" t="s">
        <v>7562</v>
      </c>
      <c r="D1385" s="16" t="s">
        <v>6982</v>
      </c>
      <c r="E1385" s="14" t="s">
        <v>7580</v>
      </c>
      <c r="F1385" t="s">
        <v>7584</v>
      </c>
      <c r="G1385" s="17" t="str">
        <f>Config!$B$3</f>
        <v>SCH/R_IEC.SchLib</v>
      </c>
      <c r="H1385" s="17" t="s">
        <v>4365</v>
      </c>
      <c r="I1385" s="38" t="str">
        <f t="shared" si="13"/>
        <v>../altium_lib_private/PCB/Schurter.PcbLib</v>
      </c>
      <c r="J1385" s="16" t="s">
        <v>7580</v>
      </c>
      <c r="K1385">
        <v>0.16</v>
      </c>
      <c r="L1385" t="s">
        <v>7627</v>
      </c>
      <c r="M1385" s="16" t="s">
        <v>6982</v>
      </c>
      <c r="N1385" t="s">
        <v>7605</v>
      </c>
      <c r="O1385" s="16" t="s">
        <v>26</v>
      </c>
      <c r="P1385" t="s">
        <v>7631</v>
      </c>
    </row>
    <row r="1386" spans="1:24">
      <c r="A1386" t="s">
        <v>7542</v>
      </c>
      <c r="B1386" t="s">
        <v>7542</v>
      </c>
      <c r="C1386" t="s">
        <v>7563</v>
      </c>
      <c r="D1386" s="16" t="s">
        <v>6982</v>
      </c>
      <c r="E1386" s="14" t="s">
        <v>7580</v>
      </c>
      <c r="F1386" t="s">
        <v>7585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0.2</v>
      </c>
      <c r="L1386" t="s">
        <v>7627</v>
      </c>
      <c r="M1386" s="16" t="s">
        <v>6982</v>
      </c>
      <c r="N1386" t="s">
        <v>7606</v>
      </c>
      <c r="O1386" s="16" t="s">
        <v>26</v>
      </c>
      <c r="P1386" t="s">
        <v>7632</v>
      </c>
    </row>
    <row r="1387" spans="1:24">
      <c r="A1387" t="s">
        <v>7543</v>
      </c>
      <c r="B1387" t="s">
        <v>7543</v>
      </c>
      <c r="C1387" t="s">
        <v>7564</v>
      </c>
      <c r="D1387" s="16" t="s">
        <v>6982</v>
      </c>
      <c r="E1387" s="14" t="s">
        <v>7580</v>
      </c>
      <c r="F1387" t="s">
        <v>7586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0.25</v>
      </c>
      <c r="L1387" t="s">
        <v>7627</v>
      </c>
      <c r="M1387" s="16" t="s">
        <v>6982</v>
      </c>
      <c r="N1387" t="s">
        <v>7607</v>
      </c>
      <c r="O1387" s="16" t="s">
        <v>26</v>
      </c>
      <c r="P1387" t="s">
        <v>7633</v>
      </c>
    </row>
    <row r="1388" spans="1:24">
      <c r="A1388" t="s">
        <v>7544</v>
      </c>
      <c r="B1388" t="s">
        <v>7544</v>
      </c>
      <c r="C1388" t="s">
        <v>7565</v>
      </c>
      <c r="D1388" s="16" t="s">
        <v>6982</v>
      </c>
      <c r="E1388" s="14" t="s">
        <v>7580</v>
      </c>
      <c r="F1388" t="s">
        <v>7587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0.315</v>
      </c>
      <c r="L1388" t="s">
        <v>7627</v>
      </c>
      <c r="M1388" s="16" t="s">
        <v>6982</v>
      </c>
      <c r="N1388" t="s">
        <v>7608</v>
      </c>
      <c r="O1388" s="16" t="s">
        <v>26</v>
      </c>
      <c r="P1388" t="s">
        <v>7634</v>
      </c>
    </row>
    <row r="1389" spans="1:24">
      <c r="A1389" t="s">
        <v>7545</v>
      </c>
      <c r="B1389" t="s">
        <v>7545</v>
      </c>
      <c r="C1389" t="s">
        <v>7566</v>
      </c>
      <c r="D1389" s="16" t="s">
        <v>6982</v>
      </c>
      <c r="E1389" s="14" t="s">
        <v>7580</v>
      </c>
      <c r="F1389" t="s">
        <v>7588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0.4</v>
      </c>
      <c r="L1389" t="s">
        <v>7627</v>
      </c>
      <c r="M1389" s="16" t="s">
        <v>6982</v>
      </c>
      <c r="N1389" t="s">
        <v>7609</v>
      </c>
      <c r="O1389" s="16" t="s">
        <v>26</v>
      </c>
      <c r="P1389" t="s">
        <v>7635</v>
      </c>
    </row>
    <row r="1390" spans="1:24">
      <c r="A1390" t="s">
        <v>7546</v>
      </c>
      <c r="B1390" t="s">
        <v>7546</v>
      </c>
      <c r="C1390" t="s">
        <v>7567</v>
      </c>
      <c r="D1390" s="16" t="s">
        <v>6982</v>
      </c>
      <c r="E1390" s="14" t="s">
        <v>7580</v>
      </c>
      <c r="F1390" t="s">
        <v>7589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0.5</v>
      </c>
      <c r="L1390" t="s">
        <v>7627</v>
      </c>
      <c r="M1390" s="16" t="s">
        <v>6982</v>
      </c>
      <c r="N1390" t="s">
        <v>7610</v>
      </c>
      <c r="O1390" s="16" t="s">
        <v>26</v>
      </c>
      <c r="P1390" t="s">
        <v>7636</v>
      </c>
    </row>
    <row r="1391" spans="1:24">
      <c r="A1391" t="s">
        <v>7547</v>
      </c>
      <c r="B1391" t="s">
        <v>7547</v>
      </c>
      <c r="C1391" t="s">
        <v>7568</v>
      </c>
      <c r="D1391" s="16" t="s">
        <v>6982</v>
      </c>
      <c r="E1391" s="14" t="s">
        <v>7580</v>
      </c>
      <c r="F1391" t="s">
        <v>7590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0.63</v>
      </c>
      <c r="L1391" t="s">
        <v>7627</v>
      </c>
      <c r="M1391" s="16" t="s">
        <v>6982</v>
      </c>
      <c r="N1391" t="s">
        <v>7611</v>
      </c>
      <c r="O1391" s="16" t="s">
        <v>26</v>
      </c>
      <c r="P1391" t="s">
        <v>7637</v>
      </c>
    </row>
    <row r="1392" spans="1:24">
      <c r="A1392" t="s">
        <v>7624</v>
      </c>
      <c r="B1392" t="s">
        <v>7624</v>
      </c>
      <c r="C1392" t="s">
        <v>7625</v>
      </c>
      <c r="D1392" s="16" t="s">
        <v>6982</v>
      </c>
      <c r="E1392" s="14" t="s">
        <v>7580</v>
      </c>
      <c r="F1392" t="s">
        <v>7626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0.8</v>
      </c>
      <c r="L1392" t="s">
        <v>7627</v>
      </c>
      <c r="M1392" s="16" t="s">
        <v>6982</v>
      </c>
      <c r="N1392" t="s">
        <v>7612</v>
      </c>
      <c r="O1392" s="16" t="s">
        <v>26</v>
      </c>
      <c r="P1392" t="s">
        <v>7638</v>
      </c>
    </row>
    <row r="1393" spans="1:16">
      <c r="A1393" t="s">
        <v>7548</v>
      </c>
      <c r="B1393" t="s">
        <v>7548</v>
      </c>
      <c r="C1393" t="s">
        <v>7569</v>
      </c>
      <c r="D1393" s="16" t="s">
        <v>6982</v>
      </c>
      <c r="E1393" s="14" t="s">
        <v>7580</v>
      </c>
      <c r="F1393" t="s">
        <v>7591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1</v>
      </c>
      <c r="L1393" t="s">
        <v>7627</v>
      </c>
      <c r="M1393" s="16" t="s">
        <v>6982</v>
      </c>
      <c r="N1393" t="s">
        <v>7613</v>
      </c>
      <c r="O1393" s="16" t="s">
        <v>26</v>
      </c>
      <c r="P1393" t="s">
        <v>7639</v>
      </c>
    </row>
    <row r="1394" spans="1:16">
      <c r="A1394" t="s">
        <v>7549</v>
      </c>
      <c r="B1394" t="s">
        <v>7549</v>
      </c>
      <c r="C1394" t="s">
        <v>7570</v>
      </c>
      <c r="D1394" s="16" t="s">
        <v>6982</v>
      </c>
      <c r="E1394" s="14" t="s">
        <v>7580</v>
      </c>
      <c r="F1394" t="s">
        <v>7592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1.25</v>
      </c>
      <c r="L1394" t="s">
        <v>7627</v>
      </c>
      <c r="M1394" s="16" t="s">
        <v>6982</v>
      </c>
      <c r="N1394" t="s">
        <v>7614</v>
      </c>
      <c r="O1394" s="16" t="s">
        <v>26</v>
      </c>
      <c r="P1394" t="s">
        <v>7640</v>
      </c>
    </row>
    <row r="1395" spans="1:16">
      <c r="A1395" t="s">
        <v>7550</v>
      </c>
      <c r="B1395" t="s">
        <v>7550</v>
      </c>
      <c r="C1395" t="s">
        <v>7571</v>
      </c>
      <c r="D1395" s="16" t="s">
        <v>6982</v>
      </c>
      <c r="E1395" s="14" t="s">
        <v>7580</v>
      </c>
      <c r="F1395" t="s">
        <v>7593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1.6</v>
      </c>
      <c r="L1395" t="s">
        <v>7627</v>
      </c>
      <c r="M1395" s="16" t="s">
        <v>6982</v>
      </c>
      <c r="N1395" t="s">
        <v>7615</v>
      </c>
      <c r="O1395" s="16" t="s">
        <v>26</v>
      </c>
      <c r="P1395" t="s">
        <v>7641</v>
      </c>
    </row>
    <row r="1396" spans="1:16">
      <c r="A1396" t="s">
        <v>7551</v>
      </c>
      <c r="B1396" t="s">
        <v>7551</v>
      </c>
      <c r="C1396" t="s">
        <v>7572</v>
      </c>
      <c r="D1396" s="16" t="s">
        <v>6982</v>
      </c>
      <c r="E1396" s="14" t="s">
        <v>7580</v>
      </c>
      <c r="F1396" t="s">
        <v>7594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2</v>
      </c>
      <c r="L1396" t="s">
        <v>7627</v>
      </c>
      <c r="M1396" s="16" t="s">
        <v>6982</v>
      </c>
      <c r="N1396" t="s">
        <v>7616</v>
      </c>
      <c r="O1396" s="16" t="s">
        <v>26</v>
      </c>
      <c r="P1396" t="s">
        <v>7642</v>
      </c>
    </row>
    <row r="1397" spans="1:16">
      <c r="A1397" t="s">
        <v>7552</v>
      </c>
      <c r="B1397" t="s">
        <v>7552</v>
      </c>
      <c r="C1397" t="s">
        <v>7573</v>
      </c>
      <c r="D1397" s="16" t="s">
        <v>6982</v>
      </c>
      <c r="E1397" s="14" t="s">
        <v>7580</v>
      </c>
      <c r="F1397" t="s">
        <v>7595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2.5</v>
      </c>
      <c r="L1397" t="s">
        <v>7627</v>
      </c>
      <c r="M1397" s="16" t="s">
        <v>6982</v>
      </c>
      <c r="N1397" t="s">
        <v>7617</v>
      </c>
      <c r="O1397" s="16" t="s">
        <v>26</v>
      </c>
      <c r="P1397" t="s">
        <v>7643</v>
      </c>
    </row>
    <row r="1398" spans="1:16">
      <c r="A1398" t="s">
        <v>7553</v>
      </c>
      <c r="B1398" t="s">
        <v>7553</v>
      </c>
      <c r="C1398" t="s">
        <v>7574</v>
      </c>
      <c r="D1398" s="16" t="s">
        <v>6982</v>
      </c>
      <c r="E1398" s="14" t="s">
        <v>7580</v>
      </c>
      <c r="F1398" t="s">
        <v>7596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3.15</v>
      </c>
      <c r="L1398" t="s">
        <v>7627</v>
      </c>
      <c r="M1398" s="16" t="s">
        <v>6982</v>
      </c>
      <c r="N1398" t="s">
        <v>7618</v>
      </c>
      <c r="O1398" s="16" t="s">
        <v>26</v>
      </c>
      <c r="P1398" t="s">
        <v>7644</v>
      </c>
    </row>
    <row r="1399" spans="1:16">
      <c r="A1399" t="s">
        <v>7554</v>
      </c>
      <c r="B1399" t="s">
        <v>7554</v>
      </c>
      <c r="C1399" t="s">
        <v>7575</v>
      </c>
      <c r="D1399" s="16" t="s">
        <v>6982</v>
      </c>
      <c r="E1399" s="14" t="s">
        <v>7580</v>
      </c>
      <c r="F1399" t="s">
        <v>7597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4</v>
      </c>
      <c r="L1399" t="s">
        <v>7627</v>
      </c>
      <c r="M1399" s="16" t="s">
        <v>6982</v>
      </c>
      <c r="N1399" t="s">
        <v>7619</v>
      </c>
      <c r="O1399" s="16" t="s">
        <v>26</v>
      </c>
      <c r="P1399" t="s">
        <v>7645</v>
      </c>
    </row>
    <row r="1400" spans="1:16">
      <c r="A1400" t="s">
        <v>7555</v>
      </c>
      <c r="B1400" t="s">
        <v>7555</v>
      </c>
      <c r="C1400" t="s">
        <v>7576</v>
      </c>
      <c r="D1400" s="16" t="s">
        <v>6982</v>
      </c>
      <c r="E1400" s="14" t="s">
        <v>7580</v>
      </c>
      <c r="F1400" t="s">
        <v>7598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5</v>
      </c>
      <c r="L1400" t="s">
        <v>7627</v>
      </c>
      <c r="M1400" s="16" t="s">
        <v>6982</v>
      </c>
      <c r="N1400" t="s">
        <v>7620</v>
      </c>
      <c r="O1400" s="16" t="s">
        <v>26</v>
      </c>
      <c r="P1400" t="s">
        <v>7646</v>
      </c>
    </row>
    <row r="1401" spans="1:16">
      <c r="A1401" t="s">
        <v>7556</v>
      </c>
      <c r="B1401" t="s">
        <v>7556</v>
      </c>
      <c r="C1401" t="s">
        <v>7577</v>
      </c>
      <c r="D1401" s="16" t="s">
        <v>6982</v>
      </c>
      <c r="E1401" s="14" t="s">
        <v>7580</v>
      </c>
      <c r="F1401" t="s">
        <v>7599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6.3</v>
      </c>
      <c r="L1401" t="s">
        <v>7627</v>
      </c>
      <c r="M1401" s="16" t="s">
        <v>6982</v>
      </c>
      <c r="N1401" t="s">
        <v>7621</v>
      </c>
      <c r="O1401" s="16" t="s">
        <v>26</v>
      </c>
      <c r="P1401" t="s">
        <v>7647</v>
      </c>
    </row>
    <row r="1402" spans="1:16">
      <c r="A1402" t="s">
        <v>7557</v>
      </c>
      <c r="B1402" t="s">
        <v>7557</v>
      </c>
      <c r="C1402" t="s">
        <v>7578</v>
      </c>
      <c r="D1402" s="16" t="s">
        <v>6982</v>
      </c>
      <c r="E1402" s="14" t="s">
        <v>7580</v>
      </c>
      <c r="F1402" t="s">
        <v>7600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8</v>
      </c>
      <c r="L1402" t="s">
        <v>7627</v>
      </c>
      <c r="M1402" s="16" t="s">
        <v>6982</v>
      </c>
      <c r="N1402" t="s">
        <v>7622</v>
      </c>
      <c r="O1402" s="16" t="s">
        <v>26</v>
      </c>
      <c r="P1402" t="s">
        <v>7648</v>
      </c>
    </row>
    <row r="1403" spans="1:16">
      <c r="A1403" t="s">
        <v>7558</v>
      </c>
      <c r="B1403" t="s">
        <v>7558</v>
      </c>
      <c r="C1403" t="s">
        <v>7579</v>
      </c>
      <c r="D1403" s="16" t="s">
        <v>6982</v>
      </c>
      <c r="E1403" s="14" t="s">
        <v>7580</v>
      </c>
      <c r="F1403" t="s">
        <v>7601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10</v>
      </c>
      <c r="L1403" t="s">
        <v>7627</v>
      </c>
      <c r="M1403" s="16" t="s">
        <v>6982</v>
      </c>
      <c r="N1403" t="s">
        <v>7623</v>
      </c>
      <c r="O1403" s="16" t="s">
        <v>26</v>
      </c>
      <c r="P1403" t="s">
        <v>7649</v>
      </c>
    </row>
    <row r="1404" spans="1:16">
      <c r="A1404" t="s">
        <v>10790</v>
      </c>
      <c r="B1404" t="s">
        <v>10790</v>
      </c>
      <c r="C1404" t="s">
        <v>10791</v>
      </c>
      <c r="D1404" s="16" t="s">
        <v>10792</v>
      </c>
      <c r="E1404" s="14" t="s">
        <v>10793</v>
      </c>
      <c r="F1404" t="s">
        <v>7601</v>
      </c>
      <c r="G1404" s="17" t="str">
        <f>Config!$B$3</f>
        <v>SCH/R_IEC.SchLib</v>
      </c>
      <c r="H1404" s="17" t="s">
        <v>10806</v>
      </c>
      <c r="I1404" s="38"/>
      <c r="J1404" s="40"/>
      <c r="L1404" t="s">
        <v>12123</v>
      </c>
      <c r="M1404" s="16" t="s">
        <v>12124</v>
      </c>
      <c r="N1404" t="s">
        <v>12125</v>
      </c>
      <c r="O1404" s="16" t="s">
        <v>26</v>
      </c>
      <c r="P1404" t="s">
        <v>12126</v>
      </c>
    </row>
    <row r="1405" spans="1:16">
      <c r="A1405" t="s">
        <v>10794</v>
      </c>
      <c r="B1405" t="s">
        <v>10794</v>
      </c>
      <c r="C1405" t="s">
        <v>12549</v>
      </c>
      <c r="D1405" s="16" t="s">
        <v>12550</v>
      </c>
      <c r="E1405" s="14" t="s">
        <v>10793</v>
      </c>
      <c r="G1405" s="17" t="str">
        <f>Config!$B$3</f>
        <v>SCH/R_IEC.SchLib</v>
      </c>
      <c r="H1405" t="s">
        <v>10796</v>
      </c>
      <c r="I1405" s="38" t="str">
        <f>_xlfn.CONCAT(PrivateLibraryPath,"PCB/Littelfuse.PcbLib")</f>
        <v>../altium_lib_private/PCB/Littelfuse.PcbLib</v>
      </c>
      <c r="J1405" s="16" t="s">
        <v>12127</v>
      </c>
      <c r="L1405" t="s">
        <v>12548</v>
      </c>
      <c r="M1405" s="16" t="s">
        <v>2671</v>
      </c>
      <c r="N1405" t="s">
        <v>12127</v>
      </c>
      <c r="O1405" s="16" t="s">
        <v>26</v>
      </c>
      <c r="P1405" t="s">
        <v>12128</v>
      </c>
    </row>
    <row r="1406" spans="1:16">
      <c r="A1406" t="s">
        <v>10795</v>
      </c>
      <c r="B1406" t="s">
        <v>10795</v>
      </c>
      <c r="D1406" s="16"/>
      <c r="E1406" s="14" t="s">
        <v>10793</v>
      </c>
      <c r="G1406" s="17" t="str">
        <f>Config!$B$3</f>
        <v>SCH/R_IEC.SchLib</v>
      </c>
      <c r="H1406" t="s">
        <v>10797</v>
      </c>
      <c r="I1406" s="18"/>
      <c r="J1406" s="16"/>
      <c r="M1406" s="16"/>
      <c r="O1406" s="16"/>
    </row>
    <row r="1407" spans="1:16">
      <c r="A1407" t="s">
        <v>13992</v>
      </c>
      <c r="B1407" t="s">
        <v>13992</v>
      </c>
      <c r="C1407" t="s">
        <v>14025</v>
      </c>
      <c r="D1407" s="16" t="s">
        <v>14006</v>
      </c>
      <c r="E1407" s="14" t="s">
        <v>14000</v>
      </c>
      <c r="F1407" t="s">
        <v>7594</v>
      </c>
      <c r="G1407" s="17" t="str">
        <f>Config!$B$3</f>
        <v>SCH/R_IEC.SchLib</v>
      </c>
      <c r="H1407" s="17" t="s">
        <v>10806</v>
      </c>
      <c r="I1407" s="18" t="s">
        <v>14081</v>
      </c>
      <c r="J1407" s="40" t="s">
        <v>14080</v>
      </c>
      <c r="L1407" t="s">
        <v>14007</v>
      </c>
      <c r="M1407" s="16" t="s">
        <v>14006</v>
      </c>
      <c r="N1407">
        <v>3061295</v>
      </c>
      <c r="O1407" s="16" t="s">
        <v>26</v>
      </c>
      <c r="P1407" t="s">
        <v>14008</v>
      </c>
    </row>
    <row r="1408" spans="1:16">
      <c r="A1408" t="s">
        <v>13993</v>
      </c>
      <c r="B1408" t="s">
        <v>13993</v>
      </c>
      <c r="C1408" t="s">
        <v>14026</v>
      </c>
      <c r="D1408" s="16" t="s">
        <v>14006</v>
      </c>
      <c r="E1408" s="14" t="s">
        <v>14000</v>
      </c>
      <c r="F1408" t="s">
        <v>7597</v>
      </c>
      <c r="G1408" s="17" t="str">
        <f>Config!$B$3</f>
        <v>SCH/R_IEC.SchLib</v>
      </c>
      <c r="H1408" s="17" t="s">
        <v>10806</v>
      </c>
      <c r="I1408" s="18" t="s">
        <v>14081</v>
      </c>
      <c r="J1408" s="40" t="s">
        <v>14080</v>
      </c>
      <c r="L1408" t="s">
        <v>14009</v>
      </c>
      <c r="M1408" s="16" t="s">
        <v>14006</v>
      </c>
      <c r="N1408">
        <v>3061305</v>
      </c>
      <c r="O1408" s="16" t="s">
        <v>26</v>
      </c>
      <c r="P1408" t="s">
        <v>14010</v>
      </c>
    </row>
    <row r="1409" spans="1:26">
      <c r="A1409" t="s">
        <v>13994</v>
      </c>
      <c r="B1409" t="s">
        <v>13994</v>
      </c>
      <c r="C1409" t="s">
        <v>14027</v>
      </c>
      <c r="D1409" s="16" t="s">
        <v>14006</v>
      </c>
      <c r="E1409" s="14" t="s">
        <v>14000</v>
      </c>
      <c r="F1409" t="s">
        <v>14001</v>
      </c>
      <c r="G1409" s="17" t="str">
        <f>Config!$B$3</f>
        <v>SCH/R_IEC.SchLib</v>
      </c>
      <c r="H1409" s="17" t="s">
        <v>10806</v>
      </c>
      <c r="I1409" s="18" t="s">
        <v>14081</v>
      </c>
      <c r="J1409" s="40" t="s">
        <v>14080</v>
      </c>
      <c r="L1409" t="s">
        <v>14011</v>
      </c>
      <c r="M1409" s="16" t="s">
        <v>14006</v>
      </c>
      <c r="N1409">
        <v>3061318</v>
      </c>
      <c r="O1409" s="16" t="s">
        <v>26</v>
      </c>
      <c r="P1409" t="s">
        <v>14012</v>
      </c>
    </row>
    <row r="1410" spans="1:26">
      <c r="A1410" t="s">
        <v>13995</v>
      </c>
      <c r="B1410" t="s">
        <v>13995</v>
      </c>
      <c r="C1410" t="s">
        <v>14028</v>
      </c>
      <c r="D1410" s="16" t="s">
        <v>14006</v>
      </c>
      <c r="E1410" s="14" t="s">
        <v>14000</v>
      </c>
      <c r="F1410" t="s">
        <v>7600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14013</v>
      </c>
      <c r="M1410" s="16" t="s">
        <v>14006</v>
      </c>
      <c r="N1410">
        <v>3061321</v>
      </c>
      <c r="O1410" s="16" t="s">
        <v>26</v>
      </c>
      <c r="P1410" t="s">
        <v>14014</v>
      </c>
    </row>
    <row r="1411" spans="1:26">
      <c r="A1411" t="s">
        <v>13989</v>
      </c>
      <c r="B1411" t="s">
        <v>13989</v>
      </c>
      <c r="C1411" t="s">
        <v>14029</v>
      </c>
      <c r="D1411" s="16" t="s">
        <v>14006</v>
      </c>
      <c r="E1411" s="14" t="s">
        <v>14000</v>
      </c>
      <c r="F1411" t="s">
        <v>7601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14015</v>
      </c>
      <c r="M1411" s="16" t="s">
        <v>14006</v>
      </c>
      <c r="N1411">
        <v>3061334</v>
      </c>
      <c r="O1411" s="16" t="s">
        <v>26</v>
      </c>
      <c r="P1411" t="s">
        <v>14016</v>
      </c>
    </row>
    <row r="1412" spans="1:26">
      <c r="A1412" t="s">
        <v>13991</v>
      </c>
      <c r="B1412" t="s">
        <v>13991</v>
      </c>
      <c r="C1412" t="s">
        <v>14030</v>
      </c>
      <c r="D1412" s="16" t="s">
        <v>14006</v>
      </c>
      <c r="E1412" s="14" t="s">
        <v>14000</v>
      </c>
      <c r="F1412" t="s">
        <v>14002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14017</v>
      </c>
      <c r="M1412" s="16" t="s">
        <v>14006</v>
      </c>
      <c r="N1412">
        <v>3061347</v>
      </c>
      <c r="O1412" s="16" t="s">
        <v>26</v>
      </c>
      <c r="P1412" t="s">
        <v>14018</v>
      </c>
    </row>
    <row r="1413" spans="1:26">
      <c r="A1413" t="s">
        <v>13996</v>
      </c>
      <c r="B1413" t="s">
        <v>13996</v>
      </c>
      <c r="C1413" t="s">
        <v>14031</v>
      </c>
      <c r="D1413" s="16" t="s">
        <v>14006</v>
      </c>
      <c r="E1413" s="14" t="s">
        <v>14000</v>
      </c>
      <c r="F1413" t="s">
        <v>14003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14019</v>
      </c>
      <c r="M1413" s="16" t="s">
        <v>14006</v>
      </c>
      <c r="N1413">
        <v>3062784</v>
      </c>
      <c r="O1413" s="16" t="s">
        <v>26</v>
      </c>
      <c r="P1413" t="s">
        <v>14020</v>
      </c>
    </row>
    <row r="1414" spans="1:26">
      <c r="A1414" t="s">
        <v>13997</v>
      </c>
      <c r="B1414" t="s">
        <v>13997</v>
      </c>
      <c r="C1414" t="s">
        <v>14032</v>
      </c>
      <c r="D1414" s="16" t="s">
        <v>14006</v>
      </c>
      <c r="E1414" s="14" t="s">
        <v>14000</v>
      </c>
      <c r="F1414" t="s">
        <v>14004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14021</v>
      </c>
      <c r="M1414" s="16" t="s">
        <v>14006</v>
      </c>
      <c r="N1414">
        <v>3061350</v>
      </c>
      <c r="O1414" s="16" t="s">
        <v>26</v>
      </c>
      <c r="P1414" t="s">
        <v>14022</v>
      </c>
    </row>
    <row r="1415" spans="1:26">
      <c r="A1415" t="s">
        <v>13998</v>
      </c>
      <c r="B1415" t="s">
        <v>13998</v>
      </c>
      <c r="C1415" t="s">
        <v>14033</v>
      </c>
      <c r="D1415" s="16" t="s">
        <v>14006</v>
      </c>
      <c r="E1415" s="14" t="s">
        <v>14000</v>
      </c>
      <c r="F1415" t="s">
        <v>14005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14023</v>
      </c>
      <c r="M1415" s="16" t="s">
        <v>14006</v>
      </c>
      <c r="N1415">
        <v>3061363</v>
      </c>
      <c r="O1415" s="16" t="s">
        <v>26</v>
      </c>
      <c r="P1415" t="s">
        <v>14024</v>
      </c>
    </row>
    <row r="1416" spans="1:26">
      <c r="A1416" t="s">
        <v>13999</v>
      </c>
      <c r="B1416" t="s">
        <v>13999</v>
      </c>
      <c r="D1416" s="16"/>
      <c r="E1416" s="14" t="s">
        <v>14000</v>
      </c>
      <c r="G1416" s="17" t="str">
        <f>Config!$B$3</f>
        <v>SCH/R_IEC.SchLib</v>
      </c>
      <c r="H1416" t="s">
        <v>10796</v>
      </c>
      <c r="I1416" s="18" t="s">
        <v>14079</v>
      </c>
      <c r="J1416" s="16" t="s">
        <v>14078</v>
      </c>
      <c r="L1416" t="s">
        <v>14034</v>
      </c>
      <c r="M1416" s="16" t="s">
        <v>14035</v>
      </c>
      <c r="N1416">
        <v>3576</v>
      </c>
      <c r="O1416" s="16" t="s">
        <v>26</v>
      </c>
      <c r="P1416" t="s">
        <v>14036</v>
      </c>
      <c r="Q1416" s="16" t="s">
        <v>14035</v>
      </c>
      <c r="R1416">
        <v>3576</v>
      </c>
      <c r="S1416" s="16" t="s">
        <v>4351</v>
      </c>
      <c r="T1416" t="s">
        <v>14040</v>
      </c>
    </row>
    <row r="1417" spans="1:26">
      <c r="A1417" t="s">
        <v>14037</v>
      </c>
      <c r="B1417" t="s">
        <v>14037</v>
      </c>
      <c r="D1417" s="16"/>
      <c r="E1417" s="14" t="s">
        <v>14000</v>
      </c>
      <c r="G1417" s="17" t="str">
        <f>Config!$B$3</f>
        <v>SCH/R_IEC.SchLib</v>
      </c>
      <c r="H1417" t="s">
        <v>10796</v>
      </c>
      <c r="I1417" s="18" t="s">
        <v>14079</v>
      </c>
      <c r="J1417" s="16" t="s">
        <v>14077</v>
      </c>
      <c r="L1417" t="s">
        <v>14038</v>
      </c>
      <c r="M1417" s="16" t="s">
        <v>14035</v>
      </c>
      <c r="N1417">
        <v>3574</v>
      </c>
      <c r="O1417" s="16" t="s">
        <v>26</v>
      </c>
      <c r="P1417" t="s">
        <v>14039</v>
      </c>
      <c r="Q1417" s="16" t="s">
        <v>14035</v>
      </c>
      <c r="R1417">
        <v>3574</v>
      </c>
      <c r="S1417" s="16" t="s">
        <v>4351</v>
      </c>
      <c r="T1417" t="s">
        <v>14041</v>
      </c>
    </row>
    <row r="1418" spans="1:26">
      <c r="A1418" t="s">
        <v>13990</v>
      </c>
      <c r="B1418" t="s">
        <v>13990</v>
      </c>
      <c r="D1418" s="16"/>
      <c r="E1418" s="14" t="s">
        <v>14000</v>
      </c>
      <c r="G1418" s="17" t="str">
        <f>Config!$B$3</f>
        <v>SCH/R_IEC.SchLib</v>
      </c>
      <c r="H1418" t="s">
        <v>10797</v>
      </c>
      <c r="I1418" s="18"/>
      <c r="J1418" s="40"/>
      <c r="M1418" s="16"/>
      <c r="O1418" s="16"/>
    </row>
    <row r="1419" spans="1:26">
      <c r="A1419" t="s">
        <v>8049</v>
      </c>
      <c r="B1419" t="s">
        <v>8049</v>
      </c>
      <c r="C1419" t="s">
        <v>8054</v>
      </c>
      <c r="D1419" s="16" t="s">
        <v>4370</v>
      </c>
      <c r="E1419" s="14" t="s">
        <v>8052</v>
      </c>
      <c r="F1419" t="s">
        <v>164</v>
      </c>
      <c r="G1419" s="17" t="str">
        <f>Config!$B$3</f>
        <v>SCH/R_IEC.SchLib</v>
      </c>
      <c r="H1419" t="s">
        <v>8051</v>
      </c>
      <c r="I1419" s="18" t="s">
        <v>8056</v>
      </c>
      <c r="J1419" t="s">
        <v>8052</v>
      </c>
      <c r="K1419">
        <v>1000</v>
      </c>
      <c r="L1419" t="s">
        <v>8057</v>
      </c>
      <c r="M1419" t="s">
        <v>4548</v>
      </c>
      <c r="N1419" t="s">
        <v>8058</v>
      </c>
      <c r="O1419" s="16" t="s">
        <v>26</v>
      </c>
      <c r="P1419" t="s">
        <v>8059</v>
      </c>
    </row>
    <row r="1420" spans="1:26">
      <c r="A1420" t="s">
        <v>8050</v>
      </c>
      <c r="B1420" t="s">
        <v>8050</v>
      </c>
      <c r="C1420" t="s">
        <v>8055</v>
      </c>
      <c r="D1420" s="16" t="s">
        <v>4370</v>
      </c>
      <c r="E1420" s="14" t="s">
        <v>8053</v>
      </c>
      <c r="F1420" t="s">
        <v>164</v>
      </c>
      <c r="G1420" s="17" t="str">
        <f>Config!$B$3</f>
        <v>SCH/R_IEC.SchLib</v>
      </c>
      <c r="H1420" t="s">
        <v>8051</v>
      </c>
      <c r="I1420" s="18" t="s">
        <v>8056</v>
      </c>
      <c r="J1420" t="s">
        <v>8053</v>
      </c>
      <c r="K1420">
        <v>1000</v>
      </c>
      <c r="L1420" t="s">
        <v>8057</v>
      </c>
      <c r="M1420" s="16" t="s">
        <v>4548</v>
      </c>
      <c r="N1420" t="s">
        <v>8060</v>
      </c>
      <c r="O1420" s="16" t="s">
        <v>26</v>
      </c>
      <c r="P1420" t="s">
        <v>8061</v>
      </c>
    </row>
    <row r="1421" spans="1:26">
      <c r="A1421" s="16" t="s">
        <v>8122</v>
      </c>
      <c r="B1421" s="16" t="s">
        <v>8122</v>
      </c>
      <c r="C1421" s="16" t="s">
        <v>8293</v>
      </c>
      <c r="D1421" s="16" t="s">
        <v>21</v>
      </c>
      <c r="E1421" s="36" t="s">
        <v>8463</v>
      </c>
      <c r="F1421" s="16" t="s">
        <v>23</v>
      </c>
      <c r="G1421" s="17" t="str">
        <f>Config!$B$3</f>
        <v>SCH/R_IEC.SchLib</v>
      </c>
      <c r="H1421" s="16" t="s">
        <v>420</v>
      </c>
      <c r="I1421" s="18" t="s">
        <v>7508</v>
      </c>
      <c r="J1421" s="16" t="s">
        <v>8292</v>
      </c>
      <c r="K1421" s="19">
        <v>0</v>
      </c>
      <c r="L1421" s="19" t="s">
        <v>8479</v>
      </c>
      <c r="M1421" s="16" t="s">
        <v>4416</v>
      </c>
      <c r="N1421" s="16"/>
      <c r="O1421" s="16"/>
      <c r="P1421" s="16"/>
      <c r="Q1421" s="16"/>
      <c r="R1421" s="16"/>
      <c r="S1421" s="16"/>
      <c r="T1421" s="16"/>
      <c r="U1421" s="17"/>
      <c r="V1421" s="17"/>
      <c r="W1421" s="16"/>
      <c r="X1421" s="17"/>
      <c r="Y1421" s="17"/>
      <c r="Z1421" s="17"/>
    </row>
    <row r="1422" spans="1:26">
      <c r="A1422" s="16" t="s">
        <v>8123</v>
      </c>
      <c r="B1422" s="16" t="s">
        <v>8123</v>
      </c>
      <c r="C1422" s="16" t="s">
        <v>8294</v>
      </c>
      <c r="D1422" s="16" t="s">
        <v>21</v>
      </c>
      <c r="E1422" s="36" t="s">
        <v>8463</v>
      </c>
      <c r="F1422" s="16" t="s">
        <v>30</v>
      </c>
      <c r="G1422" s="17" t="str">
        <f>Config!$B$3</f>
        <v>SCH/R_IEC.SchLib</v>
      </c>
      <c r="H1422" s="16" t="s">
        <v>420</v>
      </c>
      <c r="I1422" s="18" t="s">
        <v>7508</v>
      </c>
      <c r="J1422" s="16" t="s">
        <v>8292</v>
      </c>
      <c r="K1422" s="19">
        <v>1</v>
      </c>
      <c r="L1422" s="19" t="s">
        <v>8479</v>
      </c>
      <c r="M1422" s="16" t="s">
        <v>4416</v>
      </c>
      <c r="N1422" s="16"/>
      <c r="O1422" s="16"/>
      <c r="P1422" s="16"/>
      <c r="Q1422" s="16"/>
      <c r="R1422" s="16"/>
      <c r="S1422" s="16"/>
      <c r="T1422" s="16"/>
      <c r="U1422" s="17"/>
      <c r="V1422" s="17"/>
      <c r="W1422" s="17"/>
      <c r="X1422" s="17"/>
      <c r="Y1422" s="17"/>
      <c r="Z1422" s="17"/>
    </row>
    <row r="1423" spans="1:26">
      <c r="A1423" s="16" t="s">
        <v>8124</v>
      </c>
      <c r="B1423" s="16" t="s">
        <v>8124</v>
      </c>
      <c r="C1423" s="16" t="s">
        <v>8295</v>
      </c>
      <c r="D1423" s="16" t="s">
        <v>21</v>
      </c>
      <c r="E1423" s="36" t="s">
        <v>8463</v>
      </c>
      <c r="F1423" s="16" t="s">
        <v>1044</v>
      </c>
      <c r="G1423" s="17" t="str">
        <f>Config!$B$3</f>
        <v>SCH/R_IEC.SchLib</v>
      </c>
      <c r="H1423" s="16" t="s">
        <v>420</v>
      </c>
      <c r="I1423" s="18" t="s">
        <v>7508</v>
      </c>
      <c r="J1423" s="16" t="s">
        <v>8292</v>
      </c>
      <c r="K1423" s="19">
        <v>1.1000000000000001</v>
      </c>
      <c r="L1423" s="19" t="s">
        <v>8479</v>
      </c>
      <c r="M1423" s="16" t="s">
        <v>4416</v>
      </c>
      <c r="N1423" s="16"/>
      <c r="O1423" s="16"/>
      <c r="P1423" s="16"/>
      <c r="Q1423" s="16"/>
      <c r="R1423" s="16"/>
      <c r="S1423" s="16"/>
      <c r="T1423" s="16"/>
      <c r="U1423" s="17"/>
      <c r="V1423" s="17"/>
      <c r="W1423" s="17"/>
      <c r="X1423" s="17"/>
      <c r="Y1423" s="17"/>
      <c r="Z1423" s="17"/>
    </row>
    <row r="1424" spans="1:26">
      <c r="A1424" s="16" t="s">
        <v>8125</v>
      </c>
      <c r="B1424" s="16" t="s">
        <v>8125</v>
      </c>
      <c r="C1424" s="16" t="s">
        <v>8296</v>
      </c>
      <c r="D1424" s="16" t="s">
        <v>21</v>
      </c>
      <c r="E1424" s="36" t="s">
        <v>8463</v>
      </c>
      <c r="F1424" s="16" t="s">
        <v>32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1.2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7"/>
      <c r="X1424" s="17"/>
      <c r="Y1424" s="17"/>
      <c r="Z1424" s="17"/>
    </row>
    <row r="1425" spans="1:26">
      <c r="A1425" s="16" t="s">
        <v>8126</v>
      </c>
      <c r="B1425" s="16" t="s">
        <v>8126</v>
      </c>
      <c r="C1425" s="16" t="s">
        <v>8297</v>
      </c>
      <c r="D1425" s="16" t="s">
        <v>21</v>
      </c>
      <c r="E1425" s="36" t="s">
        <v>8463</v>
      </c>
      <c r="F1425" s="16" t="s">
        <v>1054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1.3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8127</v>
      </c>
      <c r="B1426" s="16" t="s">
        <v>8127</v>
      </c>
      <c r="C1426" s="16" t="s">
        <v>8298</v>
      </c>
      <c r="D1426" s="16" t="s">
        <v>21</v>
      </c>
      <c r="E1426" s="36" t="s">
        <v>8463</v>
      </c>
      <c r="F1426" s="16" t="s">
        <v>34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1.5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8128</v>
      </c>
      <c r="B1427" s="16" t="s">
        <v>8128</v>
      </c>
      <c r="C1427" s="16" t="s">
        <v>8299</v>
      </c>
      <c r="D1427" s="16" t="s">
        <v>21</v>
      </c>
      <c r="E1427" s="36" t="s">
        <v>8463</v>
      </c>
      <c r="F1427" s="16" t="s">
        <v>1064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1.6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8129</v>
      </c>
      <c r="B1428" s="16" t="s">
        <v>8129</v>
      </c>
      <c r="C1428" s="16" t="s">
        <v>8300</v>
      </c>
      <c r="D1428" s="16" t="s">
        <v>21</v>
      </c>
      <c r="E1428" s="36" t="s">
        <v>8463</v>
      </c>
      <c r="F1428" s="16" t="s">
        <v>36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1.8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8130</v>
      </c>
      <c r="B1429" s="16" t="s">
        <v>8130</v>
      </c>
      <c r="C1429" s="16" t="s">
        <v>8301</v>
      </c>
      <c r="D1429" s="16" t="s">
        <v>21</v>
      </c>
      <c r="E1429" s="36" t="s">
        <v>8463</v>
      </c>
      <c r="F1429" s="16" t="s">
        <v>1072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2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8131</v>
      </c>
      <c r="B1430" s="16" t="s">
        <v>8131</v>
      </c>
      <c r="C1430" s="16" t="s">
        <v>8302</v>
      </c>
      <c r="D1430" s="16" t="s">
        <v>21</v>
      </c>
      <c r="E1430" s="36" t="s">
        <v>8463</v>
      </c>
      <c r="F1430" s="16" t="s">
        <v>38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2.2000000000000002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8132</v>
      </c>
      <c r="B1431" s="16" t="s">
        <v>8132</v>
      </c>
      <c r="C1431" s="16" t="s">
        <v>8303</v>
      </c>
      <c r="D1431" s="16" t="s">
        <v>21</v>
      </c>
      <c r="E1431" s="36" t="s">
        <v>8463</v>
      </c>
      <c r="F1431" s="16" t="s">
        <v>1082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2.4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8133</v>
      </c>
      <c r="B1432" s="16" t="s">
        <v>8133</v>
      </c>
      <c r="C1432" s="16" t="s">
        <v>8304</v>
      </c>
      <c r="D1432" s="16" t="s">
        <v>21</v>
      </c>
      <c r="E1432" s="36" t="s">
        <v>8463</v>
      </c>
      <c r="F1432" s="16" t="s">
        <v>40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2.7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8134</v>
      </c>
      <c r="B1433" s="16" t="s">
        <v>8134</v>
      </c>
      <c r="C1433" s="16" t="s">
        <v>8305</v>
      </c>
      <c r="D1433" s="16" t="s">
        <v>21</v>
      </c>
      <c r="E1433" s="36" t="s">
        <v>8463</v>
      </c>
      <c r="F1433" s="16" t="s">
        <v>1090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3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8135</v>
      </c>
      <c r="B1434" s="16" t="s">
        <v>8135</v>
      </c>
      <c r="C1434" s="16" t="s">
        <v>8306</v>
      </c>
      <c r="D1434" s="16" t="s">
        <v>21</v>
      </c>
      <c r="E1434" s="36" t="s">
        <v>8463</v>
      </c>
      <c r="F1434" s="16" t="s">
        <v>42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3.3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8136</v>
      </c>
      <c r="B1435" s="16" t="s">
        <v>8136</v>
      </c>
      <c r="C1435" s="16" t="s">
        <v>8307</v>
      </c>
      <c r="D1435" s="16" t="s">
        <v>21</v>
      </c>
      <c r="E1435" s="36" t="s">
        <v>8463</v>
      </c>
      <c r="F1435" s="16" t="s">
        <v>1100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3.6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8137</v>
      </c>
      <c r="B1436" s="16" t="s">
        <v>8137</v>
      </c>
      <c r="C1436" s="16" t="s">
        <v>8308</v>
      </c>
      <c r="D1436" s="16" t="s">
        <v>21</v>
      </c>
      <c r="E1436" s="36" t="s">
        <v>8463</v>
      </c>
      <c r="F1436" s="16" t="s">
        <v>44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3.9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8138</v>
      </c>
      <c r="B1437" s="16" t="s">
        <v>8138</v>
      </c>
      <c r="C1437" s="16" t="s">
        <v>8309</v>
      </c>
      <c r="D1437" s="16" t="s">
        <v>21</v>
      </c>
      <c r="E1437" s="36" t="s">
        <v>8463</v>
      </c>
      <c r="F1437" s="16" t="s">
        <v>1108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4.3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8139</v>
      </c>
      <c r="B1438" s="16" t="s">
        <v>8139</v>
      </c>
      <c r="C1438" s="16" t="s">
        <v>8310</v>
      </c>
      <c r="D1438" s="16" t="s">
        <v>21</v>
      </c>
      <c r="E1438" s="36" t="s">
        <v>8463</v>
      </c>
      <c r="F1438" s="16" t="s">
        <v>46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4.7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8140</v>
      </c>
      <c r="B1439" s="16" t="s">
        <v>8140</v>
      </c>
      <c r="C1439" s="16" t="s">
        <v>8311</v>
      </c>
      <c r="D1439" s="16" t="s">
        <v>21</v>
      </c>
      <c r="E1439" s="36" t="s">
        <v>8463</v>
      </c>
      <c r="F1439" s="16" t="s">
        <v>1118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5.0999999999999996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8141</v>
      </c>
      <c r="B1440" s="16" t="s">
        <v>8141</v>
      </c>
      <c r="C1440" s="16" t="s">
        <v>8312</v>
      </c>
      <c r="D1440" s="16" t="s">
        <v>21</v>
      </c>
      <c r="E1440" s="36" t="s">
        <v>8463</v>
      </c>
      <c r="F1440" s="16" t="s">
        <v>48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5.6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8142</v>
      </c>
      <c r="B1441" s="16" t="s">
        <v>8142</v>
      </c>
      <c r="C1441" s="16" t="s">
        <v>8313</v>
      </c>
      <c r="D1441" s="16" t="s">
        <v>21</v>
      </c>
      <c r="E1441" s="36" t="s">
        <v>8463</v>
      </c>
      <c r="F1441" s="16" t="s">
        <v>1130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6.2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8143</v>
      </c>
      <c r="B1442" s="16" t="s">
        <v>8143</v>
      </c>
      <c r="C1442" s="16" t="s">
        <v>8314</v>
      </c>
      <c r="D1442" s="16" t="s">
        <v>21</v>
      </c>
      <c r="E1442" s="36" t="s">
        <v>8463</v>
      </c>
      <c r="F1442" s="16" t="s">
        <v>50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6.8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8144</v>
      </c>
      <c r="B1443" s="16" t="s">
        <v>8144</v>
      </c>
      <c r="C1443" s="16" t="s">
        <v>8315</v>
      </c>
      <c r="D1443" s="16" t="s">
        <v>21</v>
      </c>
      <c r="E1443" s="36" t="s">
        <v>8463</v>
      </c>
      <c r="F1443" s="16" t="s">
        <v>1140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7.5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8145</v>
      </c>
      <c r="B1444" s="16" t="s">
        <v>8145</v>
      </c>
      <c r="C1444" s="16" t="s">
        <v>8316</v>
      </c>
      <c r="D1444" s="16" t="s">
        <v>21</v>
      </c>
      <c r="E1444" s="36" t="s">
        <v>8463</v>
      </c>
      <c r="F1444" s="16" t="s">
        <v>52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8.1999999999999993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8146</v>
      </c>
      <c r="B1445" s="16" t="s">
        <v>8146</v>
      </c>
      <c r="C1445" s="16" t="s">
        <v>8317</v>
      </c>
      <c r="D1445" s="16" t="s">
        <v>21</v>
      </c>
      <c r="E1445" s="36" t="s">
        <v>8463</v>
      </c>
      <c r="F1445" s="16" t="s">
        <v>1150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9.1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8147</v>
      </c>
      <c r="B1446" s="16" t="s">
        <v>8147</v>
      </c>
      <c r="C1446" s="16" t="s">
        <v>8318</v>
      </c>
      <c r="D1446" s="16" t="s">
        <v>21</v>
      </c>
      <c r="E1446" s="36" t="s">
        <v>8463</v>
      </c>
      <c r="F1446" s="16" t="s">
        <v>54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20">
        <v>10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8148</v>
      </c>
      <c r="B1447" s="16" t="s">
        <v>8148</v>
      </c>
      <c r="C1447" s="16" t="s">
        <v>8319</v>
      </c>
      <c r="D1447" s="16" t="s">
        <v>21</v>
      </c>
      <c r="E1447" s="36" t="s">
        <v>8463</v>
      </c>
      <c r="F1447" s="16" t="s">
        <v>58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20">
        <v>11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8149</v>
      </c>
      <c r="B1448" s="16" t="s">
        <v>8149</v>
      </c>
      <c r="C1448" s="16" t="s">
        <v>8320</v>
      </c>
      <c r="D1448" s="16" t="s">
        <v>21</v>
      </c>
      <c r="E1448" s="36" t="s">
        <v>8463</v>
      </c>
      <c r="F1448" s="16" t="s">
        <v>60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20">
        <v>12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8150</v>
      </c>
      <c r="B1449" s="16" t="s">
        <v>8150</v>
      </c>
      <c r="C1449" s="16" t="s">
        <v>8321</v>
      </c>
      <c r="D1449" s="16" t="s">
        <v>21</v>
      </c>
      <c r="E1449" s="36" t="s">
        <v>8463</v>
      </c>
      <c r="F1449" s="16" t="s">
        <v>62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13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8151</v>
      </c>
      <c r="B1450" s="16" t="s">
        <v>8151</v>
      </c>
      <c r="C1450" s="16" t="s">
        <v>8322</v>
      </c>
      <c r="D1450" s="16" t="s">
        <v>21</v>
      </c>
      <c r="E1450" s="36" t="s">
        <v>8463</v>
      </c>
      <c r="F1450" s="16" t="s">
        <v>64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15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8152</v>
      </c>
      <c r="B1451" s="16" t="s">
        <v>8152</v>
      </c>
      <c r="C1451" s="16" t="s">
        <v>8323</v>
      </c>
      <c r="D1451" s="16" t="s">
        <v>21</v>
      </c>
      <c r="E1451" s="36" t="s">
        <v>8463</v>
      </c>
      <c r="F1451" s="16" t="s">
        <v>66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16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8153</v>
      </c>
      <c r="B1452" s="16" t="s">
        <v>8153</v>
      </c>
      <c r="C1452" s="16" t="s">
        <v>8324</v>
      </c>
      <c r="D1452" s="16" t="s">
        <v>21</v>
      </c>
      <c r="E1452" s="36" t="s">
        <v>8463</v>
      </c>
      <c r="F1452" s="16" t="s">
        <v>68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18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8154</v>
      </c>
      <c r="B1453" s="16" t="s">
        <v>8154</v>
      </c>
      <c r="C1453" s="16" t="s">
        <v>8325</v>
      </c>
      <c r="D1453" s="16" t="s">
        <v>21</v>
      </c>
      <c r="E1453" s="36" t="s">
        <v>8463</v>
      </c>
      <c r="F1453" s="16" t="s">
        <v>70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20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6"/>
      <c r="V1453" s="17"/>
      <c r="W1453" s="16"/>
      <c r="X1453" s="17"/>
      <c r="Y1453" s="16"/>
      <c r="Z1453" s="17"/>
    </row>
    <row r="1454" spans="1:26">
      <c r="A1454" s="16" t="s">
        <v>8155</v>
      </c>
      <c r="B1454" s="16" t="s">
        <v>8155</v>
      </c>
      <c r="C1454" s="16" t="s">
        <v>8326</v>
      </c>
      <c r="D1454" s="16" t="s">
        <v>21</v>
      </c>
      <c r="E1454" s="36" t="s">
        <v>8463</v>
      </c>
      <c r="F1454" s="16" t="s">
        <v>72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22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6"/>
      <c r="X1454" s="25"/>
      <c r="Y1454" s="17"/>
      <c r="Z1454" s="17"/>
    </row>
    <row r="1455" spans="1:26">
      <c r="A1455" s="16" t="s">
        <v>8156</v>
      </c>
      <c r="B1455" s="16" t="s">
        <v>8156</v>
      </c>
      <c r="C1455" s="16" t="s">
        <v>8327</v>
      </c>
      <c r="D1455" s="16" t="s">
        <v>21</v>
      </c>
      <c r="E1455" s="36" t="s">
        <v>8463</v>
      </c>
      <c r="F1455" s="16" t="s">
        <v>76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24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8157</v>
      </c>
      <c r="B1456" s="16" t="s">
        <v>8157</v>
      </c>
      <c r="C1456" s="16" t="s">
        <v>8328</v>
      </c>
      <c r="D1456" s="16" t="s">
        <v>21</v>
      </c>
      <c r="E1456" s="36" t="s">
        <v>8463</v>
      </c>
      <c r="F1456" s="16" t="s">
        <v>78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27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7"/>
      <c r="V1456" s="17"/>
      <c r="W1456" s="17"/>
      <c r="X1456" s="17"/>
      <c r="Y1456" s="17"/>
      <c r="Z1456" s="17"/>
    </row>
    <row r="1457" spans="1:26">
      <c r="A1457" s="16" t="s">
        <v>8158</v>
      </c>
      <c r="B1457" s="16" t="s">
        <v>8158</v>
      </c>
      <c r="C1457" s="16" t="s">
        <v>8329</v>
      </c>
      <c r="D1457" s="16" t="s">
        <v>21</v>
      </c>
      <c r="E1457" s="36" t="s">
        <v>8463</v>
      </c>
      <c r="F1457" s="16" t="s">
        <v>80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30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7"/>
      <c r="X1457" s="17"/>
      <c r="Y1457" s="17"/>
      <c r="Z1457" s="17"/>
    </row>
    <row r="1458" spans="1:26">
      <c r="A1458" s="16" t="s">
        <v>8159</v>
      </c>
      <c r="B1458" s="16" t="s">
        <v>8159</v>
      </c>
      <c r="C1458" s="16" t="s">
        <v>8330</v>
      </c>
      <c r="D1458" s="16" t="s">
        <v>21</v>
      </c>
      <c r="E1458" s="36" t="s">
        <v>8463</v>
      </c>
      <c r="F1458" s="16" t="s">
        <v>82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33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8160</v>
      </c>
      <c r="B1459" s="16" t="s">
        <v>8160</v>
      </c>
      <c r="C1459" s="16" t="s">
        <v>8331</v>
      </c>
      <c r="D1459" s="16" t="s">
        <v>21</v>
      </c>
      <c r="E1459" s="36" t="s">
        <v>8463</v>
      </c>
      <c r="F1459" s="16" t="s">
        <v>84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36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8161</v>
      </c>
      <c r="B1460" s="16" t="s">
        <v>8161</v>
      </c>
      <c r="C1460" s="16" t="s">
        <v>8332</v>
      </c>
      <c r="D1460" s="16" t="s">
        <v>21</v>
      </c>
      <c r="E1460" s="36" t="s">
        <v>8463</v>
      </c>
      <c r="F1460" s="16" t="s">
        <v>86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39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8162</v>
      </c>
      <c r="B1461" s="16" t="s">
        <v>8162</v>
      </c>
      <c r="C1461" s="16" t="s">
        <v>8333</v>
      </c>
      <c r="D1461" s="16" t="s">
        <v>21</v>
      </c>
      <c r="E1461" s="36" t="s">
        <v>8463</v>
      </c>
      <c r="F1461" s="16" t="s">
        <v>88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43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8163</v>
      </c>
      <c r="B1462" s="16" t="s">
        <v>8163</v>
      </c>
      <c r="C1462" s="16" t="s">
        <v>8334</v>
      </c>
      <c r="D1462" s="16" t="s">
        <v>21</v>
      </c>
      <c r="E1462" s="36" t="s">
        <v>8463</v>
      </c>
      <c r="F1462" s="16" t="s">
        <v>90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47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8164</v>
      </c>
      <c r="B1463" s="16" t="s">
        <v>8164</v>
      </c>
      <c r="C1463" s="16" t="s">
        <v>8335</v>
      </c>
      <c r="D1463" s="16" t="s">
        <v>21</v>
      </c>
      <c r="E1463" s="36" t="s">
        <v>8463</v>
      </c>
      <c r="F1463" s="16" t="s">
        <v>92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51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8165</v>
      </c>
      <c r="B1464" s="16" t="s">
        <v>8165</v>
      </c>
      <c r="C1464" s="16" t="s">
        <v>8336</v>
      </c>
      <c r="D1464" s="16" t="s">
        <v>21</v>
      </c>
      <c r="E1464" s="36" t="s">
        <v>8463</v>
      </c>
      <c r="F1464" s="16" t="s">
        <v>94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56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8166</v>
      </c>
      <c r="B1465" s="16" t="s">
        <v>8166</v>
      </c>
      <c r="C1465" s="16" t="s">
        <v>8337</v>
      </c>
      <c r="D1465" s="16" t="s">
        <v>21</v>
      </c>
      <c r="E1465" s="36" t="s">
        <v>8463</v>
      </c>
      <c r="F1465" s="16" t="s">
        <v>96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62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8167</v>
      </c>
      <c r="B1466" s="16" t="s">
        <v>8167</v>
      </c>
      <c r="C1466" s="16" t="s">
        <v>8338</v>
      </c>
      <c r="D1466" s="16" t="s">
        <v>21</v>
      </c>
      <c r="E1466" s="36" t="s">
        <v>8463</v>
      </c>
      <c r="F1466" s="16" t="s">
        <v>98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68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8168</v>
      </c>
      <c r="B1467" s="16" t="s">
        <v>8168</v>
      </c>
      <c r="C1467" s="16" t="s">
        <v>8339</v>
      </c>
      <c r="D1467" s="16" t="s">
        <v>21</v>
      </c>
      <c r="E1467" s="36" t="s">
        <v>8463</v>
      </c>
      <c r="F1467" s="16" t="s">
        <v>100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75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6"/>
      <c r="X1467" s="25"/>
      <c r="Y1467" s="17"/>
      <c r="Z1467" s="17"/>
    </row>
    <row r="1468" spans="1:26">
      <c r="A1468" s="16" t="s">
        <v>8169</v>
      </c>
      <c r="B1468" s="16" t="s">
        <v>8169</v>
      </c>
      <c r="C1468" s="16" t="s">
        <v>8340</v>
      </c>
      <c r="D1468" s="16" t="s">
        <v>21</v>
      </c>
      <c r="E1468" s="36" t="s">
        <v>8463</v>
      </c>
      <c r="F1468" s="16" t="s">
        <v>102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82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6"/>
      <c r="W1468" s="16"/>
      <c r="Y1468" s="17"/>
      <c r="Z1468" s="17"/>
    </row>
    <row r="1469" spans="1:26">
      <c r="A1469" s="16" t="s">
        <v>8170</v>
      </c>
      <c r="B1469" s="16" t="s">
        <v>8170</v>
      </c>
      <c r="C1469" s="16" t="s">
        <v>8341</v>
      </c>
      <c r="D1469" s="16" t="s">
        <v>21</v>
      </c>
      <c r="E1469" s="36" t="s">
        <v>8463</v>
      </c>
      <c r="F1469" s="16" t="s">
        <v>104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91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8171</v>
      </c>
      <c r="B1470" s="16" t="s">
        <v>8171</v>
      </c>
      <c r="C1470" s="16" t="s">
        <v>8342</v>
      </c>
      <c r="D1470" s="16" t="s">
        <v>21</v>
      </c>
      <c r="E1470" s="36" t="s">
        <v>8463</v>
      </c>
      <c r="F1470" s="16" t="s">
        <v>106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100</v>
      </c>
      <c r="L1470" s="19" t="s">
        <v>8479</v>
      </c>
      <c r="M1470" s="16" t="s">
        <v>4416</v>
      </c>
      <c r="N1470" s="16" t="s">
        <v>8481</v>
      </c>
      <c r="O1470" s="16" t="s">
        <v>26</v>
      </c>
      <c r="P1470" s="16" t="s">
        <v>10599</v>
      </c>
      <c r="Q1470" s="16"/>
      <c r="R1470" s="16"/>
      <c r="S1470" s="16"/>
      <c r="T1470" s="16"/>
      <c r="U1470" s="17"/>
      <c r="V1470" s="17"/>
      <c r="W1470" s="17"/>
      <c r="X1470" s="17"/>
      <c r="Y1470" s="17"/>
      <c r="Z1470" s="17"/>
    </row>
    <row r="1471" spans="1:26">
      <c r="A1471" s="16" t="s">
        <v>8172</v>
      </c>
      <c r="B1471" s="16" t="s">
        <v>8172</v>
      </c>
      <c r="C1471" s="16" t="s">
        <v>8343</v>
      </c>
      <c r="D1471" s="16" t="s">
        <v>21</v>
      </c>
      <c r="E1471" s="36" t="s">
        <v>8463</v>
      </c>
      <c r="F1471" s="16" t="s">
        <v>110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110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7"/>
      <c r="V1471" s="17"/>
      <c r="W1471" s="17"/>
      <c r="X1471" s="17"/>
      <c r="Y1471" s="17"/>
      <c r="Z1471" s="17"/>
    </row>
    <row r="1472" spans="1:26">
      <c r="A1472" s="16" t="s">
        <v>8173</v>
      </c>
      <c r="B1472" s="16" t="s">
        <v>8173</v>
      </c>
      <c r="C1472" s="16" t="s">
        <v>8344</v>
      </c>
      <c r="D1472" s="16" t="s">
        <v>21</v>
      </c>
      <c r="E1472" s="36" t="s">
        <v>8463</v>
      </c>
      <c r="F1472" s="16" t="s">
        <v>112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120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8174</v>
      </c>
      <c r="B1473" s="16" t="s">
        <v>8174</v>
      </c>
      <c r="C1473" s="16" t="s">
        <v>8345</v>
      </c>
      <c r="D1473" s="16" t="s">
        <v>21</v>
      </c>
      <c r="E1473" s="36" t="s">
        <v>8463</v>
      </c>
      <c r="F1473" s="16" t="s">
        <v>114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130</v>
      </c>
      <c r="L1473" s="19" t="s">
        <v>8479</v>
      </c>
      <c r="M1473" s="16" t="s">
        <v>4416</v>
      </c>
      <c r="N1473" s="16"/>
      <c r="O1473" s="16"/>
      <c r="P1473" s="16"/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8175</v>
      </c>
      <c r="B1474" s="16" t="s">
        <v>8175</v>
      </c>
      <c r="C1474" s="16" t="s">
        <v>8346</v>
      </c>
      <c r="D1474" s="16" t="s">
        <v>21</v>
      </c>
      <c r="E1474" s="36" t="s">
        <v>8463</v>
      </c>
      <c r="F1474" s="16" t="s">
        <v>116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150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8176</v>
      </c>
      <c r="B1475" s="16" t="s">
        <v>8176</v>
      </c>
      <c r="C1475" s="16" t="s">
        <v>8347</v>
      </c>
      <c r="D1475" s="16" t="s">
        <v>21</v>
      </c>
      <c r="E1475" s="36" t="s">
        <v>8463</v>
      </c>
      <c r="F1475" s="16" t="s">
        <v>118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160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8177</v>
      </c>
      <c r="B1476" s="16" t="s">
        <v>8177</v>
      </c>
      <c r="C1476" s="16" t="s">
        <v>8348</v>
      </c>
      <c r="D1476" s="16" t="s">
        <v>21</v>
      </c>
      <c r="E1476" s="36" t="s">
        <v>8463</v>
      </c>
      <c r="F1476" s="16" t="s">
        <v>120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180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8178</v>
      </c>
      <c r="B1477" s="16" t="s">
        <v>8178</v>
      </c>
      <c r="C1477" s="16" t="s">
        <v>8349</v>
      </c>
      <c r="D1477" s="16" t="s">
        <v>21</v>
      </c>
      <c r="E1477" s="36" t="s">
        <v>8463</v>
      </c>
      <c r="F1477" s="16" t="s">
        <v>124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200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8179</v>
      </c>
      <c r="B1478" s="16" t="s">
        <v>8179</v>
      </c>
      <c r="C1478" s="16" t="s">
        <v>8350</v>
      </c>
      <c r="D1478" s="16" t="s">
        <v>21</v>
      </c>
      <c r="E1478" s="36" t="s">
        <v>8463</v>
      </c>
      <c r="F1478" s="16" t="s">
        <v>126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220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6"/>
      <c r="V1478" s="17"/>
      <c r="W1478" s="16"/>
      <c r="X1478" s="17"/>
      <c r="Y1478" s="16"/>
      <c r="Z1478" s="17"/>
    </row>
    <row r="1479" spans="1:26">
      <c r="A1479" s="16" t="s">
        <v>8180</v>
      </c>
      <c r="B1479" s="16" t="s">
        <v>8180</v>
      </c>
      <c r="C1479" s="16" t="s">
        <v>8351</v>
      </c>
      <c r="D1479" s="16" t="s">
        <v>21</v>
      </c>
      <c r="E1479" s="36" t="s">
        <v>8463</v>
      </c>
      <c r="F1479" s="16" t="s">
        <v>130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240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8181</v>
      </c>
      <c r="B1480" s="16" t="s">
        <v>8181</v>
      </c>
      <c r="C1480" s="16" t="s">
        <v>8352</v>
      </c>
      <c r="D1480" s="16" t="s">
        <v>21</v>
      </c>
      <c r="E1480" s="36" t="s">
        <v>8463</v>
      </c>
      <c r="F1480" s="16" t="s">
        <v>132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270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6"/>
      <c r="V1480" s="17"/>
      <c r="W1480" s="16"/>
      <c r="X1480" s="17"/>
      <c r="Y1480" s="16"/>
      <c r="Z1480" s="17"/>
    </row>
    <row r="1481" spans="1:26">
      <c r="A1481" s="16" t="s">
        <v>8182</v>
      </c>
      <c r="B1481" s="16" t="s">
        <v>8182</v>
      </c>
      <c r="C1481" s="16" t="s">
        <v>8353</v>
      </c>
      <c r="D1481" s="16" t="s">
        <v>21</v>
      </c>
      <c r="E1481" s="36" t="s">
        <v>8463</v>
      </c>
      <c r="F1481" s="16" t="s">
        <v>134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300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7"/>
      <c r="V1481" s="17"/>
      <c r="W1481" s="17"/>
      <c r="X1481" s="17"/>
      <c r="Y1481" s="17"/>
      <c r="Z1481" s="17"/>
    </row>
    <row r="1482" spans="1:26">
      <c r="A1482" s="16" t="s">
        <v>8183</v>
      </c>
      <c r="B1482" s="16" t="s">
        <v>8183</v>
      </c>
      <c r="C1482" s="16" t="s">
        <v>8354</v>
      </c>
      <c r="D1482" s="16" t="s">
        <v>21</v>
      </c>
      <c r="E1482" s="36" t="s">
        <v>8463</v>
      </c>
      <c r="F1482" s="16" t="s">
        <v>138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330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6"/>
      <c r="V1482" s="17"/>
      <c r="W1482" s="16"/>
      <c r="X1482" s="17"/>
      <c r="Y1482" s="16"/>
      <c r="Z1482" s="17"/>
    </row>
    <row r="1483" spans="1:26">
      <c r="A1483" s="16" t="s">
        <v>8184</v>
      </c>
      <c r="B1483" s="16" t="s">
        <v>8184</v>
      </c>
      <c r="C1483" s="16" t="s">
        <v>8355</v>
      </c>
      <c r="D1483" s="16" t="s">
        <v>21</v>
      </c>
      <c r="E1483" s="36" t="s">
        <v>8463</v>
      </c>
      <c r="F1483" s="16" t="s">
        <v>140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360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7"/>
      <c r="V1483" s="17"/>
      <c r="W1483" s="17"/>
      <c r="X1483" s="17"/>
      <c r="Y1483" s="17"/>
      <c r="Z1483" s="17"/>
    </row>
    <row r="1484" spans="1:26">
      <c r="A1484" s="16" t="s">
        <v>8185</v>
      </c>
      <c r="B1484" s="16" t="s">
        <v>8185</v>
      </c>
      <c r="C1484" s="16" t="s">
        <v>8356</v>
      </c>
      <c r="D1484" s="16" t="s">
        <v>21</v>
      </c>
      <c r="E1484" s="36" t="s">
        <v>8463</v>
      </c>
      <c r="F1484" s="16" t="s">
        <v>142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390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8186</v>
      </c>
      <c r="B1485" s="16" t="s">
        <v>8186</v>
      </c>
      <c r="C1485" s="16" t="s">
        <v>8357</v>
      </c>
      <c r="D1485" s="16" t="s">
        <v>21</v>
      </c>
      <c r="E1485" s="36" t="s">
        <v>8463</v>
      </c>
      <c r="F1485" s="16" t="s">
        <v>144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430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7"/>
      <c r="V1485" s="17"/>
      <c r="W1485" s="17"/>
      <c r="X1485" s="17"/>
      <c r="Y1485" s="17"/>
      <c r="Z1485" s="17"/>
    </row>
    <row r="1486" spans="1:26">
      <c r="A1486" s="16" t="s">
        <v>8187</v>
      </c>
      <c r="B1486" s="16" t="s">
        <v>8187</v>
      </c>
      <c r="C1486" s="16" t="s">
        <v>8358</v>
      </c>
      <c r="D1486" s="16" t="s">
        <v>21</v>
      </c>
      <c r="E1486" s="36" t="s">
        <v>8463</v>
      </c>
      <c r="F1486" s="16" t="s">
        <v>146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470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8188</v>
      </c>
      <c r="B1487" s="16" t="s">
        <v>8188</v>
      </c>
      <c r="C1487" s="16" t="s">
        <v>8359</v>
      </c>
      <c r="D1487" s="16" t="s">
        <v>21</v>
      </c>
      <c r="E1487" s="36" t="s">
        <v>8463</v>
      </c>
      <c r="F1487" s="16" t="s">
        <v>150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510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8189</v>
      </c>
      <c r="B1488" s="16" t="s">
        <v>8189</v>
      </c>
      <c r="C1488" s="16" t="s">
        <v>8360</v>
      </c>
      <c r="D1488" s="16" t="s">
        <v>21</v>
      </c>
      <c r="E1488" s="36" t="s">
        <v>8463</v>
      </c>
      <c r="F1488" s="16" t="s">
        <v>152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560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8190</v>
      </c>
      <c r="B1489" s="16" t="s">
        <v>8190</v>
      </c>
      <c r="C1489" s="16" t="s">
        <v>8361</v>
      </c>
      <c r="D1489" s="16" t="s">
        <v>21</v>
      </c>
      <c r="E1489" s="36" t="s">
        <v>8463</v>
      </c>
      <c r="F1489" s="16" t="s">
        <v>154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620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8191</v>
      </c>
      <c r="B1490" s="16" t="s">
        <v>8191</v>
      </c>
      <c r="C1490" s="16" t="s">
        <v>8362</v>
      </c>
      <c r="D1490" s="16" t="s">
        <v>21</v>
      </c>
      <c r="E1490" s="36" t="s">
        <v>8463</v>
      </c>
      <c r="F1490" s="16" t="s">
        <v>156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680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8192</v>
      </c>
      <c r="B1491" s="16" t="s">
        <v>8192</v>
      </c>
      <c r="C1491" s="16" t="s">
        <v>8363</v>
      </c>
      <c r="D1491" s="16" t="s">
        <v>21</v>
      </c>
      <c r="E1491" s="36" t="s">
        <v>8463</v>
      </c>
      <c r="F1491" s="16" t="s">
        <v>158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750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8193</v>
      </c>
      <c r="B1492" s="16" t="s">
        <v>8193</v>
      </c>
      <c r="C1492" s="16" t="s">
        <v>8364</v>
      </c>
      <c r="D1492" s="16" t="s">
        <v>21</v>
      </c>
      <c r="E1492" s="36" t="s">
        <v>8463</v>
      </c>
      <c r="F1492" s="16" t="s">
        <v>160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820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8194</v>
      </c>
      <c r="B1493" s="16" t="s">
        <v>8194</v>
      </c>
      <c r="C1493" s="16" t="s">
        <v>8365</v>
      </c>
      <c r="D1493" s="16" t="s">
        <v>21</v>
      </c>
      <c r="E1493" s="36" t="s">
        <v>8463</v>
      </c>
      <c r="F1493" s="16" t="s">
        <v>162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910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8195</v>
      </c>
      <c r="B1494" s="16" t="s">
        <v>8195</v>
      </c>
      <c r="C1494" s="16" t="s">
        <v>8366</v>
      </c>
      <c r="D1494" s="16" t="s">
        <v>21</v>
      </c>
      <c r="E1494" s="36" t="s">
        <v>8463</v>
      </c>
      <c r="F1494" s="16" t="s">
        <v>164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1000</v>
      </c>
      <c r="L1494" s="19" t="s">
        <v>8479</v>
      </c>
      <c r="M1494" s="16" t="s">
        <v>4416</v>
      </c>
      <c r="N1494" s="16" t="s">
        <v>8480</v>
      </c>
      <c r="O1494" s="16" t="s">
        <v>26</v>
      </c>
      <c r="P1494" s="16" t="s">
        <v>10600</v>
      </c>
      <c r="Q1494" s="16"/>
      <c r="R1494" s="16"/>
      <c r="S1494" s="16"/>
      <c r="T1494" s="16"/>
      <c r="U1494" s="17"/>
      <c r="V1494" s="17"/>
      <c r="W1494" s="16"/>
      <c r="X1494" s="17"/>
      <c r="Y1494" s="17"/>
      <c r="Z1494" s="17"/>
    </row>
    <row r="1495" spans="1:26">
      <c r="A1495" s="16" t="s">
        <v>8196</v>
      </c>
      <c r="B1495" s="16" t="s">
        <v>8196</v>
      </c>
      <c r="C1495" s="16" t="s">
        <v>8367</v>
      </c>
      <c r="D1495" s="16" t="s">
        <v>21</v>
      </c>
      <c r="E1495" s="36" t="s">
        <v>8463</v>
      </c>
      <c r="F1495" s="16" t="s">
        <v>166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1100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8197</v>
      </c>
      <c r="B1496" s="16" t="s">
        <v>8197</v>
      </c>
      <c r="C1496" s="16" t="s">
        <v>8368</v>
      </c>
      <c r="D1496" s="16" t="s">
        <v>21</v>
      </c>
      <c r="E1496" s="36" t="s">
        <v>8463</v>
      </c>
      <c r="F1496" s="16" t="s">
        <v>168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1200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8198</v>
      </c>
      <c r="B1497" s="16" t="s">
        <v>8198</v>
      </c>
      <c r="C1497" s="16" t="s">
        <v>8369</v>
      </c>
      <c r="D1497" s="16" t="s">
        <v>21</v>
      </c>
      <c r="E1497" s="36" t="s">
        <v>8463</v>
      </c>
      <c r="F1497" s="16" t="s">
        <v>170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1300</v>
      </c>
      <c r="L1497" s="19" t="s">
        <v>8479</v>
      </c>
      <c r="M1497" s="16" t="s">
        <v>4416</v>
      </c>
      <c r="N1497" s="16"/>
      <c r="O1497" s="16"/>
      <c r="P1497" s="16"/>
      <c r="Q1497" s="16"/>
      <c r="R1497" s="16"/>
      <c r="S1497" s="16"/>
      <c r="T1497" s="16"/>
      <c r="U1497" s="17"/>
      <c r="V1497" s="17"/>
      <c r="W1497" s="17"/>
      <c r="X1497" s="17"/>
      <c r="Y1497" s="17"/>
      <c r="Z1497" s="17"/>
    </row>
    <row r="1498" spans="1:26">
      <c r="A1498" s="16" t="s">
        <v>8199</v>
      </c>
      <c r="B1498" s="16" t="s">
        <v>8199</v>
      </c>
      <c r="C1498" s="16" t="s">
        <v>8370</v>
      </c>
      <c r="D1498" s="16" t="s">
        <v>21</v>
      </c>
      <c r="E1498" s="36" t="s">
        <v>8463</v>
      </c>
      <c r="F1498" s="16" t="s">
        <v>172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1500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6"/>
      <c r="V1498" s="17"/>
      <c r="W1498" s="16"/>
      <c r="X1498" s="17"/>
      <c r="Y1498" s="16"/>
      <c r="Z1498" s="17"/>
    </row>
    <row r="1499" spans="1:26">
      <c r="A1499" s="16" t="s">
        <v>8200</v>
      </c>
      <c r="B1499" s="16" t="s">
        <v>8200</v>
      </c>
      <c r="C1499" s="16" t="s">
        <v>8371</v>
      </c>
      <c r="D1499" s="16" t="s">
        <v>21</v>
      </c>
      <c r="E1499" s="36" t="s">
        <v>8463</v>
      </c>
      <c r="F1499" s="16" t="s">
        <v>176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1600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8201</v>
      </c>
      <c r="B1500" s="16" t="s">
        <v>8201</v>
      </c>
      <c r="C1500" s="16" t="s">
        <v>8372</v>
      </c>
      <c r="D1500" s="16" t="s">
        <v>21</v>
      </c>
      <c r="E1500" s="36" t="s">
        <v>8463</v>
      </c>
      <c r="F1500" s="16" t="s">
        <v>182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1800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8202</v>
      </c>
      <c r="B1501" s="16" t="s">
        <v>8202</v>
      </c>
      <c r="C1501" s="16" t="s">
        <v>8373</v>
      </c>
      <c r="D1501" s="16" t="s">
        <v>21</v>
      </c>
      <c r="E1501" s="36" t="s">
        <v>8463</v>
      </c>
      <c r="F1501" s="16" t="s">
        <v>184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2000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7"/>
      <c r="V1501" s="17"/>
      <c r="W1501" s="16"/>
      <c r="X1501" s="17"/>
      <c r="Y1501" s="17"/>
      <c r="Z1501" s="17"/>
    </row>
    <row r="1502" spans="1:26">
      <c r="A1502" s="16" t="s">
        <v>8203</v>
      </c>
      <c r="B1502" s="16" t="s">
        <v>8203</v>
      </c>
      <c r="C1502" s="16" t="s">
        <v>8374</v>
      </c>
      <c r="D1502" s="16" t="s">
        <v>21</v>
      </c>
      <c r="E1502" s="36" t="s">
        <v>8463</v>
      </c>
      <c r="F1502" s="16" t="s">
        <v>188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2200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6"/>
      <c r="W1502" s="16"/>
      <c r="Y1502" s="17"/>
      <c r="Z1502" s="17"/>
    </row>
    <row r="1503" spans="1:26">
      <c r="A1503" s="16" t="s">
        <v>8204</v>
      </c>
      <c r="B1503" s="16" t="s">
        <v>8204</v>
      </c>
      <c r="C1503" s="16" t="s">
        <v>8375</v>
      </c>
      <c r="D1503" s="16" t="s">
        <v>21</v>
      </c>
      <c r="E1503" s="36" t="s">
        <v>8463</v>
      </c>
      <c r="F1503" s="16" t="s">
        <v>192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2400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8205</v>
      </c>
      <c r="B1504" s="16" t="s">
        <v>8205</v>
      </c>
      <c r="C1504" s="16" t="s">
        <v>8376</v>
      </c>
      <c r="D1504" s="16" t="s">
        <v>21</v>
      </c>
      <c r="E1504" s="36" t="s">
        <v>8463</v>
      </c>
      <c r="F1504" s="16" t="s">
        <v>194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2700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7"/>
      <c r="X1504" s="17"/>
      <c r="Y1504" s="17"/>
      <c r="Z1504" s="17"/>
    </row>
    <row r="1505" spans="1:26">
      <c r="A1505" s="16" t="s">
        <v>8206</v>
      </c>
      <c r="B1505" s="16" t="s">
        <v>8206</v>
      </c>
      <c r="C1505" s="16" t="s">
        <v>8377</v>
      </c>
      <c r="D1505" s="16" t="s">
        <v>21</v>
      </c>
      <c r="E1505" s="36" t="s">
        <v>8463</v>
      </c>
      <c r="F1505" s="16" t="s">
        <v>198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3000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7"/>
      <c r="V1505" s="17"/>
      <c r="W1505" s="17"/>
      <c r="X1505" s="17"/>
      <c r="Y1505" s="17"/>
      <c r="Z1505" s="17"/>
    </row>
    <row r="1506" spans="1:26">
      <c r="A1506" s="16" t="s">
        <v>8207</v>
      </c>
      <c r="B1506" s="16" t="s">
        <v>8207</v>
      </c>
      <c r="C1506" s="16" t="s">
        <v>8378</v>
      </c>
      <c r="D1506" s="16" t="s">
        <v>21</v>
      </c>
      <c r="E1506" s="36" t="s">
        <v>8463</v>
      </c>
      <c r="F1506" s="16" t="s">
        <v>202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3300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8208</v>
      </c>
      <c r="B1507" s="16" t="s">
        <v>8208</v>
      </c>
      <c r="C1507" s="16" t="s">
        <v>8379</v>
      </c>
      <c r="D1507" s="16" t="s">
        <v>21</v>
      </c>
      <c r="E1507" s="36" t="s">
        <v>8463</v>
      </c>
      <c r="F1507" s="16" t="s">
        <v>204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3600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8209</v>
      </c>
      <c r="B1508" s="16" t="s">
        <v>8209</v>
      </c>
      <c r="C1508" s="16" t="s">
        <v>8380</v>
      </c>
      <c r="D1508" s="16" t="s">
        <v>21</v>
      </c>
      <c r="E1508" s="36" t="s">
        <v>8463</v>
      </c>
      <c r="F1508" s="16" t="s">
        <v>206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3900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8210</v>
      </c>
      <c r="B1509" s="16" t="s">
        <v>8210</v>
      </c>
      <c r="C1509" s="16" t="s">
        <v>8381</v>
      </c>
      <c r="D1509" s="16" t="s">
        <v>21</v>
      </c>
      <c r="E1509" s="36" t="s">
        <v>8463</v>
      </c>
      <c r="F1509" s="16" t="s">
        <v>208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4300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8211</v>
      </c>
      <c r="B1510" s="16" t="s">
        <v>8211</v>
      </c>
      <c r="C1510" s="16" t="s">
        <v>8382</v>
      </c>
      <c r="D1510" s="16" t="s">
        <v>21</v>
      </c>
      <c r="E1510" s="36" t="s">
        <v>8463</v>
      </c>
      <c r="F1510" s="16" t="s">
        <v>210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4700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6"/>
      <c r="V1510" s="17"/>
      <c r="W1510" s="16"/>
      <c r="X1510" s="17"/>
      <c r="Y1510" s="16"/>
      <c r="Z1510" s="17"/>
    </row>
    <row r="1511" spans="1:26">
      <c r="A1511" s="16" t="s">
        <v>8212</v>
      </c>
      <c r="B1511" s="16" t="s">
        <v>8212</v>
      </c>
      <c r="C1511" s="16" t="s">
        <v>8383</v>
      </c>
      <c r="D1511" s="16" t="s">
        <v>21</v>
      </c>
      <c r="E1511" s="36" t="s">
        <v>8463</v>
      </c>
      <c r="F1511" s="16" t="s">
        <v>214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5100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6"/>
      <c r="V1511" s="17"/>
      <c r="W1511" s="16"/>
      <c r="X1511" s="17"/>
      <c r="Y1511" s="16"/>
      <c r="Z1511" s="17"/>
    </row>
    <row r="1512" spans="1:26">
      <c r="A1512" s="16" t="s">
        <v>8213</v>
      </c>
      <c r="B1512" s="16" t="s">
        <v>8213</v>
      </c>
      <c r="C1512" s="16" t="s">
        <v>8384</v>
      </c>
      <c r="D1512" s="16" t="s">
        <v>21</v>
      </c>
      <c r="E1512" s="36" t="s">
        <v>8463</v>
      </c>
      <c r="F1512" s="16" t="s">
        <v>216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5600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8214</v>
      </c>
      <c r="B1513" s="16" t="s">
        <v>8214</v>
      </c>
      <c r="C1513" s="16" t="s">
        <v>8385</v>
      </c>
      <c r="D1513" s="16" t="s">
        <v>21</v>
      </c>
      <c r="E1513" s="36" t="s">
        <v>8463</v>
      </c>
      <c r="F1513" s="16" t="s">
        <v>218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6200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7"/>
      <c r="V1513" s="17"/>
      <c r="W1513" s="17"/>
      <c r="X1513" s="17"/>
      <c r="Y1513" s="17"/>
      <c r="Z1513" s="17"/>
    </row>
    <row r="1514" spans="1:26">
      <c r="A1514" s="16" t="s">
        <v>8215</v>
      </c>
      <c r="B1514" s="16" t="s">
        <v>8215</v>
      </c>
      <c r="C1514" s="16" t="s">
        <v>8386</v>
      </c>
      <c r="D1514" s="16" t="s">
        <v>21</v>
      </c>
      <c r="E1514" s="36" t="s">
        <v>8463</v>
      </c>
      <c r="F1514" s="16" t="s">
        <v>220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6800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7"/>
      <c r="V1514" s="17"/>
      <c r="W1514" s="17"/>
      <c r="X1514" s="17"/>
      <c r="Y1514" s="17"/>
      <c r="Z1514" s="17"/>
    </row>
    <row r="1515" spans="1:26">
      <c r="A1515" s="16" t="s">
        <v>8216</v>
      </c>
      <c r="B1515" s="16" t="s">
        <v>8216</v>
      </c>
      <c r="C1515" s="16" t="s">
        <v>8387</v>
      </c>
      <c r="D1515" s="16" t="s">
        <v>21</v>
      </c>
      <c r="E1515" s="36" t="s">
        <v>8463</v>
      </c>
      <c r="F1515" s="16" t="s">
        <v>222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7500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8217</v>
      </c>
      <c r="B1516" s="16" t="s">
        <v>8217</v>
      </c>
      <c r="C1516" s="16" t="s">
        <v>8388</v>
      </c>
      <c r="D1516" s="16" t="s">
        <v>21</v>
      </c>
      <c r="E1516" s="36" t="s">
        <v>8463</v>
      </c>
      <c r="F1516" s="16" t="s">
        <v>224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8200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8218</v>
      </c>
      <c r="B1517" s="16" t="s">
        <v>8218</v>
      </c>
      <c r="C1517" s="16" t="s">
        <v>8389</v>
      </c>
      <c r="D1517" s="16" t="s">
        <v>21</v>
      </c>
      <c r="E1517" s="36" t="s">
        <v>8463</v>
      </c>
      <c r="F1517" s="16" t="s">
        <v>226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9100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8219</v>
      </c>
      <c r="B1518" s="16" t="s">
        <v>8219</v>
      </c>
      <c r="C1518" s="16" t="s">
        <v>8390</v>
      </c>
      <c r="D1518" s="16" t="s">
        <v>21</v>
      </c>
      <c r="E1518" s="36" t="s">
        <v>8463</v>
      </c>
      <c r="F1518" s="16" t="s">
        <v>230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10000</v>
      </c>
      <c r="L1518" s="19" t="s">
        <v>8479</v>
      </c>
      <c r="M1518" s="16" t="s">
        <v>4416</v>
      </c>
      <c r="N1518" s="16" t="s">
        <v>8464</v>
      </c>
      <c r="O1518" s="16" t="s">
        <v>26</v>
      </c>
      <c r="P1518" s="16" t="s">
        <v>10600</v>
      </c>
      <c r="Q1518" s="16" t="s">
        <v>4416</v>
      </c>
      <c r="R1518" s="16" t="s">
        <v>8464</v>
      </c>
      <c r="S1518" s="16" t="s">
        <v>8466</v>
      </c>
      <c r="T1518" s="16" t="s">
        <v>8467</v>
      </c>
      <c r="U1518" s="17"/>
      <c r="V1518" s="17"/>
      <c r="W1518" s="16"/>
      <c r="X1518" s="17"/>
      <c r="Y1518" s="17"/>
      <c r="Z1518" s="17"/>
    </row>
    <row r="1519" spans="1:26">
      <c r="A1519" s="16" t="s">
        <v>8220</v>
      </c>
      <c r="B1519" s="16" t="s">
        <v>8220</v>
      </c>
      <c r="C1519" s="16" t="s">
        <v>8391</v>
      </c>
      <c r="D1519" s="16" t="s">
        <v>21</v>
      </c>
      <c r="E1519" s="36" t="s">
        <v>8463</v>
      </c>
      <c r="F1519" s="16" t="s">
        <v>234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11000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8221</v>
      </c>
      <c r="B1520" s="16" t="s">
        <v>8221</v>
      </c>
      <c r="C1520" s="16" t="s">
        <v>8392</v>
      </c>
      <c r="D1520" s="16" t="s">
        <v>21</v>
      </c>
      <c r="E1520" s="36" t="s">
        <v>8463</v>
      </c>
      <c r="F1520" s="16" t="s">
        <v>236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12000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8222</v>
      </c>
      <c r="B1521" s="16" t="s">
        <v>8222</v>
      </c>
      <c r="C1521" s="16" t="s">
        <v>8393</v>
      </c>
      <c r="D1521" s="16" t="s">
        <v>21</v>
      </c>
      <c r="E1521" s="36" t="s">
        <v>8463</v>
      </c>
      <c r="F1521" s="16" t="s">
        <v>240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13000</v>
      </c>
      <c r="L1521" s="19" t="s">
        <v>8479</v>
      </c>
      <c r="M1521" s="16" t="s">
        <v>4416</v>
      </c>
      <c r="N1521" s="16"/>
      <c r="O1521" s="16"/>
      <c r="P1521" s="16"/>
      <c r="Q1521" s="16"/>
      <c r="R1521" s="16"/>
      <c r="S1521" s="16"/>
      <c r="T1521" s="16"/>
      <c r="U1521" s="16"/>
      <c r="V1521" s="17"/>
      <c r="W1521" s="16"/>
      <c r="X1521" s="16"/>
      <c r="Y1521" s="16"/>
      <c r="Z1521" s="17"/>
    </row>
    <row r="1522" spans="1:26">
      <c r="A1522" s="16" t="s">
        <v>8223</v>
      </c>
      <c r="B1522" s="16" t="s">
        <v>8223</v>
      </c>
      <c r="C1522" s="16" t="s">
        <v>8394</v>
      </c>
      <c r="D1522" s="16" t="s">
        <v>21</v>
      </c>
      <c r="E1522" s="36" t="s">
        <v>8463</v>
      </c>
      <c r="F1522" s="16" t="s">
        <v>244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15000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6"/>
      <c r="W1522" s="16"/>
      <c r="Y1522" s="16"/>
      <c r="Z1522" s="17"/>
    </row>
    <row r="1523" spans="1:26">
      <c r="A1523" s="16" t="s">
        <v>8224</v>
      </c>
      <c r="B1523" s="16" t="s">
        <v>8224</v>
      </c>
      <c r="C1523" s="16" t="s">
        <v>8395</v>
      </c>
      <c r="D1523" s="16" t="s">
        <v>21</v>
      </c>
      <c r="E1523" s="36" t="s">
        <v>8463</v>
      </c>
      <c r="F1523" s="16" t="s">
        <v>248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16000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8225</v>
      </c>
      <c r="B1524" s="16" t="s">
        <v>8225</v>
      </c>
      <c r="C1524" s="16" t="s">
        <v>8396</v>
      </c>
      <c r="D1524" s="16" t="s">
        <v>21</v>
      </c>
      <c r="E1524" s="36" t="s">
        <v>8463</v>
      </c>
      <c r="F1524" s="16" t="s">
        <v>252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18000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7"/>
      <c r="V1524" s="17"/>
      <c r="W1524" s="17"/>
      <c r="X1524" s="17"/>
      <c r="Y1524" s="17"/>
      <c r="Z1524" s="17"/>
    </row>
    <row r="1525" spans="1:26">
      <c r="A1525" s="16" t="s">
        <v>8226</v>
      </c>
      <c r="B1525" s="16" t="s">
        <v>8226</v>
      </c>
      <c r="C1525" s="16" t="s">
        <v>8397</v>
      </c>
      <c r="D1525" s="16" t="s">
        <v>21</v>
      </c>
      <c r="E1525" s="36" t="s">
        <v>8463</v>
      </c>
      <c r="F1525" s="16" t="s">
        <v>256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20000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7"/>
      <c r="V1525" s="17"/>
      <c r="W1525" s="17"/>
      <c r="X1525" s="17"/>
      <c r="Y1525" s="17"/>
      <c r="Z1525" s="17"/>
    </row>
    <row r="1526" spans="1:26">
      <c r="A1526" s="16" t="s">
        <v>8227</v>
      </c>
      <c r="B1526" s="16" t="s">
        <v>8227</v>
      </c>
      <c r="C1526" s="16" t="s">
        <v>8398</v>
      </c>
      <c r="D1526" s="16" t="s">
        <v>21</v>
      </c>
      <c r="E1526" s="36" t="s">
        <v>8463</v>
      </c>
      <c r="F1526" s="16" t="s">
        <v>258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22000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6"/>
      <c r="V1526" s="17"/>
      <c r="W1526" s="16"/>
      <c r="X1526" s="16"/>
      <c r="Y1526" s="16"/>
      <c r="Z1526" s="17"/>
    </row>
    <row r="1527" spans="1:26">
      <c r="A1527" s="16" t="s">
        <v>8228</v>
      </c>
      <c r="B1527" s="16" t="s">
        <v>8228</v>
      </c>
      <c r="C1527" s="16" t="s">
        <v>8399</v>
      </c>
      <c r="D1527" s="16" t="s">
        <v>21</v>
      </c>
      <c r="E1527" s="36" t="s">
        <v>8463</v>
      </c>
      <c r="F1527" s="16" t="s">
        <v>260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24000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8229</v>
      </c>
      <c r="B1528" s="16" t="s">
        <v>8229</v>
      </c>
      <c r="C1528" s="16" t="s">
        <v>8400</v>
      </c>
      <c r="D1528" s="16" t="s">
        <v>21</v>
      </c>
      <c r="E1528" s="36" t="s">
        <v>8463</v>
      </c>
      <c r="F1528" s="16" t="s">
        <v>264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27000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6"/>
      <c r="W1528" s="16"/>
      <c r="Y1528" s="17"/>
      <c r="Z1528" s="17"/>
    </row>
    <row r="1529" spans="1:26">
      <c r="A1529" s="16" t="s">
        <v>8230</v>
      </c>
      <c r="B1529" s="16" t="s">
        <v>8230</v>
      </c>
      <c r="C1529" s="16" t="s">
        <v>8401</v>
      </c>
      <c r="D1529" s="16" t="s">
        <v>21</v>
      </c>
      <c r="E1529" s="36" t="s">
        <v>8463</v>
      </c>
      <c r="F1529" s="16" t="s">
        <v>266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30000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7"/>
      <c r="V1529" s="17"/>
      <c r="W1529" s="17"/>
      <c r="X1529" s="17"/>
      <c r="Y1529" s="17"/>
      <c r="Z1529" s="17"/>
    </row>
    <row r="1530" spans="1:26">
      <c r="A1530" s="16" t="s">
        <v>8231</v>
      </c>
      <c r="B1530" s="16" t="s">
        <v>8231</v>
      </c>
      <c r="C1530" s="16" t="s">
        <v>8402</v>
      </c>
      <c r="D1530" s="16" t="s">
        <v>21</v>
      </c>
      <c r="E1530" s="36" t="s">
        <v>8463</v>
      </c>
      <c r="F1530" s="16" t="s">
        <v>268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33000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8232</v>
      </c>
      <c r="B1531" s="16" t="s">
        <v>8232</v>
      </c>
      <c r="C1531" s="16" t="s">
        <v>8403</v>
      </c>
      <c r="D1531" s="16" t="s">
        <v>21</v>
      </c>
      <c r="E1531" s="36" t="s">
        <v>8463</v>
      </c>
      <c r="F1531" s="16" t="s">
        <v>270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36000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7"/>
      <c r="V1531" s="17"/>
      <c r="W1531" s="17"/>
      <c r="X1531" s="17"/>
      <c r="Y1531" s="17"/>
      <c r="Z1531" s="17"/>
    </row>
    <row r="1532" spans="1:26">
      <c r="A1532" s="16" t="s">
        <v>8233</v>
      </c>
      <c r="B1532" s="16" t="s">
        <v>8233</v>
      </c>
      <c r="C1532" s="16" t="s">
        <v>8404</v>
      </c>
      <c r="D1532" s="16" t="s">
        <v>21</v>
      </c>
      <c r="E1532" s="36" t="s">
        <v>8463</v>
      </c>
      <c r="F1532" s="16" t="s">
        <v>274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39000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8234</v>
      </c>
      <c r="B1533" s="16" t="s">
        <v>8234</v>
      </c>
      <c r="C1533" s="16" t="s">
        <v>8405</v>
      </c>
      <c r="D1533" s="16" t="s">
        <v>21</v>
      </c>
      <c r="E1533" s="36" t="s">
        <v>8463</v>
      </c>
      <c r="F1533" s="16" t="s">
        <v>278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43000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8235</v>
      </c>
      <c r="B1534" s="16" t="s">
        <v>8235</v>
      </c>
      <c r="C1534" s="16" t="s">
        <v>8406</v>
      </c>
      <c r="D1534" s="16" t="s">
        <v>21</v>
      </c>
      <c r="E1534" s="36" t="s">
        <v>8463</v>
      </c>
      <c r="F1534" s="16" t="s">
        <v>280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47000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6"/>
      <c r="V1534" s="17"/>
      <c r="W1534" s="16"/>
      <c r="X1534" s="17"/>
      <c r="Y1534" s="16"/>
      <c r="Z1534" s="17"/>
    </row>
    <row r="1535" spans="1:26">
      <c r="A1535" s="16" t="s">
        <v>8236</v>
      </c>
      <c r="B1535" s="16" t="s">
        <v>8236</v>
      </c>
      <c r="C1535" s="16" t="s">
        <v>8407</v>
      </c>
      <c r="D1535" s="16" t="s">
        <v>21</v>
      </c>
      <c r="E1535" s="36" t="s">
        <v>8463</v>
      </c>
      <c r="F1535" s="16" t="s">
        <v>284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51000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6"/>
      <c r="V1535" s="17"/>
      <c r="W1535" s="16"/>
      <c r="X1535" s="25"/>
      <c r="Y1535" s="16"/>
      <c r="Z1535" s="17"/>
    </row>
    <row r="1536" spans="1:26">
      <c r="A1536" s="16" t="s">
        <v>8237</v>
      </c>
      <c r="B1536" s="16" t="s">
        <v>8237</v>
      </c>
      <c r="C1536" s="16" t="s">
        <v>8408</v>
      </c>
      <c r="D1536" s="16" t="s">
        <v>21</v>
      </c>
      <c r="E1536" s="36" t="s">
        <v>8463</v>
      </c>
      <c r="F1536" s="16" t="s">
        <v>288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56000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8238</v>
      </c>
      <c r="B1537" s="16" t="s">
        <v>8238</v>
      </c>
      <c r="C1537" s="16" t="s">
        <v>8409</v>
      </c>
      <c r="D1537" s="16" t="s">
        <v>21</v>
      </c>
      <c r="E1537" s="36" t="s">
        <v>8463</v>
      </c>
      <c r="F1537" s="16" t="s">
        <v>292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62000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7"/>
      <c r="V1537" s="17"/>
      <c r="W1537" s="17"/>
      <c r="X1537" s="17"/>
      <c r="Y1537" s="17"/>
      <c r="Z1537" s="17"/>
    </row>
    <row r="1538" spans="1:26">
      <c r="A1538" s="16" t="s">
        <v>8239</v>
      </c>
      <c r="B1538" s="16" t="s">
        <v>8239</v>
      </c>
      <c r="C1538" s="16" t="s">
        <v>8410</v>
      </c>
      <c r="D1538" s="16" t="s">
        <v>21</v>
      </c>
      <c r="E1538" s="36" t="s">
        <v>8463</v>
      </c>
      <c r="F1538" s="16" t="s">
        <v>296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68000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W1538" s="16"/>
      <c r="Y1538" s="16"/>
      <c r="Z1538" s="17"/>
    </row>
    <row r="1539" spans="1:26">
      <c r="A1539" s="16" t="s">
        <v>8240</v>
      </c>
      <c r="B1539" s="16" t="s">
        <v>8240</v>
      </c>
      <c r="C1539" s="16" t="s">
        <v>8411</v>
      </c>
      <c r="D1539" s="16" t="s">
        <v>21</v>
      </c>
      <c r="E1539" s="36" t="s">
        <v>8463</v>
      </c>
      <c r="F1539" s="16" t="s">
        <v>300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75000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6"/>
      <c r="W1539" s="16"/>
      <c r="Y1539" s="16"/>
      <c r="Z1539" s="17"/>
    </row>
    <row r="1540" spans="1:26">
      <c r="A1540" s="16" t="s">
        <v>8241</v>
      </c>
      <c r="B1540" s="16" t="s">
        <v>8241</v>
      </c>
      <c r="C1540" s="16" t="s">
        <v>8412</v>
      </c>
      <c r="D1540" s="16" t="s">
        <v>21</v>
      </c>
      <c r="E1540" s="36" t="s">
        <v>8463</v>
      </c>
      <c r="F1540" s="16" t="s">
        <v>302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82000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8242</v>
      </c>
      <c r="B1541" s="16" t="s">
        <v>8242</v>
      </c>
      <c r="C1541" s="16" t="s">
        <v>8413</v>
      </c>
      <c r="D1541" s="16" t="s">
        <v>21</v>
      </c>
      <c r="E1541" s="36" t="s">
        <v>8463</v>
      </c>
      <c r="F1541" s="16" t="s">
        <v>304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91000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7"/>
      <c r="V1541" s="17"/>
      <c r="W1541" s="17"/>
      <c r="X1541" s="17"/>
      <c r="Y1541" s="17"/>
      <c r="Z1541" s="17"/>
    </row>
    <row r="1542" spans="1:26">
      <c r="A1542" s="16" t="s">
        <v>8243</v>
      </c>
      <c r="B1542" s="16" t="s">
        <v>8243</v>
      </c>
      <c r="C1542" s="16" t="s">
        <v>8414</v>
      </c>
      <c r="D1542" s="16" t="s">
        <v>21</v>
      </c>
      <c r="E1542" s="36" t="s">
        <v>8463</v>
      </c>
      <c r="F1542" s="16" t="s">
        <v>306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100000</v>
      </c>
      <c r="L1542" s="19" t="s">
        <v>8479</v>
      </c>
      <c r="M1542" s="16" t="s">
        <v>4416</v>
      </c>
      <c r="N1542" s="16" t="s">
        <v>8465</v>
      </c>
      <c r="O1542" s="16" t="s">
        <v>26</v>
      </c>
      <c r="P1542" t="s">
        <v>10600</v>
      </c>
      <c r="Q1542" s="16" t="s">
        <v>4416</v>
      </c>
      <c r="R1542" s="16" t="s">
        <v>8465</v>
      </c>
      <c r="S1542" s="16" t="s">
        <v>8466</v>
      </c>
      <c r="T1542" s="16" t="s">
        <v>8467</v>
      </c>
      <c r="U1542" s="16"/>
      <c r="V1542" s="17"/>
      <c r="W1542" s="16"/>
      <c r="X1542" s="17"/>
      <c r="Y1542" s="16"/>
      <c r="Z1542" s="17"/>
    </row>
    <row r="1543" spans="1:26">
      <c r="A1543" s="16" t="s">
        <v>8244</v>
      </c>
      <c r="B1543" s="16" t="s">
        <v>8244</v>
      </c>
      <c r="C1543" s="16" t="s">
        <v>8415</v>
      </c>
      <c r="D1543" s="16" t="s">
        <v>21</v>
      </c>
      <c r="E1543" s="36" t="s">
        <v>8463</v>
      </c>
      <c r="F1543" s="16" t="s">
        <v>310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110000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8245</v>
      </c>
      <c r="B1544" s="16" t="s">
        <v>8245</v>
      </c>
      <c r="C1544" s="16" t="s">
        <v>8416</v>
      </c>
      <c r="D1544" s="16" t="s">
        <v>21</v>
      </c>
      <c r="E1544" s="36" t="s">
        <v>8463</v>
      </c>
      <c r="F1544" s="16" t="s">
        <v>314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120000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8246</v>
      </c>
      <c r="B1545" s="16" t="s">
        <v>8246</v>
      </c>
      <c r="C1545" s="16" t="s">
        <v>8417</v>
      </c>
      <c r="D1545" s="16" t="s">
        <v>21</v>
      </c>
      <c r="E1545" s="36" t="s">
        <v>8463</v>
      </c>
      <c r="F1545" s="16" t="s">
        <v>318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130000</v>
      </c>
      <c r="L1545" s="19" t="s">
        <v>8479</v>
      </c>
      <c r="M1545" s="16" t="s">
        <v>4416</v>
      </c>
      <c r="N1545" s="16"/>
      <c r="O1545" s="16"/>
      <c r="P1545" s="16"/>
      <c r="Q1545" s="16"/>
      <c r="R1545" s="16"/>
      <c r="S1545" s="16"/>
      <c r="T1545" s="16"/>
      <c r="U1545" s="17"/>
      <c r="V1545" s="17"/>
      <c r="W1545" s="17"/>
      <c r="X1545" s="17"/>
      <c r="Y1545" s="17"/>
      <c r="Z1545" s="17"/>
    </row>
    <row r="1546" spans="1:26">
      <c r="A1546" s="16" t="s">
        <v>8247</v>
      </c>
      <c r="B1546" s="16" t="s">
        <v>8247</v>
      </c>
      <c r="C1546" s="16" t="s">
        <v>8418</v>
      </c>
      <c r="D1546" s="16" t="s">
        <v>21</v>
      </c>
      <c r="E1546" s="36" t="s">
        <v>8463</v>
      </c>
      <c r="F1546" s="16" t="s">
        <v>322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150000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6"/>
      <c r="V1546" s="17"/>
      <c r="W1546" s="16"/>
      <c r="X1546" s="17"/>
      <c r="Y1546" s="16"/>
      <c r="Z1546" s="17"/>
    </row>
    <row r="1547" spans="1:26">
      <c r="A1547" s="16" t="s">
        <v>8248</v>
      </c>
      <c r="B1547" s="16" t="s">
        <v>8248</v>
      </c>
      <c r="C1547" s="16" t="s">
        <v>8419</v>
      </c>
      <c r="D1547" s="16" t="s">
        <v>21</v>
      </c>
      <c r="E1547" s="36" t="s">
        <v>8463</v>
      </c>
      <c r="F1547" s="16" t="s">
        <v>324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160000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8249</v>
      </c>
      <c r="B1548" s="16" t="s">
        <v>8249</v>
      </c>
      <c r="C1548" s="16" t="s">
        <v>8420</v>
      </c>
      <c r="D1548" s="16" t="s">
        <v>21</v>
      </c>
      <c r="E1548" s="36" t="s">
        <v>8463</v>
      </c>
      <c r="F1548" s="16" t="s">
        <v>328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180000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8250</v>
      </c>
      <c r="B1549" s="16" t="s">
        <v>8250</v>
      </c>
      <c r="C1549" s="16" t="s">
        <v>8421</v>
      </c>
      <c r="D1549" s="16" t="s">
        <v>21</v>
      </c>
      <c r="E1549" s="36" t="s">
        <v>8463</v>
      </c>
      <c r="F1549" s="16" t="s">
        <v>332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200000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7"/>
      <c r="V1549" s="17"/>
      <c r="W1549" s="17"/>
      <c r="X1549" s="17"/>
      <c r="Y1549" s="17"/>
      <c r="Z1549" s="17"/>
    </row>
    <row r="1550" spans="1:26">
      <c r="A1550" s="16" t="s">
        <v>8251</v>
      </c>
      <c r="B1550" s="16" t="s">
        <v>8251</v>
      </c>
      <c r="C1550" s="16" t="s">
        <v>8422</v>
      </c>
      <c r="D1550" s="16" t="s">
        <v>21</v>
      </c>
      <c r="E1550" s="36" t="s">
        <v>8463</v>
      </c>
      <c r="F1550" s="16" t="s">
        <v>334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220000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6"/>
      <c r="V1550" s="17"/>
      <c r="W1550" s="16"/>
      <c r="X1550" s="16"/>
      <c r="Y1550" s="16"/>
      <c r="Z1550" s="17"/>
    </row>
    <row r="1551" spans="1:26">
      <c r="A1551" s="16" t="s">
        <v>8252</v>
      </c>
      <c r="B1551" s="16" t="s">
        <v>8252</v>
      </c>
      <c r="C1551" s="16" t="s">
        <v>8423</v>
      </c>
      <c r="D1551" s="16" t="s">
        <v>21</v>
      </c>
      <c r="E1551" s="36" t="s">
        <v>8463</v>
      </c>
      <c r="F1551" s="16" t="s">
        <v>336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240000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8253</v>
      </c>
      <c r="B1552" s="16" t="s">
        <v>8253</v>
      </c>
      <c r="C1552" s="16" t="s">
        <v>8424</v>
      </c>
      <c r="D1552" s="16" t="s">
        <v>21</v>
      </c>
      <c r="E1552" s="36" t="s">
        <v>8463</v>
      </c>
      <c r="F1552" s="16" t="s">
        <v>338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270000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8254</v>
      </c>
      <c r="B1553" s="16" t="s">
        <v>8254</v>
      </c>
      <c r="C1553" s="16" t="s">
        <v>8425</v>
      </c>
      <c r="D1553" s="16" t="s">
        <v>21</v>
      </c>
      <c r="E1553" s="36" t="s">
        <v>8463</v>
      </c>
      <c r="F1553" s="16" t="s">
        <v>340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300000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Y1553" s="16"/>
      <c r="Z1553" s="17"/>
    </row>
    <row r="1554" spans="1:26">
      <c r="A1554" s="16" t="s">
        <v>8255</v>
      </c>
      <c r="B1554" s="16" t="s">
        <v>8255</v>
      </c>
      <c r="C1554" s="16" t="s">
        <v>8426</v>
      </c>
      <c r="D1554" s="16" t="s">
        <v>21</v>
      </c>
      <c r="E1554" s="36" t="s">
        <v>8463</v>
      </c>
      <c r="F1554" s="16" t="s">
        <v>342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330000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6"/>
      <c r="W1554" s="16"/>
      <c r="X1554" s="16"/>
      <c r="Y1554" s="16"/>
      <c r="Z1554" s="17"/>
    </row>
    <row r="1555" spans="1:26">
      <c r="A1555" s="16" t="s">
        <v>8256</v>
      </c>
      <c r="B1555" s="16" t="s">
        <v>8256</v>
      </c>
      <c r="C1555" s="16" t="s">
        <v>8427</v>
      </c>
      <c r="D1555" s="16" t="s">
        <v>21</v>
      </c>
      <c r="E1555" s="36" t="s">
        <v>8463</v>
      </c>
      <c r="F1555" s="16" t="s">
        <v>346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360000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8257</v>
      </c>
      <c r="B1556" s="16" t="s">
        <v>8257</v>
      </c>
      <c r="C1556" s="16" t="s">
        <v>8428</v>
      </c>
      <c r="D1556" s="16" t="s">
        <v>21</v>
      </c>
      <c r="E1556" s="36" t="s">
        <v>8463</v>
      </c>
      <c r="F1556" s="16" t="s">
        <v>350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390000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W1556" s="16"/>
      <c r="Y1556" s="16"/>
      <c r="Z1556" s="17"/>
    </row>
    <row r="1557" spans="1:26">
      <c r="A1557" s="16" t="s">
        <v>8258</v>
      </c>
      <c r="B1557" s="16" t="s">
        <v>8258</v>
      </c>
      <c r="C1557" s="16" t="s">
        <v>8429</v>
      </c>
      <c r="D1557" s="16" t="s">
        <v>21</v>
      </c>
      <c r="E1557" s="36" t="s">
        <v>8463</v>
      </c>
      <c r="F1557" s="16" t="s">
        <v>352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430000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7"/>
      <c r="V1557" s="17"/>
      <c r="W1557" s="17"/>
      <c r="X1557" s="17"/>
      <c r="Y1557" s="17"/>
      <c r="Z1557" s="17"/>
    </row>
    <row r="1558" spans="1:26">
      <c r="A1558" s="16" t="s">
        <v>8259</v>
      </c>
      <c r="B1558" s="16" t="s">
        <v>8259</v>
      </c>
      <c r="C1558" s="16" t="s">
        <v>8430</v>
      </c>
      <c r="D1558" s="16" t="s">
        <v>21</v>
      </c>
      <c r="E1558" s="36" t="s">
        <v>8463</v>
      </c>
      <c r="F1558" s="16" t="s">
        <v>354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470000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8260</v>
      </c>
      <c r="B1559" s="16" t="s">
        <v>8260</v>
      </c>
      <c r="C1559" s="16" t="s">
        <v>8431</v>
      </c>
      <c r="D1559" s="16" t="s">
        <v>21</v>
      </c>
      <c r="E1559" s="36" t="s">
        <v>8463</v>
      </c>
      <c r="F1559" s="16" t="s">
        <v>356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510000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7"/>
      <c r="V1559" s="17"/>
      <c r="W1559" s="17"/>
      <c r="X1559" s="17"/>
      <c r="Y1559" s="17"/>
      <c r="Z1559" s="17"/>
    </row>
    <row r="1560" spans="1:26">
      <c r="A1560" s="16" t="s">
        <v>8261</v>
      </c>
      <c r="B1560" s="16" t="s">
        <v>8261</v>
      </c>
      <c r="C1560" s="16" t="s">
        <v>8432</v>
      </c>
      <c r="D1560" s="16" t="s">
        <v>21</v>
      </c>
      <c r="E1560" s="36" t="s">
        <v>8463</v>
      </c>
      <c r="F1560" s="16" t="s">
        <v>358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560000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8262</v>
      </c>
      <c r="B1561" s="16" t="s">
        <v>8262</v>
      </c>
      <c r="C1561" s="16" t="s">
        <v>8433</v>
      </c>
      <c r="D1561" s="16" t="s">
        <v>21</v>
      </c>
      <c r="E1561" s="36" t="s">
        <v>8463</v>
      </c>
      <c r="F1561" s="16" t="s">
        <v>360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620000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8263</v>
      </c>
      <c r="B1562" s="16" t="s">
        <v>8263</v>
      </c>
      <c r="C1562" s="16" t="s">
        <v>8434</v>
      </c>
      <c r="D1562" s="16" t="s">
        <v>21</v>
      </c>
      <c r="E1562" s="36" t="s">
        <v>8463</v>
      </c>
      <c r="F1562" s="16" t="s">
        <v>362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680000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8264</v>
      </c>
      <c r="B1563" s="16" t="s">
        <v>8264</v>
      </c>
      <c r="C1563" s="16" t="s">
        <v>8435</v>
      </c>
      <c r="D1563" s="16" t="s">
        <v>21</v>
      </c>
      <c r="E1563" s="36" t="s">
        <v>8463</v>
      </c>
      <c r="F1563" s="16" t="s">
        <v>364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750000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8265</v>
      </c>
      <c r="B1564" s="16" t="s">
        <v>8265</v>
      </c>
      <c r="C1564" s="16" t="s">
        <v>8436</v>
      </c>
      <c r="D1564" s="16" t="s">
        <v>21</v>
      </c>
      <c r="E1564" s="36" t="s">
        <v>8463</v>
      </c>
      <c r="F1564" s="16" t="s">
        <v>366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820000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8266</v>
      </c>
      <c r="B1565" s="16" t="s">
        <v>8266</v>
      </c>
      <c r="C1565" s="16" t="s">
        <v>8437</v>
      </c>
      <c r="D1565" s="16" t="s">
        <v>21</v>
      </c>
      <c r="E1565" s="36" t="s">
        <v>8463</v>
      </c>
      <c r="F1565" s="16" t="s">
        <v>368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910000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8267</v>
      </c>
      <c r="B1566" s="16" t="s">
        <v>8267</v>
      </c>
      <c r="C1566" s="16" t="s">
        <v>8438</v>
      </c>
      <c r="D1566" s="16" t="s">
        <v>21</v>
      </c>
      <c r="E1566" s="36" t="s">
        <v>8463</v>
      </c>
      <c r="F1566" s="16" t="s">
        <v>370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1000000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8268</v>
      </c>
      <c r="B1567" s="16" t="s">
        <v>8268</v>
      </c>
      <c r="C1567" s="16" t="s">
        <v>8439</v>
      </c>
      <c r="D1567" s="16" t="s">
        <v>21</v>
      </c>
      <c r="E1567" s="36" t="s">
        <v>8463</v>
      </c>
      <c r="F1567" s="16" t="s">
        <v>372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1100000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8269</v>
      </c>
      <c r="B1568" s="16" t="s">
        <v>8269</v>
      </c>
      <c r="C1568" s="16" t="s">
        <v>8440</v>
      </c>
      <c r="D1568" s="16" t="s">
        <v>21</v>
      </c>
      <c r="E1568" s="36" t="s">
        <v>8463</v>
      </c>
      <c r="F1568" s="16" t="s">
        <v>374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1200000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8270</v>
      </c>
      <c r="B1569" s="16" t="s">
        <v>8270</v>
      </c>
      <c r="C1569" s="16" t="s">
        <v>8441</v>
      </c>
      <c r="D1569" s="16" t="s">
        <v>21</v>
      </c>
      <c r="E1569" s="36" t="s">
        <v>8463</v>
      </c>
      <c r="F1569" s="16" t="s">
        <v>376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1300000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8271</v>
      </c>
      <c r="B1570" s="16" t="s">
        <v>8271</v>
      </c>
      <c r="C1570" s="16" t="s">
        <v>8442</v>
      </c>
      <c r="D1570" s="16" t="s">
        <v>21</v>
      </c>
      <c r="E1570" s="36" t="s">
        <v>8463</v>
      </c>
      <c r="F1570" s="16" t="s">
        <v>378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1500000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8272</v>
      </c>
      <c r="B1571" s="16" t="s">
        <v>8272</v>
      </c>
      <c r="C1571" s="16" t="s">
        <v>8443</v>
      </c>
      <c r="D1571" s="16" t="s">
        <v>21</v>
      </c>
      <c r="E1571" s="36" t="s">
        <v>8463</v>
      </c>
      <c r="F1571" s="16" t="s">
        <v>380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1600000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8273</v>
      </c>
      <c r="B1572" s="16" t="s">
        <v>8273</v>
      </c>
      <c r="C1572" s="16" t="s">
        <v>8444</v>
      </c>
      <c r="D1572" s="16" t="s">
        <v>21</v>
      </c>
      <c r="E1572" s="36" t="s">
        <v>8463</v>
      </c>
      <c r="F1572" s="16" t="s">
        <v>382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1800000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8274</v>
      </c>
      <c r="B1573" s="16" t="s">
        <v>8274</v>
      </c>
      <c r="C1573" s="16" t="s">
        <v>8445</v>
      </c>
      <c r="D1573" s="16" t="s">
        <v>21</v>
      </c>
      <c r="E1573" s="36" t="s">
        <v>8463</v>
      </c>
      <c r="F1573" s="16" t="s">
        <v>384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2000000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8275</v>
      </c>
      <c r="B1574" s="16" t="s">
        <v>8275</v>
      </c>
      <c r="C1574" s="16" t="s">
        <v>8446</v>
      </c>
      <c r="D1574" s="16" t="s">
        <v>21</v>
      </c>
      <c r="E1574" s="36" t="s">
        <v>8463</v>
      </c>
      <c r="F1574" s="16" t="s">
        <v>386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2200000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8276</v>
      </c>
      <c r="B1575" s="16" t="s">
        <v>8276</v>
      </c>
      <c r="C1575" s="16" t="s">
        <v>8447</v>
      </c>
      <c r="D1575" s="16" t="s">
        <v>21</v>
      </c>
      <c r="E1575" s="36" t="s">
        <v>8463</v>
      </c>
      <c r="F1575" s="16" t="s">
        <v>388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2400000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8277</v>
      </c>
      <c r="B1576" s="16" t="s">
        <v>8277</v>
      </c>
      <c r="C1576" s="16" t="s">
        <v>8448</v>
      </c>
      <c r="D1576" s="16" t="s">
        <v>21</v>
      </c>
      <c r="E1576" s="36" t="s">
        <v>8463</v>
      </c>
      <c r="F1576" s="16" t="s">
        <v>390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2700000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8278</v>
      </c>
      <c r="B1577" s="16" t="s">
        <v>8278</v>
      </c>
      <c r="C1577" s="16" t="s">
        <v>8449</v>
      </c>
      <c r="D1577" s="16" t="s">
        <v>21</v>
      </c>
      <c r="E1577" s="36" t="s">
        <v>8463</v>
      </c>
      <c r="F1577" s="16" t="s">
        <v>392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3000000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8279</v>
      </c>
      <c r="B1578" s="16" t="s">
        <v>8279</v>
      </c>
      <c r="C1578" s="16" t="s">
        <v>8450</v>
      </c>
      <c r="D1578" s="16" t="s">
        <v>21</v>
      </c>
      <c r="E1578" s="36" t="s">
        <v>8463</v>
      </c>
      <c r="F1578" s="16" t="s">
        <v>394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3300000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8280</v>
      </c>
      <c r="B1579" s="16" t="s">
        <v>8280</v>
      </c>
      <c r="C1579" s="16" t="s">
        <v>8451</v>
      </c>
      <c r="D1579" s="16" t="s">
        <v>21</v>
      </c>
      <c r="E1579" s="36" t="s">
        <v>8463</v>
      </c>
      <c r="F1579" s="16" t="s">
        <v>396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3600000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8281</v>
      </c>
      <c r="B1580" s="16" t="s">
        <v>8281</v>
      </c>
      <c r="C1580" s="16" t="s">
        <v>8452</v>
      </c>
      <c r="D1580" s="16" t="s">
        <v>21</v>
      </c>
      <c r="E1580" s="36" t="s">
        <v>8463</v>
      </c>
      <c r="F1580" s="16" t="s">
        <v>398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3900000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8282</v>
      </c>
      <c r="B1581" s="16" t="s">
        <v>8282</v>
      </c>
      <c r="C1581" s="16" t="s">
        <v>8453</v>
      </c>
      <c r="D1581" s="16" t="s">
        <v>21</v>
      </c>
      <c r="E1581" s="36" t="s">
        <v>8463</v>
      </c>
      <c r="F1581" s="16" t="s">
        <v>400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4300000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8283</v>
      </c>
      <c r="B1582" s="16" t="s">
        <v>8283</v>
      </c>
      <c r="C1582" s="16" t="s">
        <v>8454</v>
      </c>
      <c r="D1582" s="16" t="s">
        <v>21</v>
      </c>
      <c r="E1582" s="36" t="s">
        <v>8463</v>
      </c>
      <c r="F1582" s="16" t="s">
        <v>402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4700000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8284</v>
      </c>
      <c r="B1583" s="16" t="s">
        <v>8284</v>
      </c>
      <c r="C1583" s="16" t="s">
        <v>8455</v>
      </c>
      <c r="D1583" s="16" t="s">
        <v>21</v>
      </c>
      <c r="E1583" s="36" t="s">
        <v>8463</v>
      </c>
      <c r="F1583" s="16" t="s">
        <v>404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5100000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8285</v>
      </c>
      <c r="B1584" s="16" t="s">
        <v>8285</v>
      </c>
      <c r="C1584" s="16" t="s">
        <v>8456</v>
      </c>
      <c r="D1584" s="16" t="s">
        <v>21</v>
      </c>
      <c r="E1584" s="36" t="s">
        <v>8463</v>
      </c>
      <c r="F1584" s="16" t="s">
        <v>406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5600000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8286</v>
      </c>
      <c r="B1585" s="16" t="s">
        <v>8286</v>
      </c>
      <c r="C1585" s="16" t="s">
        <v>8457</v>
      </c>
      <c r="D1585" s="16" t="s">
        <v>21</v>
      </c>
      <c r="E1585" s="36" t="s">
        <v>8463</v>
      </c>
      <c r="F1585" s="16" t="s">
        <v>408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6200000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8287</v>
      </c>
      <c r="B1586" s="16" t="s">
        <v>8287</v>
      </c>
      <c r="C1586" s="16" t="s">
        <v>8458</v>
      </c>
      <c r="D1586" s="16" t="s">
        <v>21</v>
      </c>
      <c r="E1586" s="36" t="s">
        <v>8463</v>
      </c>
      <c r="F1586" s="16" t="s">
        <v>410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6800000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8288</v>
      </c>
      <c r="B1587" s="16" t="s">
        <v>8288</v>
      </c>
      <c r="C1587" s="16" t="s">
        <v>8459</v>
      </c>
      <c r="D1587" s="16" t="s">
        <v>21</v>
      </c>
      <c r="E1587" s="36" t="s">
        <v>8463</v>
      </c>
      <c r="F1587" s="16" t="s">
        <v>412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7500000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7" t="s">
        <v>8289</v>
      </c>
      <c r="B1588" s="17" t="s">
        <v>8289</v>
      </c>
      <c r="C1588" s="17" t="s">
        <v>8460</v>
      </c>
      <c r="D1588" s="17" t="s">
        <v>21</v>
      </c>
      <c r="E1588" s="37" t="s">
        <v>8463</v>
      </c>
      <c r="F1588" s="17" t="s">
        <v>414</v>
      </c>
      <c r="G1588" s="17" t="str">
        <f>Config!$B$3</f>
        <v>SCH/R_IEC.SchLib</v>
      </c>
      <c r="H1588" s="17" t="s">
        <v>420</v>
      </c>
      <c r="I1588" s="18" t="s">
        <v>7508</v>
      </c>
      <c r="J1588" s="16" t="s">
        <v>8292</v>
      </c>
      <c r="K1588" s="21">
        <v>8200000</v>
      </c>
      <c r="L1588" s="19" t="s">
        <v>8479</v>
      </c>
      <c r="M1588" s="16" t="s">
        <v>4416</v>
      </c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</row>
    <row r="1589" spans="1:26">
      <c r="A1589" s="17" t="s">
        <v>8290</v>
      </c>
      <c r="B1589" s="17" t="s">
        <v>8290</v>
      </c>
      <c r="C1589" s="17" t="s">
        <v>8461</v>
      </c>
      <c r="D1589" s="17" t="s">
        <v>21</v>
      </c>
      <c r="E1589" s="37" t="s">
        <v>8463</v>
      </c>
      <c r="F1589" s="17" t="s">
        <v>416</v>
      </c>
      <c r="G1589" s="17" t="str">
        <f>Config!$B$3</f>
        <v>SCH/R_IEC.SchLib</v>
      </c>
      <c r="H1589" s="17" t="s">
        <v>420</v>
      </c>
      <c r="I1589" s="18" t="s">
        <v>7508</v>
      </c>
      <c r="J1589" s="16" t="s">
        <v>8292</v>
      </c>
      <c r="K1589" s="21">
        <v>9100000</v>
      </c>
      <c r="L1589" s="19" t="s">
        <v>8479</v>
      </c>
      <c r="M1589" s="16" t="s">
        <v>4416</v>
      </c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</row>
    <row r="1590" spans="1:26">
      <c r="A1590" s="17" t="s">
        <v>8291</v>
      </c>
      <c r="B1590" s="17" t="s">
        <v>8291</v>
      </c>
      <c r="C1590" s="17" t="s">
        <v>8462</v>
      </c>
      <c r="D1590" s="17" t="s">
        <v>21</v>
      </c>
      <c r="E1590" s="37" t="s">
        <v>8463</v>
      </c>
      <c r="F1590" s="17" t="s">
        <v>418</v>
      </c>
      <c r="G1590" s="17" t="str">
        <f>Config!$B$3</f>
        <v>SCH/R_IEC.SchLib</v>
      </c>
      <c r="H1590" s="17" t="s">
        <v>420</v>
      </c>
      <c r="I1590" s="18" t="s">
        <v>7508</v>
      </c>
      <c r="J1590" s="16" t="s">
        <v>8292</v>
      </c>
      <c r="K1590" s="21">
        <v>10000000</v>
      </c>
      <c r="L1590" s="19" t="s">
        <v>8479</v>
      </c>
      <c r="M1590" s="16" t="s">
        <v>4416</v>
      </c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</row>
    <row r="1591" spans="1:26">
      <c r="A1591" s="16" t="s">
        <v>8544</v>
      </c>
      <c r="B1591" s="16" t="s">
        <v>8122</v>
      </c>
      <c r="C1591" s="16" t="s">
        <v>8714</v>
      </c>
      <c r="D1591" s="16" t="s">
        <v>21</v>
      </c>
      <c r="E1591" s="36" t="s">
        <v>8463</v>
      </c>
      <c r="F1591" s="16" t="s">
        <v>23</v>
      </c>
      <c r="G1591" s="17" t="str">
        <f>Config!$B$3</f>
        <v>SCH/R_IEC.SchLib</v>
      </c>
      <c r="H1591" s="16" t="s">
        <v>420</v>
      </c>
      <c r="I1591" s="18" t="s">
        <v>7508</v>
      </c>
      <c r="J1591" s="16" t="s">
        <v>8884</v>
      </c>
      <c r="K1591" s="19">
        <v>0</v>
      </c>
      <c r="L1591" s="19" t="s">
        <v>8479</v>
      </c>
      <c r="M1591" s="16" t="s">
        <v>4416</v>
      </c>
      <c r="N1591" s="16"/>
      <c r="O1591" s="16"/>
      <c r="P1591" s="16"/>
      <c r="Q1591" s="16"/>
      <c r="R1591" s="16"/>
      <c r="S1591" s="16"/>
      <c r="T1591" s="16"/>
      <c r="U1591" s="17"/>
      <c r="V1591" s="17"/>
      <c r="W1591" s="16"/>
      <c r="X1591" s="17"/>
      <c r="Y1591" s="17"/>
      <c r="Z1591" s="17"/>
    </row>
    <row r="1592" spans="1:26">
      <c r="A1592" s="16" t="s">
        <v>8545</v>
      </c>
      <c r="B1592" s="16" t="s">
        <v>8123</v>
      </c>
      <c r="C1592" s="16" t="s">
        <v>8715</v>
      </c>
      <c r="D1592" s="16" t="s">
        <v>21</v>
      </c>
      <c r="E1592" s="36" t="s">
        <v>8463</v>
      </c>
      <c r="F1592" s="16" t="s">
        <v>30</v>
      </c>
      <c r="G1592" s="17" t="str">
        <f>Config!$B$3</f>
        <v>SCH/R_IEC.SchLib</v>
      </c>
      <c r="H1592" s="16" t="s">
        <v>420</v>
      </c>
      <c r="I1592" s="18" t="s">
        <v>7508</v>
      </c>
      <c r="J1592" s="16" t="s">
        <v>8884</v>
      </c>
      <c r="K1592" s="19">
        <v>1</v>
      </c>
      <c r="L1592" s="19" t="s">
        <v>8479</v>
      </c>
      <c r="M1592" s="16" t="s">
        <v>4416</v>
      </c>
      <c r="N1592" s="16"/>
      <c r="O1592" s="16"/>
      <c r="P1592" s="16"/>
      <c r="Q1592" s="16"/>
      <c r="R1592" s="16"/>
      <c r="S1592" s="16"/>
      <c r="T1592" s="16"/>
      <c r="U1592" s="17"/>
      <c r="V1592" s="17"/>
      <c r="W1592" s="17"/>
      <c r="X1592" s="17"/>
      <c r="Y1592" s="17"/>
      <c r="Z1592" s="17"/>
    </row>
    <row r="1593" spans="1:26">
      <c r="A1593" s="16" t="s">
        <v>8546</v>
      </c>
      <c r="B1593" s="16" t="s">
        <v>8124</v>
      </c>
      <c r="C1593" s="16" t="s">
        <v>8716</v>
      </c>
      <c r="D1593" s="16" t="s">
        <v>21</v>
      </c>
      <c r="E1593" s="36" t="s">
        <v>8463</v>
      </c>
      <c r="F1593" s="16" t="s">
        <v>1044</v>
      </c>
      <c r="G1593" s="17" t="str">
        <f>Config!$B$3</f>
        <v>SCH/R_IEC.SchLib</v>
      </c>
      <c r="H1593" s="16" t="s">
        <v>420</v>
      </c>
      <c r="I1593" s="18" t="s">
        <v>7508</v>
      </c>
      <c r="J1593" s="16" t="s">
        <v>8884</v>
      </c>
      <c r="K1593" s="19">
        <v>1.1000000000000001</v>
      </c>
      <c r="L1593" s="19" t="s">
        <v>8479</v>
      </c>
      <c r="M1593" s="16" t="s">
        <v>4416</v>
      </c>
      <c r="N1593" s="16"/>
      <c r="O1593" s="16"/>
      <c r="P1593" s="16"/>
      <c r="Q1593" s="16"/>
      <c r="R1593" s="16"/>
      <c r="S1593" s="16"/>
      <c r="T1593" s="16"/>
      <c r="U1593" s="17"/>
      <c r="V1593" s="17"/>
      <c r="W1593" s="17"/>
      <c r="X1593" s="17"/>
      <c r="Y1593" s="17"/>
      <c r="Z1593" s="17"/>
    </row>
    <row r="1594" spans="1:26">
      <c r="A1594" s="16" t="s">
        <v>8547</v>
      </c>
      <c r="B1594" s="16" t="s">
        <v>8125</v>
      </c>
      <c r="C1594" s="16" t="s">
        <v>8717</v>
      </c>
      <c r="D1594" s="16" t="s">
        <v>21</v>
      </c>
      <c r="E1594" s="36" t="s">
        <v>8463</v>
      </c>
      <c r="F1594" s="16" t="s">
        <v>32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1.2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7"/>
      <c r="X1594" s="17"/>
      <c r="Y1594" s="17"/>
      <c r="Z1594" s="17"/>
    </row>
    <row r="1595" spans="1:26">
      <c r="A1595" s="16" t="s">
        <v>8548</v>
      </c>
      <c r="B1595" s="16" t="s">
        <v>8126</v>
      </c>
      <c r="C1595" s="16" t="s">
        <v>8718</v>
      </c>
      <c r="D1595" s="16" t="s">
        <v>21</v>
      </c>
      <c r="E1595" s="36" t="s">
        <v>8463</v>
      </c>
      <c r="F1595" s="16" t="s">
        <v>1054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1.3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8549</v>
      </c>
      <c r="B1596" s="16" t="s">
        <v>8127</v>
      </c>
      <c r="C1596" s="16" t="s">
        <v>8719</v>
      </c>
      <c r="D1596" s="16" t="s">
        <v>21</v>
      </c>
      <c r="E1596" s="36" t="s">
        <v>8463</v>
      </c>
      <c r="F1596" s="16" t="s">
        <v>34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1.5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8550</v>
      </c>
      <c r="B1597" s="16" t="s">
        <v>8128</v>
      </c>
      <c r="C1597" s="16" t="s">
        <v>8720</v>
      </c>
      <c r="D1597" s="16" t="s">
        <v>21</v>
      </c>
      <c r="E1597" s="36" t="s">
        <v>8463</v>
      </c>
      <c r="F1597" s="16" t="s">
        <v>1064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1.6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8551</v>
      </c>
      <c r="B1598" s="16" t="s">
        <v>8129</v>
      </c>
      <c r="C1598" s="16" t="s">
        <v>8721</v>
      </c>
      <c r="D1598" s="16" t="s">
        <v>21</v>
      </c>
      <c r="E1598" s="36" t="s">
        <v>8463</v>
      </c>
      <c r="F1598" s="16" t="s">
        <v>36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1.8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8552</v>
      </c>
      <c r="B1599" s="16" t="s">
        <v>8130</v>
      </c>
      <c r="C1599" s="16" t="s">
        <v>8722</v>
      </c>
      <c r="D1599" s="16" t="s">
        <v>21</v>
      </c>
      <c r="E1599" s="36" t="s">
        <v>8463</v>
      </c>
      <c r="F1599" s="16" t="s">
        <v>1072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2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8553</v>
      </c>
      <c r="B1600" s="16" t="s">
        <v>8131</v>
      </c>
      <c r="C1600" s="16" t="s">
        <v>8723</v>
      </c>
      <c r="D1600" s="16" t="s">
        <v>21</v>
      </c>
      <c r="E1600" s="36" t="s">
        <v>8463</v>
      </c>
      <c r="F1600" s="16" t="s">
        <v>38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2.2000000000000002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8554</v>
      </c>
      <c r="B1601" s="16" t="s">
        <v>8132</v>
      </c>
      <c r="C1601" s="16" t="s">
        <v>8724</v>
      </c>
      <c r="D1601" s="16" t="s">
        <v>21</v>
      </c>
      <c r="E1601" s="36" t="s">
        <v>8463</v>
      </c>
      <c r="F1601" s="16" t="s">
        <v>1082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2.4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8555</v>
      </c>
      <c r="B1602" s="16" t="s">
        <v>8133</v>
      </c>
      <c r="C1602" s="16" t="s">
        <v>8725</v>
      </c>
      <c r="D1602" s="16" t="s">
        <v>21</v>
      </c>
      <c r="E1602" s="36" t="s">
        <v>8463</v>
      </c>
      <c r="F1602" s="16" t="s">
        <v>40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2.7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8556</v>
      </c>
      <c r="B1603" s="16" t="s">
        <v>8134</v>
      </c>
      <c r="C1603" s="16" t="s">
        <v>8726</v>
      </c>
      <c r="D1603" s="16" t="s">
        <v>21</v>
      </c>
      <c r="E1603" s="36" t="s">
        <v>8463</v>
      </c>
      <c r="F1603" s="16" t="s">
        <v>1090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3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8557</v>
      </c>
      <c r="B1604" s="16" t="s">
        <v>8135</v>
      </c>
      <c r="C1604" s="16" t="s">
        <v>8727</v>
      </c>
      <c r="D1604" s="16" t="s">
        <v>21</v>
      </c>
      <c r="E1604" s="36" t="s">
        <v>8463</v>
      </c>
      <c r="F1604" s="16" t="s">
        <v>42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3.3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8558</v>
      </c>
      <c r="B1605" s="16" t="s">
        <v>8136</v>
      </c>
      <c r="C1605" s="16" t="s">
        <v>8728</v>
      </c>
      <c r="D1605" s="16" t="s">
        <v>21</v>
      </c>
      <c r="E1605" s="36" t="s">
        <v>8463</v>
      </c>
      <c r="F1605" s="16" t="s">
        <v>1100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3.6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8559</v>
      </c>
      <c r="B1606" s="16" t="s">
        <v>8137</v>
      </c>
      <c r="C1606" s="16" t="s">
        <v>8729</v>
      </c>
      <c r="D1606" s="16" t="s">
        <v>21</v>
      </c>
      <c r="E1606" s="36" t="s">
        <v>8463</v>
      </c>
      <c r="F1606" s="16" t="s">
        <v>44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3.9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8560</v>
      </c>
      <c r="B1607" s="16" t="s">
        <v>8138</v>
      </c>
      <c r="C1607" s="16" t="s">
        <v>8730</v>
      </c>
      <c r="D1607" s="16" t="s">
        <v>21</v>
      </c>
      <c r="E1607" s="36" t="s">
        <v>8463</v>
      </c>
      <c r="F1607" s="16" t="s">
        <v>1108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4.3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8561</v>
      </c>
      <c r="B1608" s="16" t="s">
        <v>8139</v>
      </c>
      <c r="C1608" s="16" t="s">
        <v>8731</v>
      </c>
      <c r="D1608" s="16" t="s">
        <v>21</v>
      </c>
      <c r="E1608" s="36" t="s">
        <v>8463</v>
      </c>
      <c r="F1608" s="16" t="s">
        <v>46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4.7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8562</v>
      </c>
      <c r="B1609" s="16" t="s">
        <v>8140</v>
      </c>
      <c r="C1609" s="16" t="s">
        <v>8732</v>
      </c>
      <c r="D1609" s="16" t="s">
        <v>21</v>
      </c>
      <c r="E1609" s="36" t="s">
        <v>8463</v>
      </c>
      <c r="F1609" s="16" t="s">
        <v>1118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5.0999999999999996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8563</v>
      </c>
      <c r="B1610" s="16" t="s">
        <v>8141</v>
      </c>
      <c r="C1610" s="16" t="s">
        <v>8733</v>
      </c>
      <c r="D1610" s="16" t="s">
        <v>21</v>
      </c>
      <c r="E1610" s="36" t="s">
        <v>8463</v>
      </c>
      <c r="F1610" s="16" t="s">
        <v>48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5.6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8564</v>
      </c>
      <c r="B1611" s="16" t="s">
        <v>8142</v>
      </c>
      <c r="C1611" s="16" t="s">
        <v>8734</v>
      </c>
      <c r="D1611" s="16" t="s">
        <v>21</v>
      </c>
      <c r="E1611" s="36" t="s">
        <v>8463</v>
      </c>
      <c r="F1611" s="16" t="s">
        <v>1130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6.2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8565</v>
      </c>
      <c r="B1612" s="16" t="s">
        <v>8143</v>
      </c>
      <c r="C1612" s="16" t="s">
        <v>8735</v>
      </c>
      <c r="D1612" s="16" t="s">
        <v>21</v>
      </c>
      <c r="E1612" s="36" t="s">
        <v>8463</v>
      </c>
      <c r="F1612" s="16" t="s">
        <v>50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6.8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8566</v>
      </c>
      <c r="B1613" s="16" t="s">
        <v>8144</v>
      </c>
      <c r="C1613" s="16" t="s">
        <v>8736</v>
      </c>
      <c r="D1613" s="16" t="s">
        <v>21</v>
      </c>
      <c r="E1613" s="36" t="s">
        <v>8463</v>
      </c>
      <c r="F1613" s="16" t="s">
        <v>1140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7.5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8567</v>
      </c>
      <c r="B1614" s="16" t="s">
        <v>8145</v>
      </c>
      <c r="C1614" s="16" t="s">
        <v>8737</v>
      </c>
      <c r="D1614" s="16" t="s">
        <v>21</v>
      </c>
      <c r="E1614" s="36" t="s">
        <v>8463</v>
      </c>
      <c r="F1614" s="16" t="s">
        <v>52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8.1999999999999993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8568</v>
      </c>
      <c r="B1615" s="16" t="s">
        <v>8146</v>
      </c>
      <c r="C1615" s="16" t="s">
        <v>8738</v>
      </c>
      <c r="D1615" s="16" t="s">
        <v>21</v>
      </c>
      <c r="E1615" s="36" t="s">
        <v>8463</v>
      </c>
      <c r="F1615" s="16" t="s">
        <v>1150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9.1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8569</v>
      </c>
      <c r="B1616" s="16" t="s">
        <v>8147</v>
      </c>
      <c r="C1616" s="16" t="s">
        <v>8739</v>
      </c>
      <c r="D1616" s="16" t="s">
        <v>21</v>
      </c>
      <c r="E1616" s="36" t="s">
        <v>8463</v>
      </c>
      <c r="F1616" s="16" t="s">
        <v>54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20">
        <v>10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8570</v>
      </c>
      <c r="B1617" s="16" t="s">
        <v>8148</v>
      </c>
      <c r="C1617" s="16" t="s">
        <v>8740</v>
      </c>
      <c r="D1617" s="16" t="s">
        <v>21</v>
      </c>
      <c r="E1617" s="36" t="s">
        <v>8463</v>
      </c>
      <c r="F1617" s="16" t="s">
        <v>58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20">
        <v>11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8571</v>
      </c>
      <c r="B1618" s="16" t="s">
        <v>8149</v>
      </c>
      <c r="C1618" s="16" t="s">
        <v>8741</v>
      </c>
      <c r="D1618" s="16" t="s">
        <v>21</v>
      </c>
      <c r="E1618" s="36" t="s">
        <v>8463</v>
      </c>
      <c r="F1618" s="16" t="s">
        <v>60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20">
        <v>12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8572</v>
      </c>
      <c r="B1619" s="16" t="s">
        <v>8150</v>
      </c>
      <c r="C1619" s="16" t="s">
        <v>8742</v>
      </c>
      <c r="D1619" s="16" t="s">
        <v>21</v>
      </c>
      <c r="E1619" s="36" t="s">
        <v>8463</v>
      </c>
      <c r="F1619" s="16" t="s">
        <v>62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13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8573</v>
      </c>
      <c r="B1620" s="16" t="s">
        <v>8151</v>
      </c>
      <c r="C1620" s="16" t="s">
        <v>8743</v>
      </c>
      <c r="D1620" s="16" t="s">
        <v>21</v>
      </c>
      <c r="E1620" s="36" t="s">
        <v>8463</v>
      </c>
      <c r="F1620" s="16" t="s">
        <v>64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15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8574</v>
      </c>
      <c r="B1621" s="16" t="s">
        <v>8152</v>
      </c>
      <c r="C1621" s="16" t="s">
        <v>8744</v>
      </c>
      <c r="D1621" s="16" t="s">
        <v>21</v>
      </c>
      <c r="E1621" s="36" t="s">
        <v>8463</v>
      </c>
      <c r="F1621" s="16" t="s">
        <v>66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16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8575</v>
      </c>
      <c r="B1622" s="16" t="s">
        <v>8153</v>
      </c>
      <c r="C1622" s="16" t="s">
        <v>8745</v>
      </c>
      <c r="D1622" s="16" t="s">
        <v>21</v>
      </c>
      <c r="E1622" s="36" t="s">
        <v>8463</v>
      </c>
      <c r="F1622" s="16" t="s">
        <v>68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18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8576</v>
      </c>
      <c r="B1623" s="16" t="s">
        <v>8154</v>
      </c>
      <c r="C1623" s="16" t="s">
        <v>8746</v>
      </c>
      <c r="D1623" s="16" t="s">
        <v>21</v>
      </c>
      <c r="E1623" s="36" t="s">
        <v>8463</v>
      </c>
      <c r="F1623" s="16" t="s">
        <v>70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20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6"/>
      <c r="V1623" s="17"/>
      <c r="W1623" s="16"/>
      <c r="X1623" s="17"/>
      <c r="Y1623" s="16"/>
      <c r="Z1623" s="17"/>
    </row>
    <row r="1624" spans="1:26">
      <c r="A1624" s="16" t="s">
        <v>8577</v>
      </c>
      <c r="B1624" s="16" t="s">
        <v>8155</v>
      </c>
      <c r="C1624" s="16" t="s">
        <v>8747</v>
      </c>
      <c r="D1624" s="16" t="s">
        <v>21</v>
      </c>
      <c r="E1624" s="36" t="s">
        <v>8463</v>
      </c>
      <c r="F1624" s="16" t="s">
        <v>72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22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6"/>
      <c r="X1624" s="25"/>
      <c r="Y1624" s="17"/>
      <c r="Z1624" s="17"/>
    </row>
    <row r="1625" spans="1:26">
      <c r="A1625" s="16" t="s">
        <v>8578</v>
      </c>
      <c r="B1625" s="16" t="s">
        <v>8156</v>
      </c>
      <c r="C1625" s="16" t="s">
        <v>8748</v>
      </c>
      <c r="D1625" s="16" t="s">
        <v>21</v>
      </c>
      <c r="E1625" s="36" t="s">
        <v>8463</v>
      </c>
      <c r="F1625" s="16" t="s">
        <v>76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24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8579</v>
      </c>
      <c r="B1626" s="16" t="s">
        <v>8157</v>
      </c>
      <c r="C1626" s="16" t="s">
        <v>8749</v>
      </c>
      <c r="D1626" s="16" t="s">
        <v>21</v>
      </c>
      <c r="E1626" s="36" t="s">
        <v>8463</v>
      </c>
      <c r="F1626" s="16" t="s">
        <v>78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27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7"/>
      <c r="V1626" s="17"/>
      <c r="W1626" s="17"/>
      <c r="X1626" s="17"/>
      <c r="Y1626" s="17"/>
      <c r="Z1626" s="17"/>
    </row>
    <row r="1627" spans="1:26">
      <c r="A1627" s="16" t="s">
        <v>8580</v>
      </c>
      <c r="B1627" s="16" t="s">
        <v>8158</v>
      </c>
      <c r="C1627" s="16" t="s">
        <v>8750</v>
      </c>
      <c r="D1627" s="16" t="s">
        <v>21</v>
      </c>
      <c r="E1627" s="36" t="s">
        <v>8463</v>
      </c>
      <c r="F1627" s="16" t="s">
        <v>80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30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7"/>
      <c r="X1627" s="17"/>
      <c r="Y1627" s="17"/>
      <c r="Z1627" s="17"/>
    </row>
    <row r="1628" spans="1:26">
      <c r="A1628" s="16" t="s">
        <v>8581</v>
      </c>
      <c r="B1628" s="16" t="s">
        <v>8159</v>
      </c>
      <c r="C1628" s="16" t="s">
        <v>8751</v>
      </c>
      <c r="D1628" s="16" t="s">
        <v>21</v>
      </c>
      <c r="E1628" s="36" t="s">
        <v>8463</v>
      </c>
      <c r="F1628" s="16" t="s">
        <v>82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33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8582</v>
      </c>
      <c r="B1629" s="16" t="s">
        <v>8160</v>
      </c>
      <c r="C1629" s="16" t="s">
        <v>8752</v>
      </c>
      <c r="D1629" s="16" t="s">
        <v>21</v>
      </c>
      <c r="E1629" s="36" t="s">
        <v>8463</v>
      </c>
      <c r="F1629" s="16" t="s">
        <v>84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36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8583</v>
      </c>
      <c r="B1630" s="16" t="s">
        <v>8161</v>
      </c>
      <c r="C1630" s="16" t="s">
        <v>8753</v>
      </c>
      <c r="D1630" s="16" t="s">
        <v>21</v>
      </c>
      <c r="E1630" s="36" t="s">
        <v>8463</v>
      </c>
      <c r="F1630" s="16" t="s">
        <v>86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39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8584</v>
      </c>
      <c r="B1631" s="16" t="s">
        <v>8162</v>
      </c>
      <c r="C1631" s="16" t="s">
        <v>8754</v>
      </c>
      <c r="D1631" s="16" t="s">
        <v>21</v>
      </c>
      <c r="E1631" s="36" t="s">
        <v>8463</v>
      </c>
      <c r="F1631" s="16" t="s">
        <v>88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43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8585</v>
      </c>
      <c r="B1632" s="16" t="s">
        <v>8163</v>
      </c>
      <c r="C1632" s="16" t="s">
        <v>8755</v>
      </c>
      <c r="D1632" s="16" t="s">
        <v>21</v>
      </c>
      <c r="E1632" s="36" t="s">
        <v>8463</v>
      </c>
      <c r="F1632" s="16" t="s">
        <v>90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47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8586</v>
      </c>
      <c r="B1633" s="16" t="s">
        <v>8164</v>
      </c>
      <c r="C1633" s="16" t="s">
        <v>8756</v>
      </c>
      <c r="D1633" s="16" t="s">
        <v>21</v>
      </c>
      <c r="E1633" s="36" t="s">
        <v>8463</v>
      </c>
      <c r="F1633" s="16" t="s">
        <v>92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51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8587</v>
      </c>
      <c r="B1634" s="16" t="s">
        <v>8165</v>
      </c>
      <c r="C1634" s="16" t="s">
        <v>8757</v>
      </c>
      <c r="D1634" s="16" t="s">
        <v>21</v>
      </c>
      <c r="E1634" s="36" t="s">
        <v>8463</v>
      </c>
      <c r="F1634" s="16" t="s">
        <v>94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56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8588</v>
      </c>
      <c r="B1635" s="16" t="s">
        <v>8166</v>
      </c>
      <c r="C1635" s="16" t="s">
        <v>8758</v>
      </c>
      <c r="D1635" s="16" t="s">
        <v>21</v>
      </c>
      <c r="E1635" s="36" t="s">
        <v>8463</v>
      </c>
      <c r="F1635" s="16" t="s">
        <v>96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62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8589</v>
      </c>
      <c r="B1636" s="16" t="s">
        <v>8167</v>
      </c>
      <c r="C1636" s="16" t="s">
        <v>8759</v>
      </c>
      <c r="D1636" s="16" t="s">
        <v>21</v>
      </c>
      <c r="E1636" s="36" t="s">
        <v>8463</v>
      </c>
      <c r="F1636" s="16" t="s">
        <v>98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68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8590</v>
      </c>
      <c r="B1637" s="16" t="s">
        <v>8168</v>
      </c>
      <c r="C1637" s="16" t="s">
        <v>8760</v>
      </c>
      <c r="D1637" s="16" t="s">
        <v>21</v>
      </c>
      <c r="E1637" s="36" t="s">
        <v>8463</v>
      </c>
      <c r="F1637" s="16" t="s">
        <v>100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75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6"/>
      <c r="X1637" s="25"/>
      <c r="Y1637" s="17"/>
      <c r="Z1637" s="17"/>
    </row>
    <row r="1638" spans="1:26">
      <c r="A1638" s="16" t="s">
        <v>8591</v>
      </c>
      <c r="B1638" s="16" t="s">
        <v>8169</v>
      </c>
      <c r="C1638" s="16" t="s">
        <v>8761</v>
      </c>
      <c r="D1638" s="16" t="s">
        <v>21</v>
      </c>
      <c r="E1638" s="36" t="s">
        <v>8463</v>
      </c>
      <c r="F1638" s="16" t="s">
        <v>102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82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6"/>
      <c r="W1638" s="16"/>
      <c r="Y1638" s="17"/>
      <c r="Z1638" s="17"/>
    </row>
    <row r="1639" spans="1:26">
      <c r="A1639" s="16" t="s">
        <v>8592</v>
      </c>
      <c r="B1639" s="16" t="s">
        <v>8170</v>
      </c>
      <c r="C1639" s="16" t="s">
        <v>8762</v>
      </c>
      <c r="D1639" s="16" t="s">
        <v>21</v>
      </c>
      <c r="E1639" s="36" t="s">
        <v>8463</v>
      </c>
      <c r="F1639" s="16" t="s">
        <v>104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91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8593</v>
      </c>
      <c r="B1640" s="16" t="s">
        <v>8171</v>
      </c>
      <c r="C1640" s="16" t="s">
        <v>8763</v>
      </c>
      <c r="D1640" s="16" t="s">
        <v>21</v>
      </c>
      <c r="E1640" s="36" t="s">
        <v>8463</v>
      </c>
      <c r="F1640" s="16" t="s">
        <v>106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100</v>
      </c>
      <c r="L1640" s="19" t="s">
        <v>8479</v>
      </c>
      <c r="M1640" s="16" t="s">
        <v>4416</v>
      </c>
      <c r="N1640" s="16" t="s">
        <v>8481</v>
      </c>
      <c r="O1640" s="16" t="s">
        <v>26</v>
      </c>
      <c r="P1640" s="16" t="s">
        <v>10599</v>
      </c>
      <c r="Q1640" s="16"/>
      <c r="R1640" s="16"/>
      <c r="S1640" s="16"/>
      <c r="T1640" s="16"/>
      <c r="U1640" s="17"/>
      <c r="V1640" s="17"/>
      <c r="W1640" s="17"/>
      <c r="X1640" s="17"/>
      <c r="Y1640" s="17"/>
      <c r="Z1640" s="17"/>
    </row>
    <row r="1641" spans="1:26">
      <c r="A1641" s="16" t="s">
        <v>8594</v>
      </c>
      <c r="B1641" s="16" t="s">
        <v>8172</v>
      </c>
      <c r="C1641" s="16" t="s">
        <v>8764</v>
      </c>
      <c r="D1641" s="16" t="s">
        <v>21</v>
      </c>
      <c r="E1641" s="36" t="s">
        <v>8463</v>
      </c>
      <c r="F1641" s="16" t="s">
        <v>110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110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7"/>
      <c r="V1641" s="17"/>
      <c r="W1641" s="17"/>
      <c r="X1641" s="17"/>
      <c r="Y1641" s="17"/>
      <c r="Z1641" s="17"/>
    </row>
    <row r="1642" spans="1:26">
      <c r="A1642" s="16" t="s">
        <v>8595</v>
      </c>
      <c r="B1642" s="16" t="s">
        <v>8173</v>
      </c>
      <c r="C1642" s="16" t="s">
        <v>8765</v>
      </c>
      <c r="D1642" s="16" t="s">
        <v>21</v>
      </c>
      <c r="E1642" s="36" t="s">
        <v>8463</v>
      </c>
      <c r="F1642" s="16" t="s">
        <v>112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120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8596</v>
      </c>
      <c r="B1643" s="16" t="s">
        <v>8174</v>
      </c>
      <c r="C1643" s="16" t="s">
        <v>8766</v>
      </c>
      <c r="D1643" s="16" t="s">
        <v>21</v>
      </c>
      <c r="E1643" s="36" t="s">
        <v>8463</v>
      </c>
      <c r="F1643" s="16" t="s">
        <v>114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130</v>
      </c>
      <c r="L1643" s="19" t="s">
        <v>8479</v>
      </c>
      <c r="M1643" s="16" t="s">
        <v>4416</v>
      </c>
      <c r="N1643" s="16"/>
      <c r="O1643" s="16"/>
      <c r="P1643" s="16"/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8597</v>
      </c>
      <c r="B1644" s="16" t="s">
        <v>8175</v>
      </c>
      <c r="C1644" s="16" t="s">
        <v>8767</v>
      </c>
      <c r="D1644" s="16" t="s">
        <v>21</v>
      </c>
      <c r="E1644" s="36" t="s">
        <v>8463</v>
      </c>
      <c r="F1644" s="16" t="s">
        <v>116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150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8598</v>
      </c>
      <c r="B1645" s="16" t="s">
        <v>8176</v>
      </c>
      <c r="C1645" s="16" t="s">
        <v>8768</v>
      </c>
      <c r="D1645" s="16" t="s">
        <v>21</v>
      </c>
      <c r="E1645" s="36" t="s">
        <v>8463</v>
      </c>
      <c r="F1645" s="16" t="s">
        <v>118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160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8599</v>
      </c>
      <c r="B1646" s="16" t="s">
        <v>8177</v>
      </c>
      <c r="C1646" s="16" t="s">
        <v>8769</v>
      </c>
      <c r="D1646" s="16" t="s">
        <v>21</v>
      </c>
      <c r="E1646" s="36" t="s">
        <v>8463</v>
      </c>
      <c r="F1646" s="16" t="s">
        <v>120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180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8600</v>
      </c>
      <c r="B1647" s="16" t="s">
        <v>8178</v>
      </c>
      <c r="C1647" s="16" t="s">
        <v>8770</v>
      </c>
      <c r="D1647" s="16" t="s">
        <v>21</v>
      </c>
      <c r="E1647" s="36" t="s">
        <v>8463</v>
      </c>
      <c r="F1647" s="16" t="s">
        <v>124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200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8601</v>
      </c>
      <c r="B1648" s="16" t="s">
        <v>8179</v>
      </c>
      <c r="C1648" s="16" t="s">
        <v>8771</v>
      </c>
      <c r="D1648" s="16" t="s">
        <v>21</v>
      </c>
      <c r="E1648" s="36" t="s">
        <v>8463</v>
      </c>
      <c r="F1648" s="16" t="s">
        <v>126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220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6"/>
      <c r="V1648" s="17"/>
      <c r="W1648" s="16"/>
      <c r="X1648" s="17"/>
      <c r="Y1648" s="16"/>
      <c r="Z1648" s="17"/>
    </row>
    <row r="1649" spans="1:26">
      <c r="A1649" s="16" t="s">
        <v>8602</v>
      </c>
      <c r="B1649" s="16" t="s">
        <v>8180</v>
      </c>
      <c r="C1649" s="16" t="s">
        <v>8772</v>
      </c>
      <c r="D1649" s="16" t="s">
        <v>21</v>
      </c>
      <c r="E1649" s="36" t="s">
        <v>8463</v>
      </c>
      <c r="F1649" s="16" t="s">
        <v>130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240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8603</v>
      </c>
      <c r="B1650" s="16" t="s">
        <v>8181</v>
      </c>
      <c r="C1650" s="16" t="s">
        <v>8773</v>
      </c>
      <c r="D1650" s="16" t="s">
        <v>21</v>
      </c>
      <c r="E1650" s="36" t="s">
        <v>8463</v>
      </c>
      <c r="F1650" s="16" t="s">
        <v>132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270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6"/>
      <c r="V1650" s="17"/>
      <c r="W1650" s="16"/>
      <c r="X1650" s="17"/>
      <c r="Y1650" s="16"/>
      <c r="Z1650" s="17"/>
    </row>
    <row r="1651" spans="1:26">
      <c r="A1651" s="16" t="s">
        <v>8604</v>
      </c>
      <c r="B1651" s="16" t="s">
        <v>8182</v>
      </c>
      <c r="C1651" s="16" t="s">
        <v>8774</v>
      </c>
      <c r="D1651" s="16" t="s">
        <v>21</v>
      </c>
      <c r="E1651" s="36" t="s">
        <v>8463</v>
      </c>
      <c r="F1651" s="16" t="s">
        <v>134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300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7"/>
      <c r="V1651" s="17"/>
      <c r="W1651" s="17"/>
      <c r="X1651" s="17"/>
      <c r="Y1651" s="17"/>
      <c r="Z1651" s="17"/>
    </row>
    <row r="1652" spans="1:26">
      <c r="A1652" s="16" t="s">
        <v>8605</v>
      </c>
      <c r="B1652" s="16" t="s">
        <v>8183</v>
      </c>
      <c r="C1652" s="16" t="s">
        <v>8775</v>
      </c>
      <c r="D1652" s="16" t="s">
        <v>21</v>
      </c>
      <c r="E1652" s="36" t="s">
        <v>8463</v>
      </c>
      <c r="F1652" s="16" t="s">
        <v>138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330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6"/>
      <c r="V1652" s="17"/>
      <c r="W1652" s="16"/>
      <c r="X1652" s="17"/>
      <c r="Y1652" s="16"/>
      <c r="Z1652" s="17"/>
    </row>
    <row r="1653" spans="1:26">
      <c r="A1653" s="16" t="s">
        <v>8606</v>
      </c>
      <c r="B1653" s="16" t="s">
        <v>8184</v>
      </c>
      <c r="C1653" s="16" t="s">
        <v>8776</v>
      </c>
      <c r="D1653" s="16" t="s">
        <v>21</v>
      </c>
      <c r="E1653" s="36" t="s">
        <v>8463</v>
      </c>
      <c r="F1653" s="16" t="s">
        <v>140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360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7"/>
      <c r="V1653" s="17"/>
      <c r="W1653" s="17"/>
      <c r="X1653" s="17"/>
      <c r="Y1653" s="17"/>
      <c r="Z1653" s="17"/>
    </row>
    <row r="1654" spans="1:26">
      <c r="A1654" s="16" t="s">
        <v>8607</v>
      </c>
      <c r="B1654" s="16" t="s">
        <v>8185</v>
      </c>
      <c r="C1654" s="16" t="s">
        <v>8777</v>
      </c>
      <c r="D1654" s="16" t="s">
        <v>21</v>
      </c>
      <c r="E1654" s="36" t="s">
        <v>8463</v>
      </c>
      <c r="F1654" s="16" t="s">
        <v>142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390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8608</v>
      </c>
      <c r="B1655" s="16" t="s">
        <v>8186</v>
      </c>
      <c r="C1655" s="16" t="s">
        <v>8778</v>
      </c>
      <c r="D1655" s="16" t="s">
        <v>21</v>
      </c>
      <c r="E1655" s="36" t="s">
        <v>8463</v>
      </c>
      <c r="F1655" s="16" t="s">
        <v>144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430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7"/>
      <c r="V1655" s="17"/>
      <c r="W1655" s="17"/>
      <c r="X1655" s="17"/>
      <c r="Y1655" s="17"/>
      <c r="Z1655" s="17"/>
    </row>
    <row r="1656" spans="1:26">
      <c r="A1656" s="16" t="s">
        <v>8609</v>
      </c>
      <c r="B1656" s="16" t="s">
        <v>8187</v>
      </c>
      <c r="C1656" s="16" t="s">
        <v>8779</v>
      </c>
      <c r="D1656" s="16" t="s">
        <v>21</v>
      </c>
      <c r="E1656" s="36" t="s">
        <v>8463</v>
      </c>
      <c r="F1656" s="16" t="s">
        <v>146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470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8610</v>
      </c>
      <c r="B1657" s="16" t="s">
        <v>8188</v>
      </c>
      <c r="C1657" s="16" t="s">
        <v>8780</v>
      </c>
      <c r="D1657" s="16" t="s">
        <v>21</v>
      </c>
      <c r="E1657" s="36" t="s">
        <v>8463</v>
      </c>
      <c r="F1657" s="16" t="s">
        <v>150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510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8611</v>
      </c>
      <c r="B1658" s="16" t="s">
        <v>8189</v>
      </c>
      <c r="C1658" s="16" t="s">
        <v>8781</v>
      </c>
      <c r="D1658" s="16" t="s">
        <v>21</v>
      </c>
      <c r="E1658" s="36" t="s">
        <v>8463</v>
      </c>
      <c r="F1658" s="16" t="s">
        <v>152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560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8612</v>
      </c>
      <c r="B1659" s="16" t="s">
        <v>8190</v>
      </c>
      <c r="C1659" s="16" t="s">
        <v>8782</v>
      </c>
      <c r="D1659" s="16" t="s">
        <v>21</v>
      </c>
      <c r="E1659" s="36" t="s">
        <v>8463</v>
      </c>
      <c r="F1659" s="16" t="s">
        <v>154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620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8613</v>
      </c>
      <c r="B1660" s="16" t="s">
        <v>8191</v>
      </c>
      <c r="C1660" s="16" t="s">
        <v>8783</v>
      </c>
      <c r="D1660" s="16" t="s">
        <v>21</v>
      </c>
      <c r="E1660" s="36" t="s">
        <v>8463</v>
      </c>
      <c r="F1660" s="16" t="s">
        <v>156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680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8614</v>
      </c>
      <c r="B1661" s="16" t="s">
        <v>8192</v>
      </c>
      <c r="C1661" s="16" t="s">
        <v>8784</v>
      </c>
      <c r="D1661" s="16" t="s">
        <v>21</v>
      </c>
      <c r="E1661" s="36" t="s">
        <v>8463</v>
      </c>
      <c r="F1661" s="16" t="s">
        <v>158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750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8615</v>
      </c>
      <c r="B1662" s="16" t="s">
        <v>8193</v>
      </c>
      <c r="C1662" s="16" t="s">
        <v>8785</v>
      </c>
      <c r="D1662" s="16" t="s">
        <v>21</v>
      </c>
      <c r="E1662" s="36" t="s">
        <v>8463</v>
      </c>
      <c r="F1662" s="16" t="s">
        <v>160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820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8616</v>
      </c>
      <c r="B1663" s="16" t="s">
        <v>8194</v>
      </c>
      <c r="C1663" s="16" t="s">
        <v>8786</v>
      </c>
      <c r="D1663" s="16" t="s">
        <v>21</v>
      </c>
      <c r="E1663" s="36" t="s">
        <v>8463</v>
      </c>
      <c r="F1663" s="16" t="s">
        <v>162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910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8617</v>
      </c>
      <c r="B1664" s="16" t="s">
        <v>8195</v>
      </c>
      <c r="C1664" s="16" t="s">
        <v>8787</v>
      </c>
      <c r="D1664" s="16" t="s">
        <v>21</v>
      </c>
      <c r="E1664" s="36" t="s">
        <v>8463</v>
      </c>
      <c r="F1664" s="16" t="s">
        <v>164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1000</v>
      </c>
      <c r="L1664" s="19" t="s">
        <v>8479</v>
      </c>
      <c r="M1664" s="16" t="s">
        <v>4416</v>
      </c>
      <c r="N1664" s="16" t="s">
        <v>8480</v>
      </c>
      <c r="O1664" s="16" t="s">
        <v>26</v>
      </c>
      <c r="P1664" s="16" t="s">
        <v>10600</v>
      </c>
      <c r="Q1664" s="16"/>
      <c r="R1664" s="16"/>
      <c r="S1664" s="16"/>
      <c r="T1664" s="16"/>
      <c r="U1664" s="17"/>
      <c r="V1664" s="17"/>
      <c r="W1664" s="16"/>
      <c r="X1664" s="17"/>
      <c r="Y1664" s="17"/>
      <c r="Z1664" s="17"/>
    </row>
    <row r="1665" spans="1:26">
      <c r="A1665" s="16" t="s">
        <v>8618</v>
      </c>
      <c r="B1665" s="16" t="s">
        <v>8196</v>
      </c>
      <c r="C1665" s="16" t="s">
        <v>8788</v>
      </c>
      <c r="D1665" s="16" t="s">
        <v>21</v>
      </c>
      <c r="E1665" s="36" t="s">
        <v>8463</v>
      </c>
      <c r="F1665" s="16" t="s">
        <v>166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1100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8619</v>
      </c>
      <c r="B1666" s="16" t="s">
        <v>8197</v>
      </c>
      <c r="C1666" s="16" t="s">
        <v>8789</v>
      </c>
      <c r="D1666" s="16" t="s">
        <v>21</v>
      </c>
      <c r="E1666" s="36" t="s">
        <v>8463</v>
      </c>
      <c r="F1666" s="16" t="s">
        <v>168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1200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8620</v>
      </c>
      <c r="B1667" s="16" t="s">
        <v>8198</v>
      </c>
      <c r="C1667" s="16" t="s">
        <v>8790</v>
      </c>
      <c r="D1667" s="16" t="s">
        <v>21</v>
      </c>
      <c r="E1667" s="36" t="s">
        <v>8463</v>
      </c>
      <c r="F1667" s="16" t="s">
        <v>170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1300</v>
      </c>
      <c r="L1667" s="19" t="s">
        <v>8479</v>
      </c>
      <c r="M1667" s="16" t="s">
        <v>4416</v>
      </c>
      <c r="N1667" s="16"/>
      <c r="O1667" s="16"/>
      <c r="P1667" s="16"/>
      <c r="Q1667" s="16"/>
      <c r="R1667" s="16"/>
      <c r="S1667" s="16"/>
      <c r="T1667" s="16"/>
      <c r="U1667" s="17"/>
      <c r="V1667" s="17"/>
      <c r="W1667" s="17"/>
      <c r="X1667" s="17"/>
      <c r="Y1667" s="17"/>
      <c r="Z1667" s="17"/>
    </row>
    <row r="1668" spans="1:26">
      <c r="A1668" s="16" t="s">
        <v>8621</v>
      </c>
      <c r="B1668" s="16" t="s">
        <v>8199</v>
      </c>
      <c r="C1668" s="16" t="s">
        <v>8791</v>
      </c>
      <c r="D1668" s="16" t="s">
        <v>21</v>
      </c>
      <c r="E1668" s="36" t="s">
        <v>8463</v>
      </c>
      <c r="F1668" s="16" t="s">
        <v>172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1500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6"/>
      <c r="V1668" s="17"/>
      <c r="W1668" s="16"/>
      <c r="X1668" s="17"/>
      <c r="Y1668" s="16"/>
      <c r="Z1668" s="17"/>
    </row>
    <row r="1669" spans="1:26">
      <c r="A1669" s="16" t="s">
        <v>8622</v>
      </c>
      <c r="B1669" s="16" t="s">
        <v>8200</v>
      </c>
      <c r="C1669" s="16" t="s">
        <v>8792</v>
      </c>
      <c r="D1669" s="16" t="s">
        <v>21</v>
      </c>
      <c r="E1669" s="36" t="s">
        <v>8463</v>
      </c>
      <c r="F1669" s="16" t="s">
        <v>176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1600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8623</v>
      </c>
      <c r="B1670" s="16" t="s">
        <v>8201</v>
      </c>
      <c r="C1670" s="16" t="s">
        <v>8793</v>
      </c>
      <c r="D1670" s="16" t="s">
        <v>21</v>
      </c>
      <c r="E1670" s="36" t="s">
        <v>8463</v>
      </c>
      <c r="F1670" s="16" t="s">
        <v>182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1800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8624</v>
      </c>
      <c r="B1671" s="16" t="s">
        <v>8202</v>
      </c>
      <c r="C1671" s="16" t="s">
        <v>8794</v>
      </c>
      <c r="D1671" s="16" t="s">
        <v>21</v>
      </c>
      <c r="E1671" s="36" t="s">
        <v>8463</v>
      </c>
      <c r="F1671" s="16" t="s">
        <v>184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2000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7"/>
      <c r="V1671" s="17"/>
      <c r="W1671" s="16"/>
      <c r="X1671" s="17"/>
      <c r="Y1671" s="17"/>
      <c r="Z1671" s="17"/>
    </row>
    <row r="1672" spans="1:26">
      <c r="A1672" s="16" t="s">
        <v>8625</v>
      </c>
      <c r="B1672" s="16" t="s">
        <v>8203</v>
      </c>
      <c r="C1672" s="16" t="s">
        <v>8795</v>
      </c>
      <c r="D1672" s="16" t="s">
        <v>21</v>
      </c>
      <c r="E1672" s="36" t="s">
        <v>8463</v>
      </c>
      <c r="F1672" s="16" t="s">
        <v>188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2200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6"/>
      <c r="W1672" s="16"/>
      <c r="Y1672" s="17"/>
      <c r="Z1672" s="17"/>
    </row>
    <row r="1673" spans="1:26">
      <c r="A1673" s="16" t="s">
        <v>8626</v>
      </c>
      <c r="B1673" s="16" t="s">
        <v>8204</v>
      </c>
      <c r="C1673" s="16" t="s">
        <v>8796</v>
      </c>
      <c r="D1673" s="16" t="s">
        <v>21</v>
      </c>
      <c r="E1673" s="36" t="s">
        <v>8463</v>
      </c>
      <c r="F1673" s="16" t="s">
        <v>192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2400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8627</v>
      </c>
      <c r="B1674" s="16" t="s">
        <v>8205</v>
      </c>
      <c r="C1674" s="16" t="s">
        <v>8797</v>
      </c>
      <c r="D1674" s="16" t="s">
        <v>21</v>
      </c>
      <c r="E1674" s="36" t="s">
        <v>8463</v>
      </c>
      <c r="F1674" s="16" t="s">
        <v>194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2700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7"/>
      <c r="X1674" s="17"/>
      <c r="Y1674" s="17"/>
      <c r="Z1674" s="17"/>
    </row>
    <row r="1675" spans="1:26">
      <c r="A1675" s="16" t="s">
        <v>8628</v>
      </c>
      <c r="B1675" s="16" t="s">
        <v>8206</v>
      </c>
      <c r="C1675" s="16" t="s">
        <v>8798</v>
      </c>
      <c r="D1675" s="16" t="s">
        <v>21</v>
      </c>
      <c r="E1675" s="36" t="s">
        <v>8463</v>
      </c>
      <c r="F1675" s="16" t="s">
        <v>198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3000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7"/>
      <c r="V1675" s="17"/>
      <c r="W1675" s="17"/>
      <c r="X1675" s="17"/>
      <c r="Y1675" s="17"/>
      <c r="Z1675" s="17"/>
    </row>
    <row r="1676" spans="1:26">
      <c r="A1676" s="16" t="s">
        <v>8629</v>
      </c>
      <c r="B1676" s="16" t="s">
        <v>8207</v>
      </c>
      <c r="C1676" s="16" t="s">
        <v>8799</v>
      </c>
      <c r="D1676" s="16" t="s">
        <v>21</v>
      </c>
      <c r="E1676" s="36" t="s">
        <v>8463</v>
      </c>
      <c r="F1676" s="16" t="s">
        <v>202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3300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8630</v>
      </c>
      <c r="B1677" s="16" t="s">
        <v>8208</v>
      </c>
      <c r="C1677" s="16" t="s">
        <v>8800</v>
      </c>
      <c r="D1677" s="16" t="s">
        <v>21</v>
      </c>
      <c r="E1677" s="36" t="s">
        <v>8463</v>
      </c>
      <c r="F1677" s="16" t="s">
        <v>204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3600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8631</v>
      </c>
      <c r="B1678" s="16" t="s">
        <v>8209</v>
      </c>
      <c r="C1678" s="16" t="s">
        <v>8801</v>
      </c>
      <c r="D1678" s="16" t="s">
        <v>21</v>
      </c>
      <c r="E1678" s="36" t="s">
        <v>8463</v>
      </c>
      <c r="F1678" s="16" t="s">
        <v>206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3900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8632</v>
      </c>
      <c r="B1679" s="16" t="s">
        <v>8210</v>
      </c>
      <c r="C1679" s="16" t="s">
        <v>8802</v>
      </c>
      <c r="D1679" s="16" t="s">
        <v>21</v>
      </c>
      <c r="E1679" s="36" t="s">
        <v>8463</v>
      </c>
      <c r="F1679" s="16" t="s">
        <v>208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4300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8633</v>
      </c>
      <c r="B1680" s="16" t="s">
        <v>8211</v>
      </c>
      <c r="C1680" s="16" t="s">
        <v>8803</v>
      </c>
      <c r="D1680" s="16" t="s">
        <v>21</v>
      </c>
      <c r="E1680" s="36" t="s">
        <v>8463</v>
      </c>
      <c r="F1680" s="16" t="s">
        <v>210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4700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6"/>
      <c r="V1680" s="17"/>
      <c r="W1680" s="16"/>
      <c r="X1680" s="17"/>
      <c r="Y1680" s="16"/>
      <c r="Z1680" s="17"/>
    </row>
    <row r="1681" spans="1:26">
      <c r="A1681" s="16" t="s">
        <v>8634</v>
      </c>
      <c r="B1681" s="16" t="s">
        <v>8212</v>
      </c>
      <c r="C1681" s="16" t="s">
        <v>8804</v>
      </c>
      <c r="D1681" s="16" t="s">
        <v>21</v>
      </c>
      <c r="E1681" s="36" t="s">
        <v>8463</v>
      </c>
      <c r="F1681" s="16" t="s">
        <v>214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5100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6"/>
      <c r="V1681" s="17"/>
      <c r="W1681" s="16"/>
      <c r="X1681" s="17"/>
      <c r="Y1681" s="16"/>
      <c r="Z1681" s="17"/>
    </row>
    <row r="1682" spans="1:26">
      <c r="A1682" s="16" t="s">
        <v>8635</v>
      </c>
      <c r="B1682" s="16" t="s">
        <v>8213</v>
      </c>
      <c r="C1682" s="16" t="s">
        <v>8805</v>
      </c>
      <c r="D1682" s="16" t="s">
        <v>21</v>
      </c>
      <c r="E1682" s="36" t="s">
        <v>8463</v>
      </c>
      <c r="F1682" s="16" t="s">
        <v>216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5600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8636</v>
      </c>
      <c r="B1683" s="16" t="s">
        <v>8214</v>
      </c>
      <c r="C1683" s="16" t="s">
        <v>8806</v>
      </c>
      <c r="D1683" s="16" t="s">
        <v>21</v>
      </c>
      <c r="E1683" s="36" t="s">
        <v>8463</v>
      </c>
      <c r="F1683" s="16" t="s">
        <v>218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6200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7"/>
      <c r="V1683" s="17"/>
      <c r="W1683" s="17"/>
      <c r="X1683" s="17"/>
      <c r="Y1683" s="17"/>
      <c r="Z1683" s="17"/>
    </row>
    <row r="1684" spans="1:26">
      <c r="A1684" s="16" t="s">
        <v>8637</v>
      </c>
      <c r="B1684" s="16" t="s">
        <v>8215</v>
      </c>
      <c r="C1684" s="16" t="s">
        <v>8807</v>
      </c>
      <c r="D1684" s="16" t="s">
        <v>21</v>
      </c>
      <c r="E1684" s="36" t="s">
        <v>8463</v>
      </c>
      <c r="F1684" s="16" t="s">
        <v>220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6800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7"/>
      <c r="V1684" s="17"/>
      <c r="W1684" s="17"/>
      <c r="X1684" s="17"/>
      <c r="Y1684" s="17"/>
      <c r="Z1684" s="17"/>
    </row>
    <row r="1685" spans="1:26">
      <c r="A1685" s="16" t="s">
        <v>8638</v>
      </c>
      <c r="B1685" s="16" t="s">
        <v>8216</v>
      </c>
      <c r="C1685" s="16" t="s">
        <v>8808</v>
      </c>
      <c r="D1685" s="16" t="s">
        <v>21</v>
      </c>
      <c r="E1685" s="36" t="s">
        <v>8463</v>
      </c>
      <c r="F1685" s="16" t="s">
        <v>222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7500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8639</v>
      </c>
      <c r="B1686" s="16" t="s">
        <v>8217</v>
      </c>
      <c r="C1686" s="16" t="s">
        <v>8809</v>
      </c>
      <c r="D1686" s="16" t="s">
        <v>21</v>
      </c>
      <c r="E1686" s="36" t="s">
        <v>8463</v>
      </c>
      <c r="F1686" s="16" t="s">
        <v>224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8200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8640</v>
      </c>
      <c r="B1687" s="16" t="s">
        <v>8218</v>
      </c>
      <c r="C1687" s="16" t="s">
        <v>8810</v>
      </c>
      <c r="D1687" s="16" t="s">
        <v>21</v>
      </c>
      <c r="E1687" s="36" t="s">
        <v>8463</v>
      </c>
      <c r="F1687" s="16" t="s">
        <v>226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9100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8641</v>
      </c>
      <c r="B1688" s="16" t="s">
        <v>8219</v>
      </c>
      <c r="C1688" s="16" t="s">
        <v>8811</v>
      </c>
      <c r="D1688" s="16" t="s">
        <v>21</v>
      </c>
      <c r="E1688" s="36" t="s">
        <v>8463</v>
      </c>
      <c r="F1688" s="16" t="s">
        <v>230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10000</v>
      </c>
      <c r="L1688" s="19" t="s">
        <v>8479</v>
      </c>
      <c r="M1688" s="16" t="s">
        <v>4416</v>
      </c>
      <c r="N1688" s="16" t="s">
        <v>8464</v>
      </c>
      <c r="O1688" s="16" t="s">
        <v>26</v>
      </c>
      <c r="P1688" s="16" t="s">
        <v>10601</v>
      </c>
      <c r="Q1688" s="16" t="s">
        <v>4416</v>
      </c>
      <c r="R1688" s="16" t="s">
        <v>8464</v>
      </c>
      <c r="S1688" s="16" t="s">
        <v>8466</v>
      </c>
      <c r="T1688" s="16" t="s">
        <v>8467</v>
      </c>
      <c r="U1688" s="17"/>
      <c r="V1688" s="17"/>
      <c r="W1688" s="16"/>
      <c r="X1688" s="17"/>
      <c r="Y1688" s="17"/>
      <c r="Z1688" s="17"/>
    </row>
    <row r="1689" spans="1:26">
      <c r="A1689" s="16" t="s">
        <v>8642</v>
      </c>
      <c r="B1689" s="16" t="s">
        <v>8220</v>
      </c>
      <c r="C1689" s="16" t="s">
        <v>8812</v>
      </c>
      <c r="D1689" s="16" t="s">
        <v>21</v>
      </c>
      <c r="E1689" s="36" t="s">
        <v>8463</v>
      </c>
      <c r="F1689" s="16" t="s">
        <v>234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11000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8643</v>
      </c>
      <c r="B1690" s="16" t="s">
        <v>8221</v>
      </c>
      <c r="C1690" s="16" t="s">
        <v>8813</v>
      </c>
      <c r="D1690" s="16" t="s">
        <v>21</v>
      </c>
      <c r="E1690" s="36" t="s">
        <v>8463</v>
      </c>
      <c r="F1690" s="16" t="s">
        <v>236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12000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8644</v>
      </c>
      <c r="B1691" s="16" t="s">
        <v>8222</v>
      </c>
      <c r="C1691" s="16" t="s">
        <v>8814</v>
      </c>
      <c r="D1691" s="16" t="s">
        <v>21</v>
      </c>
      <c r="E1691" s="36" t="s">
        <v>8463</v>
      </c>
      <c r="F1691" s="16" t="s">
        <v>240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13000</v>
      </c>
      <c r="L1691" s="19" t="s">
        <v>8479</v>
      </c>
      <c r="M1691" s="16" t="s">
        <v>4416</v>
      </c>
      <c r="N1691" s="16"/>
      <c r="O1691" s="16"/>
      <c r="P1691" s="16"/>
      <c r="Q1691" s="16"/>
      <c r="R1691" s="16"/>
      <c r="S1691" s="16"/>
      <c r="T1691" s="16"/>
      <c r="U1691" s="16"/>
      <c r="V1691" s="17"/>
      <c r="W1691" s="16"/>
      <c r="X1691" s="16"/>
      <c r="Y1691" s="16"/>
      <c r="Z1691" s="17"/>
    </row>
    <row r="1692" spans="1:26">
      <c r="A1692" s="16" t="s">
        <v>8645</v>
      </c>
      <c r="B1692" s="16" t="s">
        <v>8223</v>
      </c>
      <c r="C1692" s="16" t="s">
        <v>8815</v>
      </c>
      <c r="D1692" s="16" t="s">
        <v>21</v>
      </c>
      <c r="E1692" s="36" t="s">
        <v>8463</v>
      </c>
      <c r="F1692" s="16" t="s">
        <v>244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15000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6"/>
      <c r="W1692" s="16"/>
      <c r="Y1692" s="16"/>
      <c r="Z1692" s="17"/>
    </row>
    <row r="1693" spans="1:26">
      <c r="A1693" s="16" t="s">
        <v>8646</v>
      </c>
      <c r="B1693" s="16" t="s">
        <v>8224</v>
      </c>
      <c r="C1693" s="16" t="s">
        <v>8816</v>
      </c>
      <c r="D1693" s="16" t="s">
        <v>21</v>
      </c>
      <c r="E1693" s="36" t="s">
        <v>8463</v>
      </c>
      <c r="F1693" s="16" t="s">
        <v>248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16000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8647</v>
      </c>
      <c r="B1694" s="16" t="s">
        <v>8225</v>
      </c>
      <c r="C1694" s="16" t="s">
        <v>8817</v>
      </c>
      <c r="D1694" s="16" t="s">
        <v>21</v>
      </c>
      <c r="E1694" s="36" t="s">
        <v>8463</v>
      </c>
      <c r="F1694" s="16" t="s">
        <v>252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18000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7"/>
      <c r="V1694" s="17"/>
      <c r="W1694" s="17"/>
      <c r="X1694" s="17"/>
      <c r="Y1694" s="17"/>
      <c r="Z1694" s="17"/>
    </row>
    <row r="1695" spans="1:26">
      <c r="A1695" s="16" t="s">
        <v>8648</v>
      </c>
      <c r="B1695" s="16" t="s">
        <v>8226</v>
      </c>
      <c r="C1695" s="16" t="s">
        <v>8818</v>
      </c>
      <c r="D1695" s="16" t="s">
        <v>21</v>
      </c>
      <c r="E1695" s="36" t="s">
        <v>8463</v>
      </c>
      <c r="F1695" s="16" t="s">
        <v>256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20000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7"/>
      <c r="V1695" s="17"/>
      <c r="W1695" s="17"/>
      <c r="X1695" s="17"/>
      <c r="Y1695" s="17"/>
      <c r="Z1695" s="17"/>
    </row>
    <row r="1696" spans="1:26">
      <c r="A1696" s="16" t="s">
        <v>8649</v>
      </c>
      <c r="B1696" s="16" t="s">
        <v>8227</v>
      </c>
      <c r="C1696" s="16" t="s">
        <v>8819</v>
      </c>
      <c r="D1696" s="16" t="s">
        <v>21</v>
      </c>
      <c r="E1696" s="36" t="s">
        <v>8463</v>
      </c>
      <c r="F1696" s="16" t="s">
        <v>258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22000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6"/>
      <c r="V1696" s="17"/>
      <c r="W1696" s="16"/>
      <c r="X1696" s="16"/>
      <c r="Y1696" s="16"/>
      <c r="Z1696" s="17"/>
    </row>
    <row r="1697" spans="1:26">
      <c r="A1697" s="16" t="s">
        <v>8650</v>
      </c>
      <c r="B1697" s="16" t="s">
        <v>8228</v>
      </c>
      <c r="C1697" s="16" t="s">
        <v>8820</v>
      </c>
      <c r="D1697" s="16" t="s">
        <v>21</v>
      </c>
      <c r="E1697" s="36" t="s">
        <v>8463</v>
      </c>
      <c r="F1697" s="16" t="s">
        <v>260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24000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8651</v>
      </c>
      <c r="B1698" s="16" t="s">
        <v>8229</v>
      </c>
      <c r="C1698" s="16" t="s">
        <v>8821</v>
      </c>
      <c r="D1698" s="16" t="s">
        <v>21</v>
      </c>
      <c r="E1698" s="36" t="s">
        <v>8463</v>
      </c>
      <c r="F1698" s="16" t="s">
        <v>264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27000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6"/>
      <c r="W1698" s="16"/>
      <c r="Y1698" s="17"/>
      <c r="Z1698" s="17"/>
    </row>
    <row r="1699" spans="1:26">
      <c r="A1699" s="16" t="s">
        <v>8652</v>
      </c>
      <c r="B1699" s="16" t="s">
        <v>8230</v>
      </c>
      <c r="C1699" s="16" t="s">
        <v>8822</v>
      </c>
      <c r="D1699" s="16" t="s">
        <v>21</v>
      </c>
      <c r="E1699" s="36" t="s">
        <v>8463</v>
      </c>
      <c r="F1699" s="16" t="s">
        <v>266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30000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7"/>
      <c r="V1699" s="17"/>
      <c r="W1699" s="17"/>
      <c r="X1699" s="17"/>
      <c r="Y1699" s="17"/>
      <c r="Z1699" s="17"/>
    </row>
    <row r="1700" spans="1:26">
      <c r="A1700" s="16" t="s">
        <v>8653</v>
      </c>
      <c r="B1700" s="16" t="s">
        <v>8231</v>
      </c>
      <c r="C1700" s="16" t="s">
        <v>8823</v>
      </c>
      <c r="D1700" s="16" t="s">
        <v>21</v>
      </c>
      <c r="E1700" s="36" t="s">
        <v>8463</v>
      </c>
      <c r="F1700" s="16" t="s">
        <v>268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33000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8654</v>
      </c>
      <c r="B1701" s="16" t="s">
        <v>8232</v>
      </c>
      <c r="C1701" s="16" t="s">
        <v>8824</v>
      </c>
      <c r="D1701" s="16" t="s">
        <v>21</v>
      </c>
      <c r="E1701" s="36" t="s">
        <v>8463</v>
      </c>
      <c r="F1701" s="16" t="s">
        <v>270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36000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7"/>
      <c r="V1701" s="17"/>
      <c r="W1701" s="17"/>
      <c r="X1701" s="17"/>
      <c r="Y1701" s="17"/>
      <c r="Z1701" s="17"/>
    </row>
    <row r="1702" spans="1:26">
      <c r="A1702" s="16" t="s">
        <v>8655</v>
      </c>
      <c r="B1702" s="16" t="s">
        <v>8233</v>
      </c>
      <c r="C1702" s="16" t="s">
        <v>8825</v>
      </c>
      <c r="D1702" s="16" t="s">
        <v>21</v>
      </c>
      <c r="E1702" s="36" t="s">
        <v>8463</v>
      </c>
      <c r="F1702" s="16" t="s">
        <v>274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39000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8656</v>
      </c>
      <c r="B1703" s="16" t="s">
        <v>8234</v>
      </c>
      <c r="C1703" s="16" t="s">
        <v>8826</v>
      </c>
      <c r="D1703" s="16" t="s">
        <v>21</v>
      </c>
      <c r="E1703" s="36" t="s">
        <v>8463</v>
      </c>
      <c r="F1703" s="16" t="s">
        <v>278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43000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8657</v>
      </c>
      <c r="B1704" s="16" t="s">
        <v>8235</v>
      </c>
      <c r="C1704" s="16" t="s">
        <v>8827</v>
      </c>
      <c r="D1704" s="16" t="s">
        <v>21</v>
      </c>
      <c r="E1704" s="36" t="s">
        <v>8463</v>
      </c>
      <c r="F1704" s="16" t="s">
        <v>280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47000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6"/>
      <c r="V1704" s="17"/>
      <c r="W1704" s="16"/>
      <c r="X1704" s="17"/>
      <c r="Y1704" s="16"/>
      <c r="Z1704" s="17"/>
    </row>
    <row r="1705" spans="1:26">
      <c r="A1705" s="16" t="s">
        <v>8658</v>
      </c>
      <c r="B1705" s="16" t="s">
        <v>8236</v>
      </c>
      <c r="C1705" s="16" t="s">
        <v>8828</v>
      </c>
      <c r="D1705" s="16" t="s">
        <v>21</v>
      </c>
      <c r="E1705" s="36" t="s">
        <v>8463</v>
      </c>
      <c r="F1705" s="16" t="s">
        <v>284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51000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6"/>
      <c r="V1705" s="17"/>
      <c r="W1705" s="16"/>
      <c r="X1705" s="25"/>
      <c r="Y1705" s="16"/>
      <c r="Z1705" s="17"/>
    </row>
    <row r="1706" spans="1:26">
      <c r="A1706" s="16" t="s">
        <v>8659</v>
      </c>
      <c r="B1706" s="16" t="s">
        <v>8237</v>
      </c>
      <c r="C1706" s="16" t="s">
        <v>8829</v>
      </c>
      <c r="D1706" s="16" t="s">
        <v>21</v>
      </c>
      <c r="E1706" s="36" t="s">
        <v>8463</v>
      </c>
      <c r="F1706" s="16" t="s">
        <v>288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56000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8660</v>
      </c>
      <c r="B1707" s="16" t="s">
        <v>8238</v>
      </c>
      <c r="C1707" s="16" t="s">
        <v>8830</v>
      </c>
      <c r="D1707" s="16" t="s">
        <v>21</v>
      </c>
      <c r="E1707" s="36" t="s">
        <v>8463</v>
      </c>
      <c r="F1707" s="16" t="s">
        <v>292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62000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7"/>
      <c r="V1707" s="17"/>
      <c r="W1707" s="17"/>
      <c r="X1707" s="17"/>
      <c r="Y1707" s="17"/>
      <c r="Z1707" s="17"/>
    </row>
    <row r="1708" spans="1:26">
      <c r="A1708" s="16" t="s">
        <v>8661</v>
      </c>
      <c r="B1708" s="16" t="s">
        <v>8239</v>
      </c>
      <c r="C1708" s="16" t="s">
        <v>8831</v>
      </c>
      <c r="D1708" s="16" t="s">
        <v>21</v>
      </c>
      <c r="E1708" s="36" t="s">
        <v>8463</v>
      </c>
      <c r="F1708" s="16" t="s">
        <v>296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68000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W1708" s="16"/>
      <c r="Y1708" s="16"/>
      <c r="Z1708" s="17"/>
    </row>
    <row r="1709" spans="1:26">
      <c r="A1709" s="16" t="s">
        <v>8662</v>
      </c>
      <c r="B1709" s="16" t="s">
        <v>8240</v>
      </c>
      <c r="C1709" s="16" t="s">
        <v>8832</v>
      </c>
      <c r="D1709" s="16" t="s">
        <v>21</v>
      </c>
      <c r="E1709" s="36" t="s">
        <v>8463</v>
      </c>
      <c r="F1709" s="16" t="s">
        <v>300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75000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6"/>
      <c r="W1709" s="16"/>
      <c r="Y1709" s="16"/>
      <c r="Z1709" s="17"/>
    </row>
    <row r="1710" spans="1:26">
      <c r="A1710" s="16" t="s">
        <v>8663</v>
      </c>
      <c r="B1710" s="16" t="s">
        <v>8241</v>
      </c>
      <c r="C1710" s="16" t="s">
        <v>8833</v>
      </c>
      <c r="D1710" s="16" t="s">
        <v>21</v>
      </c>
      <c r="E1710" s="36" t="s">
        <v>8463</v>
      </c>
      <c r="F1710" s="16" t="s">
        <v>302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82000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8664</v>
      </c>
      <c r="B1711" s="16" t="s">
        <v>8242</v>
      </c>
      <c r="C1711" s="16" t="s">
        <v>8834</v>
      </c>
      <c r="D1711" s="16" t="s">
        <v>21</v>
      </c>
      <c r="E1711" s="36" t="s">
        <v>8463</v>
      </c>
      <c r="F1711" s="16" t="s">
        <v>304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91000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7"/>
      <c r="V1711" s="17"/>
      <c r="W1711" s="17"/>
      <c r="X1711" s="17"/>
      <c r="Y1711" s="17"/>
      <c r="Z1711" s="17"/>
    </row>
    <row r="1712" spans="1:26">
      <c r="A1712" s="16" t="s">
        <v>8665</v>
      </c>
      <c r="B1712" s="16" t="s">
        <v>8243</v>
      </c>
      <c r="C1712" s="16" t="s">
        <v>8835</v>
      </c>
      <c r="D1712" s="16" t="s">
        <v>21</v>
      </c>
      <c r="E1712" s="36" t="s">
        <v>8463</v>
      </c>
      <c r="F1712" s="16" t="s">
        <v>306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100000</v>
      </c>
      <c r="L1712" s="19" t="s">
        <v>8479</v>
      </c>
      <c r="M1712" s="16" t="s">
        <v>4416</v>
      </c>
      <c r="N1712" s="16" t="s">
        <v>8465</v>
      </c>
      <c r="O1712" s="16" t="s">
        <v>26</v>
      </c>
      <c r="P1712" s="16" t="s">
        <v>10602</v>
      </c>
      <c r="Q1712" s="16" t="s">
        <v>4416</v>
      </c>
      <c r="R1712" s="16" t="s">
        <v>8465</v>
      </c>
      <c r="S1712" s="16" t="s">
        <v>8466</v>
      </c>
      <c r="T1712" s="16" t="s">
        <v>8467</v>
      </c>
      <c r="U1712" s="16"/>
      <c r="V1712" s="17"/>
      <c r="W1712" s="16"/>
      <c r="X1712" s="17"/>
      <c r="Y1712" s="16"/>
      <c r="Z1712" s="17"/>
    </row>
    <row r="1713" spans="1:26">
      <c r="A1713" s="16" t="s">
        <v>8666</v>
      </c>
      <c r="B1713" s="16" t="s">
        <v>8244</v>
      </c>
      <c r="C1713" s="16" t="s">
        <v>8836</v>
      </c>
      <c r="D1713" s="16" t="s">
        <v>21</v>
      </c>
      <c r="E1713" s="36" t="s">
        <v>8463</v>
      </c>
      <c r="F1713" s="16" t="s">
        <v>310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110000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8667</v>
      </c>
      <c r="B1714" s="16" t="s">
        <v>8245</v>
      </c>
      <c r="C1714" s="16" t="s">
        <v>8837</v>
      </c>
      <c r="D1714" s="16" t="s">
        <v>21</v>
      </c>
      <c r="E1714" s="36" t="s">
        <v>8463</v>
      </c>
      <c r="F1714" s="16" t="s">
        <v>314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120000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8668</v>
      </c>
      <c r="B1715" s="16" t="s">
        <v>8246</v>
      </c>
      <c r="C1715" s="16" t="s">
        <v>8838</v>
      </c>
      <c r="D1715" s="16" t="s">
        <v>21</v>
      </c>
      <c r="E1715" s="36" t="s">
        <v>8463</v>
      </c>
      <c r="F1715" s="16" t="s">
        <v>318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130000</v>
      </c>
      <c r="L1715" s="19" t="s">
        <v>8479</v>
      </c>
      <c r="M1715" s="16" t="s">
        <v>4416</v>
      </c>
      <c r="N1715" s="16"/>
      <c r="O1715" s="16"/>
      <c r="P1715" s="16"/>
      <c r="Q1715" s="16"/>
      <c r="R1715" s="16"/>
      <c r="S1715" s="16"/>
      <c r="T1715" s="16"/>
      <c r="U1715" s="17"/>
      <c r="V1715" s="17"/>
      <c r="W1715" s="17"/>
      <c r="X1715" s="17"/>
      <c r="Y1715" s="17"/>
      <c r="Z1715" s="17"/>
    </row>
    <row r="1716" spans="1:26">
      <c r="A1716" s="16" t="s">
        <v>8669</v>
      </c>
      <c r="B1716" s="16" t="s">
        <v>8247</v>
      </c>
      <c r="C1716" s="16" t="s">
        <v>8839</v>
      </c>
      <c r="D1716" s="16" t="s">
        <v>21</v>
      </c>
      <c r="E1716" s="36" t="s">
        <v>8463</v>
      </c>
      <c r="F1716" s="16" t="s">
        <v>322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150000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6"/>
      <c r="V1716" s="17"/>
      <c r="W1716" s="16"/>
      <c r="X1716" s="17"/>
      <c r="Y1716" s="16"/>
      <c r="Z1716" s="17"/>
    </row>
    <row r="1717" spans="1:26">
      <c r="A1717" s="16" t="s">
        <v>8670</v>
      </c>
      <c r="B1717" s="16" t="s">
        <v>8248</v>
      </c>
      <c r="C1717" s="16" t="s">
        <v>8840</v>
      </c>
      <c r="D1717" s="16" t="s">
        <v>21</v>
      </c>
      <c r="E1717" s="36" t="s">
        <v>8463</v>
      </c>
      <c r="F1717" s="16" t="s">
        <v>324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160000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8671</v>
      </c>
      <c r="B1718" s="16" t="s">
        <v>8249</v>
      </c>
      <c r="C1718" s="16" t="s">
        <v>8841</v>
      </c>
      <c r="D1718" s="16" t="s">
        <v>21</v>
      </c>
      <c r="E1718" s="36" t="s">
        <v>8463</v>
      </c>
      <c r="F1718" s="16" t="s">
        <v>328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180000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8672</v>
      </c>
      <c r="B1719" s="16" t="s">
        <v>8250</v>
      </c>
      <c r="C1719" s="16" t="s">
        <v>8842</v>
      </c>
      <c r="D1719" s="16" t="s">
        <v>21</v>
      </c>
      <c r="E1719" s="36" t="s">
        <v>8463</v>
      </c>
      <c r="F1719" s="16" t="s">
        <v>332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200000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7"/>
      <c r="V1719" s="17"/>
      <c r="W1719" s="17"/>
      <c r="X1719" s="17"/>
      <c r="Y1719" s="17"/>
      <c r="Z1719" s="17"/>
    </row>
    <row r="1720" spans="1:26">
      <c r="A1720" s="16" t="s">
        <v>8673</v>
      </c>
      <c r="B1720" s="16" t="s">
        <v>8251</v>
      </c>
      <c r="C1720" s="16" t="s">
        <v>8843</v>
      </c>
      <c r="D1720" s="16" t="s">
        <v>21</v>
      </c>
      <c r="E1720" s="36" t="s">
        <v>8463</v>
      </c>
      <c r="F1720" s="16" t="s">
        <v>334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220000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6"/>
      <c r="V1720" s="17"/>
      <c r="W1720" s="16"/>
      <c r="X1720" s="16"/>
      <c r="Y1720" s="16"/>
      <c r="Z1720" s="17"/>
    </row>
    <row r="1721" spans="1:26">
      <c r="A1721" s="16" t="s">
        <v>8674</v>
      </c>
      <c r="B1721" s="16" t="s">
        <v>8252</v>
      </c>
      <c r="C1721" s="16" t="s">
        <v>8844</v>
      </c>
      <c r="D1721" s="16" t="s">
        <v>21</v>
      </c>
      <c r="E1721" s="36" t="s">
        <v>8463</v>
      </c>
      <c r="F1721" s="16" t="s">
        <v>336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240000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8675</v>
      </c>
      <c r="B1722" s="16" t="s">
        <v>8253</v>
      </c>
      <c r="C1722" s="16" t="s">
        <v>8845</v>
      </c>
      <c r="D1722" s="16" t="s">
        <v>21</v>
      </c>
      <c r="E1722" s="36" t="s">
        <v>8463</v>
      </c>
      <c r="F1722" s="16" t="s">
        <v>338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270000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8676</v>
      </c>
      <c r="B1723" s="16" t="s">
        <v>8254</v>
      </c>
      <c r="C1723" s="16" t="s">
        <v>8846</v>
      </c>
      <c r="D1723" s="16" t="s">
        <v>21</v>
      </c>
      <c r="E1723" s="36" t="s">
        <v>8463</v>
      </c>
      <c r="F1723" s="16" t="s">
        <v>340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300000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Y1723" s="16"/>
      <c r="Z1723" s="17"/>
    </row>
    <row r="1724" spans="1:26">
      <c r="A1724" s="16" t="s">
        <v>8677</v>
      </c>
      <c r="B1724" s="16" t="s">
        <v>8255</v>
      </c>
      <c r="C1724" s="16" t="s">
        <v>8847</v>
      </c>
      <c r="D1724" s="16" t="s">
        <v>21</v>
      </c>
      <c r="E1724" s="36" t="s">
        <v>8463</v>
      </c>
      <c r="F1724" s="16" t="s">
        <v>342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330000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6"/>
      <c r="W1724" s="16"/>
      <c r="X1724" s="16"/>
      <c r="Y1724" s="16"/>
      <c r="Z1724" s="17"/>
    </row>
    <row r="1725" spans="1:26">
      <c r="A1725" s="16" t="s">
        <v>8678</v>
      </c>
      <c r="B1725" s="16" t="s">
        <v>8256</v>
      </c>
      <c r="C1725" s="16" t="s">
        <v>8848</v>
      </c>
      <c r="D1725" s="16" t="s">
        <v>21</v>
      </c>
      <c r="E1725" s="36" t="s">
        <v>8463</v>
      </c>
      <c r="F1725" s="16" t="s">
        <v>346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360000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8679</v>
      </c>
      <c r="B1726" s="16" t="s">
        <v>8257</v>
      </c>
      <c r="C1726" s="16" t="s">
        <v>8849</v>
      </c>
      <c r="D1726" s="16" t="s">
        <v>21</v>
      </c>
      <c r="E1726" s="36" t="s">
        <v>8463</v>
      </c>
      <c r="F1726" s="16" t="s">
        <v>350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390000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W1726" s="16"/>
      <c r="Y1726" s="16"/>
      <c r="Z1726" s="17"/>
    </row>
    <row r="1727" spans="1:26">
      <c r="A1727" s="16" t="s">
        <v>8680</v>
      </c>
      <c r="B1727" s="16" t="s">
        <v>8258</v>
      </c>
      <c r="C1727" s="16" t="s">
        <v>8850</v>
      </c>
      <c r="D1727" s="16" t="s">
        <v>21</v>
      </c>
      <c r="E1727" s="36" t="s">
        <v>8463</v>
      </c>
      <c r="F1727" s="16" t="s">
        <v>352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430000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7"/>
      <c r="V1727" s="17"/>
      <c r="W1727" s="17"/>
      <c r="X1727" s="17"/>
      <c r="Y1727" s="17"/>
      <c r="Z1727" s="17"/>
    </row>
    <row r="1728" spans="1:26">
      <c r="A1728" s="16" t="s">
        <v>8681</v>
      </c>
      <c r="B1728" s="16" t="s">
        <v>8259</v>
      </c>
      <c r="C1728" s="16" t="s">
        <v>8851</v>
      </c>
      <c r="D1728" s="16" t="s">
        <v>21</v>
      </c>
      <c r="E1728" s="36" t="s">
        <v>8463</v>
      </c>
      <c r="F1728" s="16" t="s">
        <v>354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470000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8682</v>
      </c>
      <c r="B1729" s="16" t="s">
        <v>8260</v>
      </c>
      <c r="C1729" s="16" t="s">
        <v>8852</v>
      </c>
      <c r="D1729" s="16" t="s">
        <v>21</v>
      </c>
      <c r="E1729" s="36" t="s">
        <v>8463</v>
      </c>
      <c r="F1729" s="16" t="s">
        <v>356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510000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7"/>
      <c r="V1729" s="17"/>
      <c r="W1729" s="17"/>
      <c r="X1729" s="17"/>
      <c r="Y1729" s="17"/>
      <c r="Z1729" s="17"/>
    </row>
    <row r="1730" spans="1:26">
      <c r="A1730" s="16" t="s">
        <v>8683</v>
      </c>
      <c r="B1730" s="16" t="s">
        <v>8261</v>
      </c>
      <c r="C1730" s="16" t="s">
        <v>8853</v>
      </c>
      <c r="D1730" s="16" t="s">
        <v>21</v>
      </c>
      <c r="E1730" s="36" t="s">
        <v>8463</v>
      </c>
      <c r="F1730" s="16" t="s">
        <v>358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560000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8684</v>
      </c>
      <c r="B1731" s="16" t="s">
        <v>8262</v>
      </c>
      <c r="C1731" s="16" t="s">
        <v>8854</v>
      </c>
      <c r="D1731" s="16" t="s">
        <v>21</v>
      </c>
      <c r="E1731" s="36" t="s">
        <v>8463</v>
      </c>
      <c r="F1731" s="16" t="s">
        <v>360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620000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8685</v>
      </c>
      <c r="B1732" s="16" t="s">
        <v>8263</v>
      </c>
      <c r="C1732" s="16" t="s">
        <v>8855</v>
      </c>
      <c r="D1732" s="16" t="s">
        <v>21</v>
      </c>
      <c r="E1732" s="36" t="s">
        <v>8463</v>
      </c>
      <c r="F1732" s="16" t="s">
        <v>362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680000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8686</v>
      </c>
      <c r="B1733" s="16" t="s">
        <v>8264</v>
      </c>
      <c r="C1733" s="16" t="s">
        <v>8856</v>
      </c>
      <c r="D1733" s="16" t="s">
        <v>21</v>
      </c>
      <c r="E1733" s="36" t="s">
        <v>8463</v>
      </c>
      <c r="F1733" s="16" t="s">
        <v>364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750000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8687</v>
      </c>
      <c r="B1734" s="16" t="s">
        <v>8265</v>
      </c>
      <c r="C1734" s="16" t="s">
        <v>8857</v>
      </c>
      <c r="D1734" s="16" t="s">
        <v>21</v>
      </c>
      <c r="E1734" s="36" t="s">
        <v>8463</v>
      </c>
      <c r="F1734" s="16" t="s">
        <v>366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820000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8688</v>
      </c>
      <c r="B1735" s="16" t="s">
        <v>8266</v>
      </c>
      <c r="C1735" s="16" t="s">
        <v>8858</v>
      </c>
      <c r="D1735" s="16" t="s">
        <v>21</v>
      </c>
      <c r="E1735" s="36" t="s">
        <v>8463</v>
      </c>
      <c r="F1735" s="16" t="s">
        <v>368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910000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8689</v>
      </c>
      <c r="B1736" s="16" t="s">
        <v>8267</v>
      </c>
      <c r="C1736" s="16" t="s">
        <v>8859</v>
      </c>
      <c r="D1736" s="16" t="s">
        <v>21</v>
      </c>
      <c r="E1736" s="36" t="s">
        <v>8463</v>
      </c>
      <c r="F1736" s="16" t="s">
        <v>370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1000000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8690</v>
      </c>
      <c r="B1737" s="16" t="s">
        <v>8268</v>
      </c>
      <c r="C1737" s="16" t="s">
        <v>8860</v>
      </c>
      <c r="D1737" s="16" t="s">
        <v>21</v>
      </c>
      <c r="E1737" s="36" t="s">
        <v>8463</v>
      </c>
      <c r="F1737" s="16" t="s">
        <v>372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1100000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8691</v>
      </c>
      <c r="B1738" s="16" t="s">
        <v>8269</v>
      </c>
      <c r="C1738" s="16" t="s">
        <v>8861</v>
      </c>
      <c r="D1738" s="16" t="s">
        <v>21</v>
      </c>
      <c r="E1738" s="36" t="s">
        <v>8463</v>
      </c>
      <c r="F1738" s="16" t="s">
        <v>374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1200000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8692</v>
      </c>
      <c r="B1739" s="16" t="s">
        <v>8270</v>
      </c>
      <c r="C1739" s="16" t="s">
        <v>8862</v>
      </c>
      <c r="D1739" s="16" t="s">
        <v>21</v>
      </c>
      <c r="E1739" s="36" t="s">
        <v>8463</v>
      </c>
      <c r="F1739" s="16" t="s">
        <v>376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1300000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8693</v>
      </c>
      <c r="B1740" s="16" t="s">
        <v>8271</v>
      </c>
      <c r="C1740" s="16" t="s">
        <v>8863</v>
      </c>
      <c r="D1740" s="16" t="s">
        <v>21</v>
      </c>
      <c r="E1740" s="36" t="s">
        <v>8463</v>
      </c>
      <c r="F1740" s="16" t="s">
        <v>378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1500000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8694</v>
      </c>
      <c r="B1741" s="16" t="s">
        <v>8272</v>
      </c>
      <c r="C1741" s="16" t="s">
        <v>8864</v>
      </c>
      <c r="D1741" s="16" t="s">
        <v>21</v>
      </c>
      <c r="E1741" s="36" t="s">
        <v>8463</v>
      </c>
      <c r="F1741" s="16" t="s">
        <v>380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1600000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8695</v>
      </c>
      <c r="B1742" s="16" t="s">
        <v>8273</v>
      </c>
      <c r="C1742" s="16" t="s">
        <v>8865</v>
      </c>
      <c r="D1742" s="16" t="s">
        <v>21</v>
      </c>
      <c r="E1742" s="36" t="s">
        <v>8463</v>
      </c>
      <c r="F1742" s="16" t="s">
        <v>382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1800000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8696</v>
      </c>
      <c r="B1743" s="16" t="s">
        <v>8274</v>
      </c>
      <c r="C1743" s="16" t="s">
        <v>8866</v>
      </c>
      <c r="D1743" s="16" t="s">
        <v>21</v>
      </c>
      <c r="E1743" s="36" t="s">
        <v>8463</v>
      </c>
      <c r="F1743" s="16" t="s">
        <v>384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2000000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8697</v>
      </c>
      <c r="B1744" s="16" t="s">
        <v>8275</v>
      </c>
      <c r="C1744" s="16" t="s">
        <v>8867</v>
      </c>
      <c r="D1744" s="16" t="s">
        <v>21</v>
      </c>
      <c r="E1744" s="36" t="s">
        <v>8463</v>
      </c>
      <c r="F1744" s="16" t="s">
        <v>386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2200000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8698</v>
      </c>
      <c r="B1745" s="16" t="s">
        <v>8276</v>
      </c>
      <c r="C1745" s="16" t="s">
        <v>8868</v>
      </c>
      <c r="D1745" s="16" t="s">
        <v>21</v>
      </c>
      <c r="E1745" s="36" t="s">
        <v>8463</v>
      </c>
      <c r="F1745" s="16" t="s">
        <v>388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2400000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8699</v>
      </c>
      <c r="B1746" s="16" t="s">
        <v>8277</v>
      </c>
      <c r="C1746" s="16" t="s">
        <v>8869</v>
      </c>
      <c r="D1746" s="16" t="s">
        <v>21</v>
      </c>
      <c r="E1746" s="36" t="s">
        <v>8463</v>
      </c>
      <c r="F1746" s="16" t="s">
        <v>390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2700000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8700</v>
      </c>
      <c r="B1747" s="16" t="s">
        <v>8278</v>
      </c>
      <c r="C1747" s="16" t="s">
        <v>8870</v>
      </c>
      <c r="D1747" s="16" t="s">
        <v>21</v>
      </c>
      <c r="E1747" s="36" t="s">
        <v>8463</v>
      </c>
      <c r="F1747" s="16" t="s">
        <v>392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3000000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8701</v>
      </c>
      <c r="B1748" s="16" t="s">
        <v>8279</v>
      </c>
      <c r="C1748" s="16" t="s">
        <v>8871</v>
      </c>
      <c r="D1748" s="16" t="s">
        <v>21</v>
      </c>
      <c r="E1748" s="36" t="s">
        <v>8463</v>
      </c>
      <c r="F1748" s="16" t="s">
        <v>394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3300000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8702</v>
      </c>
      <c r="B1749" s="16" t="s">
        <v>8280</v>
      </c>
      <c r="C1749" s="16" t="s">
        <v>8872</v>
      </c>
      <c r="D1749" s="16" t="s">
        <v>21</v>
      </c>
      <c r="E1749" s="36" t="s">
        <v>8463</v>
      </c>
      <c r="F1749" s="16" t="s">
        <v>396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3600000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8703</v>
      </c>
      <c r="B1750" s="16" t="s">
        <v>8281</v>
      </c>
      <c r="C1750" s="16" t="s">
        <v>8873</v>
      </c>
      <c r="D1750" s="16" t="s">
        <v>21</v>
      </c>
      <c r="E1750" s="36" t="s">
        <v>8463</v>
      </c>
      <c r="F1750" s="16" t="s">
        <v>398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3900000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8704</v>
      </c>
      <c r="B1751" s="16" t="s">
        <v>8282</v>
      </c>
      <c r="C1751" s="16" t="s">
        <v>8874</v>
      </c>
      <c r="D1751" s="16" t="s">
        <v>21</v>
      </c>
      <c r="E1751" s="36" t="s">
        <v>8463</v>
      </c>
      <c r="F1751" s="16" t="s">
        <v>400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4300000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8705</v>
      </c>
      <c r="B1752" s="16" t="s">
        <v>8283</v>
      </c>
      <c r="C1752" s="16" t="s">
        <v>8875</v>
      </c>
      <c r="D1752" s="16" t="s">
        <v>21</v>
      </c>
      <c r="E1752" s="36" t="s">
        <v>8463</v>
      </c>
      <c r="F1752" s="16" t="s">
        <v>402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4700000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8706</v>
      </c>
      <c r="B1753" s="16" t="s">
        <v>8284</v>
      </c>
      <c r="C1753" s="16" t="s">
        <v>8876</v>
      </c>
      <c r="D1753" s="16" t="s">
        <v>21</v>
      </c>
      <c r="E1753" s="36" t="s">
        <v>8463</v>
      </c>
      <c r="F1753" s="16" t="s">
        <v>404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5100000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8707</v>
      </c>
      <c r="B1754" s="16" t="s">
        <v>8285</v>
      </c>
      <c r="C1754" s="16" t="s">
        <v>8877</v>
      </c>
      <c r="D1754" s="16" t="s">
        <v>21</v>
      </c>
      <c r="E1754" s="36" t="s">
        <v>8463</v>
      </c>
      <c r="F1754" s="16" t="s">
        <v>406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5600000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8708</v>
      </c>
      <c r="B1755" s="16" t="s">
        <v>8286</v>
      </c>
      <c r="C1755" s="16" t="s">
        <v>8878</v>
      </c>
      <c r="D1755" s="16" t="s">
        <v>21</v>
      </c>
      <c r="E1755" s="36" t="s">
        <v>8463</v>
      </c>
      <c r="F1755" s="16" t="s">
        <v>408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6200000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8709</v>
      </c>
      <c r="B1756" s="16" t="s">
        <v>8287</v>
      </c>
      <c r="C1756" s="16" t="s">
        <v>8879</v>
      </c>
      <c r="D1756" s="16" t="s">
        <v>21</v>
      </c>
      <c r="E1756" s="36" t="s">
        <v>8463</v>
      </c>
      <c r="F1756" s="16" t="s">
        <v>410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6800000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8710</v>
      </c>
      <c r="B1757" s="16" t="s">
        <v>8288</v>
      </c>
      <c r="C1757" s="16" t="s">
        <v>8880</v>
      </c>
      <c r="D1757" s="16" t="s">
        <v>21</v>
      </c>
      <c r="E1757" s="36" t="s">
        <v>8463</v>
      </c>
      <c r="F1757" s="16" t="s">
        <v>412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7500000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7" t="s">
        <v>8711</v>
      </c>
      <c r="B1758" s="17" t="s">
        <v>8289</v>
      </c>
      <c r="C1758" s="17" t="s">
        <v>8881</v>
      </c>
      <c r="D1758" s="17" t="s">
        <v>21</v>
      </c>
      <c r="E1758" s="37" t="s">
        <v>8463</v>
      </c>
      <c r="F1758" s="17" t="s">
        <v>414</v>
      </c>
      <c r="G1758" s="17" t="str">
        <f>Config!$B$3</f>
        <v>SCH/R_IEC.SchLib</v>
      </c>
      <c r="H1758" s="17" t="s">
        <v>420</v>
      </c>
      <c r="I1758" s="18" t="s">
        <v>7508</v>
      </c>
      <c r="J1758" s="16" t="s">
        <v>8884</v>
      </c>
      <c r="K1758" s="21">
        <v>8200000</v>
      </c>
      <c r="L1758" s="19" t="s">
        <v>8479</v>
      </c>
      <c r="M1758" s="16" t="s">
        <v>4416</v>
      </c>
      <c r="N1758" s="17"/>
      <c r="O1758" s="17"/>
      <c r="P1758" s="17"/>
      <c r="Q1758" s="17"/>
      <c r="R1758" s="17"/>
      <c r="S1758" s="17"/>
      <c r="T1758" s="17"/>
      <c r="U1758" s="17"/>
      <c r="V1758" s="17"/>
      <c r="W1758" s="17"/>
      <c r="X1758" s="17"/>
      <c r="Y1758" s="17"/>
      <c r="Z1758" s="17"/>
    </row>
    <row r="1759" spans="1:26">
      <c r="A1759" s="17" t="s">
        <v>8712</v>
      </c>
      <c r="B1759" s="17" t="s">
        <v>8290</v>
      </c>
      <c r="C1759" s="17" t="s">
        <v>8882</v>
      </c>
      <c r="D1759" s="17" t="s">
        <v>21</v>
      </c>
      <c r="E1759" s="37" t="s">
        <v>8463</v>
      </c>
      <c r="F1759" s="17" t="s">
        <v>416</v>
      </c>
      <c r="G1759" s="17" t="str">
        <f>Config!$B$3</f>
        <v>SCH/R_IEC.SchLib</v>
      </c>
      <c r="H1759" s="17" t="s">
        <v>420</v>
      </c>
      <c r="I1759" s="18" t="s">
        <v>7508</v>
      </c>
      <c r="J1759" s="16" t="s">
        <v>8884</v>
      </c>
      <c r="K1759" s="21">
        <v>9100000</v>
      </c>
      <c r="L1759" s="19" t="s">
        <v>8479</v>
      </c>
      <c r="M1759" s="16" t="s">
        <v>4416</v>
      </c>
      <c r="N1759" s="17"/>
      <c r="O1759" s="17"/>
      <c r="P1759" s="17"/>
      <c r="Q1759" s="17"/>
      <c r="R1759" s="17"/>
      <c r="S1759" s="17"/>
      <c r="T1759" s="17"/>
      <c r="U1759" s="17"/>
      <c r="V1759" s="17"/>
      <c r="W1759" s="17"/>
      <c r="X1759" s="17"/>
      <c r="Y1759" s="17"/>
      <c r="Z1759" s="17"/>
    </row>
    <row r="1760" spans="1:26">
      <c r="A1760" s="17" t="s">
        <v>8713</v>
      </c>
      <c r="B1760" s="17" t="s">
        <v>8291</v>
      </c>
      <c r="C1760" s="17" t="s">
        <v>8883</v>
      </c>
      <c r="D1760" s="17" t="s">
        <v>21</v>
      </c>
      <c r="E1760" s="37" t="s">
        <v>8463</v>
      </c>
      <c r="F1760" s="17" t="s">
        <v>418</v>
      </c>
      <c r="G1760" s="17" t="str">
        <f>Config!$B$3</f>
        <v>SCH/R_IEC.SchLib</v>
      </c>
      <c r="H1760" s="17" t="s">
        <v>420</v>
      </c>
      <c r="I1760" s="18" t="s">
        <v>7508</v>
      </c>
      <c r="J1760" s="16" t="s">
        <v>8884</v>
      </c>
      <c r="K1760" s="21">
        <v>10000000</v>
      </c>
      <c r="L1760" s="19" t="s">
        <v>8479</v>
      </c>
      <c r="M1760" s="16" t="s">
        <v>4416</v>
      </c>
      <c r="N1760" s="17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</row>
    <row r="1761" spans="1:16">
      <c r="A1761" t="s">
        <v>11702</v>
      </c>
      <c r="B1761" t="s">
        <v>11646</v>
      </c>
      <c r="C1761" t="s">
        <v>11758</v>
      </c>
      <c r="D1761" s="17" t="s">
        <v>21</v>
      </c>
      <c r="E1761" t="s">
        <v>11622</v>
      </c>
      <c r="F1761" t="s">
        <v>1118</v>
      </c>
      <c r="G1761" s="17" t="str">
        <f>Config!$B$3</f>
        <v>SCH/R_IEC.SchLib</v>
      </c>
      <c r="H1761" s="17" t="s">
        <v>420</v>
      </c>
      <c r="I1761" s="18" t="s">
        <v>7508</v>
      </c>
      <c r="J1761" t="s">
        <v>11623</v>
      </c>
      <c r="K1761" s="3">
        <v>5.0999999999999996</v>
      </c>
      <c r="L1761" t="s">
        <v>11462</v>
      </c>
      <c r="M1761" t="s">
        <v>11517</v>
      </c>
      <c r="N1761" t="s">
        <v>11567</v>
      </c>
      <c r="O1761" t="s">
        <v>26</v>
      </c>
      <c r="P1761" t="s">
        <v>11976</v>
      </c>
    </row>
    <row r="1762" spans="1:16">
      <c r="A1762" t="s">
        <v>11707</v>
      </c>
      <c r="B1762" t="s">
        <v>11651</v>
      </c>
      <c r="C1762" t="s">
        <v>11763</v>
      </c>
      <c r="D1762" s="17" t="s">
        <v>21</v>
      </c>
      <c r="E1762" t="s">
        <v>11622</v>
      </c>
      <c r="F1762" t="s">
        <v>48</v>
      </c>
      <c r="G1762" s="17" t="str">
        <f>Config!$B$3</f>
        <v>SCH/R_IEC.SchLib</v>
      </c>
      <c r="H1762" s="17" t="s">
        <v>420</v>
      </c>
      <c r="I1762" s="18" t="s">
        <v>7508</v>
      </c>
      <c r="J1762" t="s">
        <v>11623</v>
      </c>
      <c r="K1762" s="3">
        <v>5.6</v>
      </c>
      <c r="L1762" t="s">
        <v>11469</v>
      </c>
      <c r="M1762" t="s">
        <v>11517</v>
      </c>
      <c r="N1762" t="s">
        <v>11574</v>
      </c>
      <c r="O1762" t="s">
        <v>26</v>
      </c>
      <c r="P1762" t="s">
        <v>11983</v>
      </c>
    </row>
    <row r="1763" spans="1:16">
      <c r="A1763" t="s">
        <v>11703</v>
      </c>
      <c r="B1763" t="s">
        <v>11647</v>
      </c>
      <c r="C1763" t="s">
        <v>11759</v>
      </c>
      <c r="D1763" s="17" t="s">
        <v>21</v>
      </c>
      <c r="E1763" t="s">
        <v>11622</v>
      </c>
      <c r="F1763" t="s">
        <v>1130</v>
      </c>
      <c r="G1763" s="17" t="str">
        <f>Config!$B$3</f>
        <v>SCH/R_IEC.SchLib</v>
      </c>
      <c r="H1763" s="17" t="s">
        <v>420</v>
      </c>
      <c r="I1763" s="18" t="s">
        <v>7508</v>
      </c>
      <c r="J1763" t="s">
        <v>11623</v>
      </c>
      <c r="K1763" s="3">
        <v>6.2</v>
      </c>
      <c r="L1763" t="s">
        <v>11463</v>
      </c>
      <c r="M1763" t="s">
        <v>11517</v>
      </c>
      <c r="N1763" t="s">
        <v>11568</v>
      </c>
      <c r="O1763" t="s">
        <v>26</v>
      </c>
      <c r="P1763" t="s">
        <v>11977</v>
      </c>
    </row>
    <row r="1764" spans="1:16">
      <c r="A1764" t="s">
        <v>11724</v>
      </c>
      <c r="B1764" t="s">
        <v>11668</v>
      </c>
      <c r="C1764" t="s">
        <v>11780</v>
      </c>
      <c r="D1764" s="17" t="s">
        <v>21</v>
      </c>
      <c r="E1764" t="s">
        <v>11622</v>
      </c>
      <c r="F1764" t="s">
        <v>50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6.8</v>
      </c>
      <c r="L1764" t="s">
        <v>11495</v>
      </c>
      <c r="M1764" t="s">
        <v>11517</v>
      </c>
      <c r="N1764" t="s">
        <v>11600</v>
      </c>
      <c r="O1764" t="s">
        <v>26</v>
      </c>
      <c r="P1764" t="s">
        <v>12009</v>
      </c>
    </row>
    <row r="1765" spans="1:16">
      <c r="A1765" t="s">
        <v>11704</v>
      </c>
      <c r="B1765" t="s">
        <v>11648</v>
      </c>
      <c r="C1765" t="s">
        <v>11760</v>
      </c>
      <c r="D1765" s="17" t="s">
        <v>21</v>
      </c>
      <c r="E1765" t="s">
        <v>11622</v>
      </c>
      <c r="F1765" t="s">
        <v>1140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7.5</v>
      </c>
      <c r="L1765" t="s">
        <v>11464</v>
      </c>
      <c r="M1765" t="s">
        <v>11517</v>
      </c>
      <c r="N1765" t="s">
        <v>11569</v>
      </c>
      <c r="O1765" t="s">
        <v>26</v>
      </c>
      <c r="P1765" t="s">
        <v>11978</v>
      </c>
    </row>
    <row r="1766" spans="1:16">
      <c r="A1766" t="s">
        <v>11706</v>
      </c>
      <c r="B1766" t="s">
        <v>11650</v>
      </c>
      <c r="C1766" t="s">
        <v>11762</v>
      </c>
      <c r="D1766" s="17" t="s">
        <v>21</v>
      </c>
      <c r="E1766" t="s">
        <v>11622</v>
      </c>
      <c r="F1766" t="s">
        <v>52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8.1999999999999993</v>
      </c>
      <c r="L1766" t="s">
        <v>11466</v>
      </c>
      <c r="M1766" t="s">
        <v>11517</v>
      </c>
      <c r="N1766" t="s">
        <v>11571</v>
      </c>
      <c r="O1766" t="s">
        <v>26</v>
      </c>
      <c r="P1766" t="s">
        <v>11980</v>
      </c>
    </row>
    <row r="1767" spans="1:16">
      <c r="A1767" t="s">
        <v>11730</v>
      </c>
      <c r="B1767" t="s">
        <v>11674</v>
      </c>
      <c r="C1767" t="s">
        <v>11786</v>
      </c>
      <c r="D1767" s="17" t="s">
        <v>21</v>
      </c>
      <c r="E1767" t="s">
        <v>11622</v>
      </c>
      <c r="F1767" t="s">
        <v>1150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9.1</v>
      </c>
      <c r="L1767" t="s">
        <v>11507</v>
      </c>
      <c r="M1767" t="s">
        <v>11517</v>
      </c>
      <c r="N1767" t="s">
        <v>11612</v>
      </c>
      <c r="O1767" t="s">
        <v>26</v>
      </c>
      <c r="P1767" t="s">
        <v>12021</v>
      </c>
    </row>
    <row r="1768" spans="1:16">
      <c r="A1768" t="s">
        <v>11817</v>
      </c>
      <c r="B1768" t="s">
        <v>11862</v>
      </c>
      <c r="C1768" t="s">
        <v>11907</v>
      </c>
      <c r="D1768" s="17" t="s">
        <v>21</v>
      </c>
      <c r="E1768" t="s">
        <v>11622</v>
      </c>
      <c r="F1768" t="s">
        <v>54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10</v>
      </c>
      <c r="L1768" t="s">
        <v>11468</v>
      </c>
      <c r="M1768" t="s">
        <v>11517</v>
      </c>
      <c r="N1768" t="s">
        <v>11573</v>
      </c>
      <c r="O1768" t="s">
        <v>26</v>
      </c>
      <c r="P1768" t="s">
        <v>11982</v>
      </c>
    </row>
    <row r="1769" spans="1:16">
      <c r="A1769" t="s">
        <v>11834</v>
      </c>
      <c r="B1769" t="s">
        <v>11879</v>
      </c>
      <c r="C1769" t="s">
        <v>11924</v>
      </c>
      <c r="D1769" s="17" t="s">
        <v>21</v>
      </c>
      <c r="E1769" t="s">
        <v>11622</v>
      </c>
      <c r="F1769" t="s">
        <v>58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11</v>
      </c>
      <c r="L1769" t="s">
        <v>11511</v>
      </c>
      <c r="M1769" t="s">
        <v>11517</v>
      </c>
      <c r="N1769" t="s">
        <v>11616</v>
      </c>
      <c r="O1769" t="s">
        <v>26</v>
      </c>
      <c r="P1769" t="s">
        <v>12025</v>
      </c>
    </row>
    <row r="1770" spans="1:16">
      <c r="A1770" t="s">
        <v>11828</v>
      </c>
      <c r="B1770" t="s">
        <v>11873</v>
      </c>
      <c r="C1770" t="s">
        <v>11918</v>
      </c>
      <c r="D1770" s="17" t="s">
        <v>21</v>
      </c>
      <c r="E1770" t="s">
        <v>11622</v>
      </c>
      <c r="F1770" t="s">
        <v>60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12</v>
      </c>
      <c r="L1770" t="s">
        <v>11499</v>
      </c>
      <c r="M1770" t="s">
        <v>11517</v>
      </c>
      <c r="N1770" t="s">
        <v>11604</v>
      </c>
      <c r="O1770" t="s">
        <v>26</v>
      </c>
      <c r="P1770" t="s">
        <v>12013</v>
      </c>
    </row>
    <row r="1771" spans="1:16">
      <c r="A1771" t="s">
        <v>11833</v>
      </c>
      <c r="B1771" t="s">
        <v>11878</v>
      </c>
      <c r="C1771" t="s">
        <v>11923</v>
      </c>
      <c r="D1771" s="17" t="s">
        <v>21</v>
      </c>
      <c r="E1771" t="s">
        <v>11622</v>
      </c>
      <c r="F1771" t="s">
        <v>62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13</v>
      </c>
      <c r="L1771" t="s">
        <v>11508</v>
      </c>
      <c r="M1771" t="s">
        <v>11517</v>
      </c>
      <c r="N1771" t="s">
        <v>11613</v>
      </c>
      <c r="O1771" t="s">
        <v>26</v>
      </c>
      <c r="P1771" t="s">
        <v>12022</v>
      </c>
    </row>
    <row r="1772" spans="1:16">
      <c r="A1772" t="s">
        <v>11796</v>
      </c>
      <c r="B1772" t="s">
        <v>11841</v>
      </c>
      <c r="C1772" t="s">
        <v>11886</v>
      </c>
      <c r="D1772" s="17" t="s">
        <v>21</v>
      </c>
      <c r="E1772" t="s">
        <v>11622</v>
      </c>
      <c r="F1772" t="s">
        <v>64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15</v>
      </c>
      <c r="L1772" t="s">
        <v>11419</v>
      </c>
      <c r="M1772" t="s">
        <v>11517</v>
      </c>
      <c r="N1772" t="s">
        <v>11524</v>
      </c>
      <c r="O1772" t="s">
        <v>26</v>
      </c>
      <c r="P1772" t="s">
        <v>11933</v>
      </c>
    </row>
    <row r="1773" spans="1:16">
      <c r="A1773" t="s">
        <v>11801</v>
      </c>
      <c r="B1773" t="s">
        <v>11846</v>
      </c>
      <c r="C1773" t="s">
        <v>11891</v>
      </c>
      <c r="D1773" s="17" t="s">
        <v>21</v>
      </c>
      <c r="E1773" t="s">
        <v>11622</v>
      </c>
      <c r="F1773" t="s">
        <v>66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16</v>
      </c>
      <c r="L1773" t="s">
        <v>11430</v>
      </c>
      <c r="M1773" t="s">
        <v>11517</v>
      </c>
      <c r="N1773" t="s">
        <v>11535</v>
      </c>
      <c r="O1773" t="s">
        <v>26</v>
      </c>
      <c r="P1773" t="s">
        <v>11944</v>
      </c>
    </row>
    <row r="1774" spans="1:16">
      <c r="A1774" t="s">
        <v>11807</v>
      </c>
      <c r="B1774" t="s">
        <v>11852</v>
      </c>
      <c r="C1774" t="s">
        <v>11897</v>
      </c>
      <c r="D1774" s="17" t="s">
        <v>21</v>
      </c>
      <c r="E1774" t="s">
        <v>11622</v>
      </c>
      <c r="F1774" t="s">
        <v>68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18</v>
      </c>
      <c r="L1774" t="s">
        <v>11438</v>
      </c>
      <c r="M1774" t="s">
        <v>11517</v>
      </c>
      <c r="N1774" t="s">
        <v>11543</v>
      </c>
      <c r="O1774" t="s">
        <v>26</v>
      </c>
      <c r="P1774" t="s">
        <v>11952</v>
      </c>
    </row>
    <row r="1775" spans="1:16">
      <c r="A1775" t="s">
        <v>11810</v>
      </c>
      <c r="B1775" t="s">
        <v>11855</v>
      </c>
      <c r="C1775" t="s">
        <v>11900</v>
      </c>
      <c r="D1775" s="17" t="s">
        <v>21</v>
      </c>
      <c r="E1775" t="s">
        <v>11622</v>
      </c>
      <c r="F1775" t="s">
        <v>70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20</v>
      </c>
      <c r="L1775" t="s">
        <v>11449</v>
      </c>
      <c r="M1775" t="s">
        <v>11517</v>
      </c>
      <c r="N1775" t="s">
        <v>11554</v>
      </c>
      <c r="O1775" t="s">
        <v>26</v>
      </c>
      <c r="P1775" t="s">
        <v>11963</v>
      </c>
    </row>
    <row r="1776" spans="1:16">
      <c r="A1776" t="s">
        <v>11823</v>
      </c>
      <c r="B1776" t="s">
        <v>11868</v>
      </c>
      <c r="C1776" t="s">
        <v>11913</v>
      </c>
      <c r="D1776" s="17" t="s">
        <v>21</v>
      </c>
      <c r="E1776" t="s">
        <v>11622</v>
      </c>
      <c r="F1776" t="s">
        <v>72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22</v>
      </c>
      <c r="L1776" t="s">
        <v>11489</v>
      </c>
      <c r="M1776" t="s">
        <v>11517</v>
      </c>
      <c r="N1776" t="s">
        <v>11594</v>
      </c>
      <c r="O1776" t="s">
        <v>26</v>
      </c>
      <c r="P1776" t="s">
        <v>12003</v>
      </c>
    </row>
    <row r="1777" spans="1:16">
      <c r="A1777" t="s">
        <v>11832</v>
      </c>
      <c r="B1777" t="s">
        <v>11877</v>
      </c>
      <c r="C1777" t="s">
        <v>11922</v>
      </c>
      <c r="D1777" s="17" t="s">
        <v>21</v>
      </c>
      <c r="E1777" t="s">
        <v>11622</v>
      </c>
      <c r="F1777" t="s">
        <v>76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24</v>
      </c>
      <c r="L1777" t="s">
        <v>11503</v>
      </c>
      <c r="M1777" t="s">
        <v>11517</v>
      </c>
      <c r="N1777" t="s">
        <v>11608</v>
      </c>
      <c r="O1777" t="s">
        <v>26</v>
      </c>
      <c r="P1777" t="s">
        <v>12017</v>
      </c>
    </row>
    <row r="1778" spans="1:16">
      <c r="A1778" t="s">
        <v>11798</v>
      </c>
      <c r="B1778" t="s">
        <v>11843</v>
      </c>
      <c r="C1778" t="s">
        <v>11888</v>
      </c>
      <c r="D1778" s="17" t="s">
        <v>21</v>
      </c>
      <c r="E1778" t="s">
        <v>11622</v>
      </c>
      <c r="F1778" t="s">
        <v>78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27</v>
      </c>
      <c r="L1778" t="s">
        <v>11421</v>
      </c>
      <c r="M1778" t="s">
        <v>11517</v>
      </c>
      <c r="N1778" t="s">
        <v>11526</v>
      </c>
      <c r="O1778" t="s">
        <v>26</v>
      </c>
      <c r="P1778" t="s">
        <v>11935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11622</v>
      </c>
      <c r="F1779" t="s">
        <v>80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30</v>
      </c>
      <c r="L1779" t="s">
        <v>11467</v>
      </c>
      <c r="M1779" t="s">
        <v>11517</v>
      </c>
      <c r="N1779" t="s">
        <v>11572</v>
      </c>
      <c r="O1779" t="s">
        <v>26</v>
      </c>
      <c r="P1779" t="s">
        <v>11981</v>
      </c>
    </row>
    <row r="1780" spans="1:16">
      <c r="A1780" t="s">
        <v>11819</v>
      </c>
      <c r="B1780" t="s">
        <v>11864</v>
      </c>
      <c r="C1780" t="s">
        <v>11909</v>
      </c>
      <c r="D1780" s="17" t="s">
        <v>21</v>
      </c>
      <c r="E1780" t="s">
        <v>11622</v>
      </c>
      <c r="F1780" t="s">
        <v>82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33</v>
      </c>
      <c r="L1780" t="s">
        <v>11473</v>
      </c>
      <c r="M1780" t="s">
        <v>11517</v>
      </c>
      <c r="N1780" t="s">
        <v>11578</v>
      </c>
      <c r="O1780" t="s">
        <v>26</v>
      </c>
      <c r="P1780" t="s">
        <v>11987</v>
      </c>
    </row>
    <row r="1781" spans="1:16">
      <c r="A1781" t="s">
        <v>11835</v>
      </c>
      <c r="B1781" t="s">
        <v>11880</v>
      </c>
      <c r="C1781" t="s">
        <v>11925</v>
      </c>
      <c r="D1781" s="17" t="s">
        <v>21</v>
      </c>
      <c r="E1781" t="s">
        <v>11622</v>
      </c>
      <c r="F1781" t="s">
        <v>84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36</v>
      </c>
      <c r="L1781" t="s">
        <v>11512</v>
      </c>
      <c r="M1781" t="s">
        <v>11517</v>
      </c>
      <c r="N1781" t="s">
        <v>11617</v>
      </c>
      <c r="O1781" t="s">
        <v>26</v>
      </c>
      <c r="P1781" t="s">
        <v>12026</v>
      </c>
    </row>
    <row r="1782" spans="1:16">
      <c r="A1782" t="s">
        <v>11831</v>
      </c>
      <c r="B1782" t="s">
        <v>11876</v>
      </c>
      <c r="C1782" t="s">
        <v>11921</v>
      </c>
      <c r="D1782" s="17" t="s">
        <v>21</v>
      </c>
      <c r="E1782" t="s">
        <v>11622</v>
      </c>
      <c r="F1782" t="s">
        <v>86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39</v>
      </c>
      <c r="L1782" t="s">
        <v>11502</v>
      </c>
      <c r="M1782" t="s">
        <v>11517</v>
      </c>
      <c r="N1782" t="s">
        <v>11607</v>
      </c>
      <c r="O1782" t="s">
        <v>26</v>
      </c>
      <c r="P1782" t="s">
        <v>12016</v>
      </c>
    </row>
    <row r="1783" spans="1:16">
      <c r="A1783" t="s">
        <v>11814</v>
      </c>
      <c r="B1783" t="s">
        <v>11859</v>
      </c>
      <c r="C1783" t="s">
        <v>11904</v>
      </c>
      <c r="D1783" s="17" t="s">
        <v>21</v>
      </c>
      <c r="E1783" t="s">
        <v>11622</v>
      </c>
      <c r="F1783" t="s">
        <v>88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43</v>
      </c>
      <c r="L1783" t="s">
        <v>11457</v>
      </c>
      <c r="M1783" t="s">
        <v>11517</v>
      </c>
      <c r="N1783" t="s">
        <v>11562</v>
      </c>
      <c r="O1783" t="s">
        <v>26</v>
      </c>
      <c r="P1783" t="s">
        <v>11971</v>
      </c>
    </row>
    <row r="1784" spans="1:16">
      <c r="A1784" t="s">
        <v>12031</v>
      </c>
      <c r="B1784" t="s">
        <v>12032</v>
      </c>
      <c r="C1784" t="s">
        <v>12033</v>
      </c>
      <c r="D1784" s="17" t="s">
        <v>21</v>
      </c>
      <c r="E1784" t="s">
        <v>11622</v>
      </c>
      <c r="F1784" t="s">
        <v>90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47</v>
      </c>
      <c r="L1784" t="s">
        <v>11442</v>
      </c>
      <c r="M1784" t="s">
        <v>11517</v>
      </c>
      <c r="N1784" t="s">
        <v>11547</v>
      </c>
      <c r="O1784" t="s">
        <v>26</v>
      </c>
      <c r="P1784" t="s">
        <v>11956</v>
      </c>
    </row>
    <row r="1785" spans="1:16">
      <c r="A1785" t="s">
        <v>11792</v>
      </c>
      <c r="B1785" t="s">
        <v>11837</v>
      </c>
      <c r="C1785" t="s">
        <v>11882</v>
      </c>
      <c r="D1785" s="17" t="s">
        <v>21</v>
      </c>
      <c r="E1785" t="s">
        <v>11622</v>
      </c>
      <c r="F1785" t="s">
        <v>92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51</v>
      </c>
      <c r="L1785" t="s">
        <v>11413</v>
      </c>
      <c r="M1785" t="s">
        <v>11517</v>
      </c>
      <c r="N1785" t="s">
        <v>11518</v>
      </c>
      <c r="O1785" t="s">
        <v>26</v>
      </c>
      <c r="P1785" t="s">
        <v>11927</v>
      </c>
    </row>
    <row r="1786" spans="1:16">
      <c r="A1786" t="s">
        <v>12034</v>
      </c>
      <c r="B1786" t="s">
        <v>12035</v>
      </c>
      <c r="C1786" t="s">
        <v>12036</v>
      </c>
      <c r="D1786" s="17" t="s">
        <v>21</v>
      </c>
      <c r="E1786" t="s">
        <v>11622</v>
      </c>
      <c r="F1786" t="s">
        <v>94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56</v>
      </c>
      <c r="L1786" t="s">
        <v>11422</v>
      </c>
      <c r="M1786" t="s">
        <v>11517</v>
      </c>
      <c r="N1786" t="s">
        <v>11527</v>
      </c>
      <c r="O1786" t="s">
        <v>26</v>
      </c>
      <c r="P1786" t="s">
        <v>11936</v>
      </c>
    </row>
    <row r="1787" spans="1:16">
      <c r="A1787" t="s">
        <v>11793</v>
      </c>
      <c r="B1787" t="s">
        <v>11838</v>
      </c>
      <c r="C1787" t="s">
        <v>11883</v>
      </c>
      <c r="D1787" s="17" t="s">
        <v>21</v>
      </c>
      <c r="E1787" t="s">
        <v>11622</v>
      </c>
      <c r="F1787" t="s">
        <v>96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62</v>
      </c>
      <c r="L1787" t="s">
        <v>11415</v>
      </c>
      <c r="M1787" t="s">
        <v>11517</v>
      </c>
      <c r="N1787" t="s">
        <v>11520</v>
      </c>
      <c r="O1787" t="s">
        <v>26</v>
      </c>
      <c r="P1787" t="s">
        <v>11929</v>
      </c>
    </row>
    <row r="1788" spans="1:16">
      <c r="A1788" t="s">
        <v>11830</v>
      </c>
      <c r="B1788" t="s">
        <v>11875</v>
      </c>
      <c r="C1788" t="s">
        <v>11920</v>
      </c>
      <c r="D1788" s="17" t="s">
        <v>21</v>
      </c>
      <c r="E1788" t="s">
        <v>11622</v>
      </c>
      <c r="F1788" t="s">
        <v>98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68</v>
      </c>
      <c r="L1788" t="s">
        <v>11501</v>
      </c>
      <c r="M1788" t="s">
        <v>11517</v>
      </c>
      <c r="N1788" t="s">
        <v>11606</v>
      </c>
      <c r="O1788" t="s">
        <v>26</v>
      </c>
      <c r="P1788" t="s">
        <v>12015</v>
      </c>
    </row>
    <row r="1789" spans="1:16">
      <c r="A1789" t="s">
        <v>12037</v>
      </c>
      <c r="B1789" t="s">
        <v>12038</v>
      </c>
      <c r="C1789" t="s">
        <v>12039</v>
      </c>
      <c r="D1789" s="17" t="s">
        <v>21</v>
      </c>
      <c r="E1789" t="s">
        <v>11622</v>
      </c>
      <c r="F1789" t="s">
        <v>100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75</v>
      </c>
      <c r="L1789" t="s">
        <v>11443</v>
      </c>
      <c r="M1789" t="s">
        <v>11517</v>
      </c>
      <c r="N1789" t="s">
        <v>11548</v>
      </c>
      <c r="O1789" t="s">
        <v>26</v>
      </c>
      <c r="P1789" t="s">
        <v>11957</v>
      </c>
    </row>
    <row r="1790" spans="1:16">
      <c r="A1790" t="s">
        <v>11824</v>
      </c>
      <c r="B1790" t="s">
        <v>11869</v>
      </c>
      <c r="C1790" t="s">
        <v>11914</v>
      </c>
      <c r="D1790" s="17" t="s">
        <v>21</v>
      </c>
      <c r="E1790" t="s">
        <v>11622</v>
      </c>
      <c r="F1790" t="s">
        <v>102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82</v>
      </c>
      <c r="L1790" t="s">
        <v>11490</v>
      </c>
      <c r="M1790" t="s">
        <v>11517</v>
      </c>
      <c r="N1790" t="s">
        <v>11595</v>
      </c>
      <c r="O1790" t="s">
        <v>26</v>
      </c>
      <c r="P1790" t="s">
        <v>12004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11622</v>
      </c>
      <c r="F1791" t="s">
        <v>104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91</v>
      </c>
      <c r="L1791" t="s">
        <v>11500</v>
      </c>
      <c r="M1791" t="s">
        <v>11517</v>
      </c>
      <c r="N1791" t="s">
        <v>11605</v>
      </c>
      <c r="O1791" t="s">
        <v>26</v>
      </c>
      <c r="P1791" t="s">
        <v>12014</v>
      </c>
    </row>
    <row r="1792" spans="1:16">
      <c r="A1792" t="s">
        <v>11795</v>
      </c>
      <c r="B1792" t="s">
        <v>11840</v>
      </c>
      <c r="C1792" t="s">
        <v>11885</v>
      </c>
      <c r="D1792" s="17" t="s">
        <v>21</v>
      </c>
      <c r="E1792" t="s">
        <v>11622</v>
      </c>
      <c r="F1792" t="s">
        <v>106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100</v>
      </c>
      <c r="L1792" t="s">
        <v>11418</v>
      </c>
      <c r="M1792" t="s">
        <v>11517</v>
      </c>
      <c r="N1792" t="s">
        <v>11523</v>
      </c>
      <c r="O1792" t="s">
        <v>26</v>
      </c>
      <c r="P1792" t="s">
        <v>11932</v>
      </c>
    </row>
    <row r="1793" spans="1:16">
      <c r="A1793" t="s">
        <v>11802</v>
      </c>
      <c r="B1793" t="s">
        <v>11847</v>
      </c>
      <c r="C1793" t="s">
        <v>11892</v>
      </c>
      <c r="D1793" s="17" t="s">
        <v>21</v>
      </c>
      <c r="E1793" t="s">
        <v>11622</v>
      </c>
      <c r="F1793" t="s">
        <v>110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110</v>
      </c>
      <c r="L1793" t="s">
        <v>11433</v>
      </c>
      <c r="M1793" t="s">
        <v>11517</v>
      </c>
      <c r="N1793" t="s">
        <v>11538</v>
      </c>
      <c r="O1793" t="s">
        <v>26</v>
      </c>
      <c r="P1793" t="s">
        <v>11947</v>
      </c>
    </row>
    <row r="1794" spans="1:16">
      <c r="A1794" t="s">
        <v>11806</v>
      </c>
      <c r="B1794" t="s">
        <v>11851</v>
      </c>
      <c r="C1794" t="s">
        <v>11896</v>
      </c>
      <c r="D1794" s="17" t="s">
        <v>21</v>
      </c>
      <c r="E1794" t="s">
        <v>11622</v>
      </c>
      <c r="F1794" t="s">
        <v>112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120</v>
      </c>
      <c r="L1794" t="s">
        <v>11437</v>
      </c>
      <c r="M1794" t="s">
        <v>11517</v>
      </c>
      <c r="N1794" t="s">
        <v>11542</v>
      </c>
      <c r="O1794" t="s">
        <v>26</v>
      </c>
      <c r="P1794" t="s">
        <v>11951</v>
      </c>
    </row>
    <row r="1795" spans="1:16">
      <c r="A1795" t="s">
        <v>11808</v>
      </c>
      <c r="B1795" t="s">
        <v>11853</v>
      </c>
      <c r="C1795" t="s">
        <v>11898</v>
      </c>
      <c r="D1795" s="17" t="s">
        <v>21</v>
      </c>
      <c r="E1795" t="s">
        <v>11622</v>
      </c>
      <c r="F1795" t="s">
        <v>114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130</v>
      </c>
      <c r="L1795" t="s">
        <v>11446</v>
      </c>
      <c r="M1795" t="s">
        <v>11517</v>
      </c>
      <c r="N1795" t="s">
        <v>11551</v>
      </c>
      <c r="O1795" t="s">
        <v>26</v>
      </c>
      <c r="P1795" t="s">
        <v>11960</v>
      </c>
    </row>
    <row r="1796" spans="1:16">
      <c r="A1796" t="s">
        <v>11825</v>
      </c>
      <c r="B1796" t="s">
        <v>11870</v>
      </c>
      <c r="C1796" t="s">
        <v>11915</v>
      </c>
      <c r="D1796" s="17" t="s">
        <v>21</v>
      </c>
      <c r="E1796" t="s">
        <v>11622</v>
      </c>
      <c r="F1796" t="s">
        <v>116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150</v>
      </c>
      <c r="L1796" t="s">
        <v>11492</v>
      </c>
      <c r="M1796" t="s">
        <v>11517</v>
      </c>
      <c r="N1796" t="s">
        <v>11597</v>
      </c>
      <c r="O1796" t="s">
        <v>26</v>
      </c>
      <c r="P1796" t="s">
        <v>12006</v>
      </c>
    </row>
    <row r="1797" spans="1:16">
      <c r="A1797" t="s">
        <v>11809</v>
      </c>
      <c r="B1797" t="s">
        <v>11854</v>
      </c>
      <c r="C1797" t="s">
        <v>11899</v>
      </c>
      <c r="D1797" s="17" t="s">
        <v>21</v>
      </c>
      <c r="E1797" t="s">
        <v>11622</v>
      </c>
      <c r="F1797" t="s">
        <v>118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160</v>
      </c>
      <c r="L1797" t="s">
        <v>11447</v>
      </c>
      <c r="M1797" t="s">
        <v>11517</v>
      </c>
      <c r="N1797" t="s">
        <v>11552</v>
      </c>
      <c r="O1797" t="s">
        <v>26</v>
      </c>
      <c r="P1797" t="s">
        <v>11961</v>
      </c>
    </row>
    <row r="1798" spans="1:16">
      <c r="A1798" t="s">
        <v>11812</v>
      </c>
      <c r="B1798" t="s">
        <v>11857</v>
      </c>
      <c r="C1798" t="s">
        <v>11902</v>
      </c>
      <c r="D1798" s="17" t="s">
        <v>21</v>
      </c>
      <c r="E1798" t="s">
        <v>11622</v>
      </c>
      <c r="F1798" t="s">
        <v>120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180</v>
      </c>
      <c r="L1798" t="s">
        <v>11454</v>
      </c>
      <c r="M1798" t="s">
        <v>11517</v>
      </c>
      <c r="N1798" t="s">
        <v>11559</v>
      </c>
      <c r="O1798" t="s">
        <v>26</v>
      </c>
      <c r="P1798" t="s">
        <v>11968</v>
      </c>
    </row>
    <row r="1799" spans="1:16">
      <c r="A1799" t="s">
        <v>11803</v>
      </c>
      <c r="B1799" t="s">
        <v>11848</v>
      </c>
      <c r="C1799" t="s">
        <v>11893</v>
      </c>
      <c r="D1799" s="17" t="s">
        <v>21</v>
      </c>
      <c r="E1799" t="s">
        <v>11622</v>
      </c>
      <c r="F1799" t="s">
        <v>124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200</v>
      </c>
      <c r="L1799" t="s">
        <v>11434</v>
      </c>
      <c r="M1799" t="s">
        <v>11517</v>
      </c>
      <c r="N1799" t="s">
        <v>11539</v>
      </c>
      <c r="O1799" t="s">
        <v>26</v>
      </c>
      <c r="P1799" t="s">
        <v>11948</v>
      </c>
    </row>
    <row r="1800" spans="1:16">
      <c r="A1800" t="s">
        <v>11797</v>
      </c>
      <c r="B1800" t="s">
        <v>11842</v>
      </c>
      <c r="C1800" t="s">
        <v>11887</v>
      </c>
      <c r="D1800" s="17" t="s">
        <v>21</v>
      </c>
      <c r="E1800" t="s">
        <v>11622</v>
      </c>
      <c r="F1800" t="s">
        <v>126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220</v>
      </c>
      <c r="L1800" t="s">
        <v>11420</v>
      </c>
      <c r="M1800" t="s">
        <v>11517</v>
      </c>
      <c r="N1800" t="s">
        <v>11525</v>
      </c>
      <c r="O1800" t="s">
        <v>26</v>
      </c>
      <c r="P1800" t="s">
        <v>11934</v>
      </c>
    </row>
    <row r="1801" spans="1:16">
      <c r="A1801" t="s">
        <v>11794</v>
      </c>
      <c r="B1801" t="s">
        <v>11839</v>
      </c>
      <c r="C1801" t="s">
        <v>11884</v>
      </c>
      <c r="D1801" s="17" t="s">
        <v>21</v>
      </c>
      <c r="E1801" t="s">
        <v>11622</v>
      </c>
      <c r="F1801" t="s">
        <v>130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240</v>
      </c>
      <c r="L1801" t="s">
        <v>11416</v>
      </c>
      <c r="M1801" t="s">
        <v>11517</v>
      </c>
      <c r="N1801" t="s">
        <v>11521</v>
      </c>
      <c r="O1801" t="s">
        <v>26</v>
      </c>
      <c r="P1801" t="s">
        <v>11930</v>
      </c>
    </row>
    <row r="1802" spans="1:16">
      <c r="A1802" t="s">
        <v>11800</v>
      </c>
      <c r="B1802" t="s">
        <v>11845</v>
      </c>
      <c r="C1802" t="s">
        <v>11890</v>
      </c>
      <c r="D1802" s="17" t="s">
        <v>21</v>
      </c>
      <c r="E1802" t="s">
        <v>11622</v>
      </c>
      <c r="F1802" t="s">
        <v>132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270</v>
      </c>
      <c r="L1802" t="s">
        <v>11425</v>
      </c>
      <c r="M1802" t="s">
        <v>11517</v>
      </c>
      <c r="N1802" t="s">
        <v>11530</v>
      </c>
      <c r="O1802" t="s">
        <v>26</v>
      </c>
      <c r="P1802" t="s">
        <v>11939</v>
      </c>
    </row>
    <row r="1803" spans="1:16">
      <c r="A1803" t="s">
        <v>11822</v>
      </c>
      <c r="B1803" t="s">
        <v>11867</v>
      </c>
      <c r="C1803" t="s">
        <v>11912</v>
      </c>
      <c r="D1803" s="17" t="s">
        <v>21</v>
      </c>
      <c r="E1803" t="s">
        <v>11622</v>
      </c>
      <c r="F1803" t="s">
        <v>134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300</v>
      </c>
      <c r="L1803" t="s">
        <v>11488</v>
      </c>
      <c r="M1803" t="s">
        <v>11517</v>
      </c>
      <c r="N1803" t="s">
        <v>11593</v>
      </c>
      <c r="O1803" t="s">
        <v>26</v>
      </c>
      <c r="P1803" t="s">
        <v>12002</v>
      </c>
    </row>
    <row r="1804" spans="1:16">
      <c r="A1804" t="s">
        <v>11804</v>
      </c>
      <c r="B1804" t="s">
        <v>11849</v>
      </c>
      <c r="C1804" t="s">
        <v>11894</v>
      </c>
      <c r="D1804" s="17" t="s">
        <v>21</v>
      </c>
      <c r="E1804" t="s">
        <v>11622</v>
      </c>
      <c r="F1804" t="s">
        <v>138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330</v>
      </c>
      <c r="L1804" t="s">
        <v>11435</v>
      </c>
      <c r="M1804" t="s">
        <v>11517</v>
      </c>
      <c r="N1804" t="s">
        <v>11540</v>
      </c>
      <c r="O1804" t="s">
        <v>26</v>
      </c>
      <c r="P1804" t="s">
        <v>11949</v>
      </c>
    </row>
    <row r="1805" spans="1:16">
      <c r="A1805" t="s">
        <v>11813</v>
      </c>
      <c r="B1805" t="s">
        <v>11858</v>
      </c>
      <c r="C1805" t="s">
        <v>11903</v>
      </c>
      <c r="D1805" s="17" t="s">
        <v>21</v>
      </c>
      <c r="E1805" t="s">
        <v>11622</v>
      </c>
      <c r="F1805" t="s">
        <v>140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360</v>
      </c>
      <c r="L1805" t="s">
        <v>11455</v>
      </c>
      <c r="M1805" t="s">
        <v>11517</v>
      </c>
      <c r="N1805" t="s">
        <v>11560</v>
      </c>
      <c r="O1805" t="s">
        <v>26</v>
      </c>
      <c r="P1805" t="s">
        <v>11969</v>
      </c>
    </row>
    <row r="1806" spans="1:16">
      <c r="A1806" t="s">
        <v>11811</v>
      </c>
      <c r="B1806" t="s">
        <v>11856</v>
      </c>
      <c r="C1806" t="s">
        <v>11901</v>
      </c>
      <c r="D1806" s="17" t="s">
        <v>21</v>
      </c>
      <c r="E1806" t="s">
        <v>11622</v>
      </c>
      <c r="F1806" t="s">
        <v>142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390</v>
      </c>
      <c r="L1806" t="s">
        <v>11451</v>
      </c>
      <c r="M1806" t="s">
        <v>11517</v>
      </c>
      <c r="N1806" t="s">
        <v>11556</v>
      </c>
      <c r="O1806" t="s">
        <v>26</v>
      </c>
      <c r="P1806" t="s">
        <v>11965</v>
      </c>
    </row>
    <row r="1807" spans="1:16">
      <c r="A1807" t="s">
        <v>11836</v>
      </c>
      <c r="B1807" t="s">
        <v>11881</v>
      </c>
      <c r="C1807" t="s">
        <v>11926</v>
      </c>
      <c r="D1807" s="17" t="s">
        <v>21</v>
      </c>
      <c r="E1807" t="s">
        <v>11622</v>
      </c>
      <c r="F1807" t="s">
        <v>144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430</v>
      </c>
      <c r="L1807" t="s">
        <v>11516</v>
      </c>
      <c r="M1807" t="s">
        <v>11517</v>
      </c>
      <c r="N1807" t="s">
        <v>11621</v>
      </c>
      <c r="O1807" t="s">
        <v>26</v>
      </c>
      <c r="P1807" t="s">
        <v>12030</v>
      </c>
    </row>
    <row r="1808" spans="1:16">
      <c r="A1808" t="s">
        <v>11799</v>
      </c>
      <c r="B1808" t="s">
        <v>11844</v>
      </c>
      <c r="C1808" t="s">
        <v>11889</v>
      </c>
      <c r="D1808" s="17" t="s">
        <v>21</v>
      </c>
      <c r="E1808" t="s">
        <v>11622</v>
      </c>
      <c r="F1808" t="s">
        <v>146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470</v>
      </c>
      <c r="L1808" t="s">
        <v>11424</v>
      </c>
      <c r="M1808" t="s">
        <v>11517</v>
      </c>
      <c r="N1808" t="s">
        <v>11529</v>
      </c>
      <c r="O1808" t="s">
        <v>26</v>
      </c>
      <c r="P1808" t="s">
        <v>11938</v>
      </c>
    </row>
    <row r="1809" spans="1:16">
      <c r="A1809" t="s">
        <v>11815</v>
      </c>
      <c r="B1809" t="s">
        <v>11860</v>
      </c>
      <c r="C1809" t="s">
        <v>11905</v>
      </c>
      <c r="D1809" s="17" t="s">
        <v>21</v>
      </c>
      <c r="E1809" t="s">
        <v>11622</v>
      </c>
      <c r="F1809" t="s">
        <v>150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510</v>
      </c>
      <c r="L1809" t="s">
        <v>11458</v>
      </c>
      <c r="M1809" t="s">
        <v>11517</v>
      </c>
      <c r="N1809" t="s">
        <v>11563</v>
      </c>
      <c r="O1809" t="s">
        <v>26</v>
      </c>
      <c r="P1809" t="s">
        <v>11972</v>
      </c>
    </row>
    <row r="1810" spans="1:16">
      <c r="A1810" t="s">
        <v>11818</v>
      </c>
      <c r="B1810" t="s">
        <v>11863</v>
      </c>
      <c r="C1810" t="s">
        <v>11908</v>
      </c>
      <c r="D1810" s="17" t="s">
        <v>21</v>
      </c>
      <c r="E1810" t="s">
        <v>11622</v>
      </c>
      <c r="F1810" t="s">
        <v>152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560</v>
      </c>
      <c r="L1810" t="s">
        <v>11471</v>
      </c>
      <c r="M1810" t="s">
        <v>11517</v>
      </c>
      <c r="N1810" t="s">
        <v>11576</v>
      </c>
      <c r="O1810" t="s">
        <v>26</v>
      </c>
      <c r="P1810" t="s">
        <v>11985</v>
      </c>
    </row>
    <row r="1811" spans="1:16">
      <c r="A1811" t="s">
        <v>11805</v>
      </c>
      <c r="B1811" t="s">
        <v>11850</v>
      </c>
      <c r="C1811" t="s">
        <v>11895</v>
      </c>
      <c r="D1811" s="17" t="s">
        <v>21</v>
      </c>
      <c r="E1811" t="s">
        <v>11622</v>
      </c>
      <c r="F1811" t="s">
        <v>154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620</v>
      </c>
      <c r="L1811" t="s">
        <v>11436</v>
      </c>
      <c r="M1811" t="s">
        <v>11517</v>
      </c>
      <c r="N1811" t="s">
        <v>11541</v>
      </c>
      <c r="O1811" t="s">
        <v>26</v>
      </c>
      <c r="P1811" t="s">
        <v>11950</v>
      </c>
    </row>
    <row r="1812" spans="1:16">
      <c r="A1812" t="s">
        <v>11827</v>
      </c>
      <c r="B1812" t="s">
        <v>11872</v>
      </c>
      <c r="C1812" t="s">
        <v>11917</v>
      </c>
      <c r="D1812" s="17" t="s">
        <v>21</v>
      </c>
      <c r="E1812" t="s">
        <v>11622</v>
      </c>
      <c r="F1812" t="s">
        <v>156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680</v>
      </c>
      <c r="L1812" t="s">
        <v>11496</v>
      </c>
      <c r="M1812" t="s">
        <v>11517</v>
      </c>
      <c r="N1812" t="s">
        <v>11601</v>
      </c>
      <c r="O1812" t="s">
        <v>26</v>
      </c>
      <c r="P1812" t="s">
        <v>12010</v>
      </c>
    </row>
    <row r="1813" spans="1:16">
      <c r="A1813" t="s">
        <v>11821</v>
      </c>
      <c r="B1813" t="s">
        <v>11866</v>
      </c>
      <c r="C1813" t="s">
        <v>11911</v>
      </c>
      <c r="D1813" s="17" t="s">
        <v>21</v>
      </c>
      <c r="E1813" t="s">
        <v>11622</v>
      </c>
      <c r="F1813" t="s">
        <v>158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750</v>
      </c>
      <c r="L1813" t="s">
        <v>11486</v>
      </c>
      <c r="M1813" t="s">
        <v>11517</v>
      </c>
      <c r="N1813" t="s">
        <v>11591</v>
      </c>
      <c r="O1813" t="s">
        <v>26</v>
      </c>
      <c r="P1813" t="s">
        <v>12000</v>
      </c>
    </row>
    <row r="1814" spans="1:16">
      <c r="A1814" t="s">
        <v>11826</v>
      </c>
      <c r="B1814" t="s">
        <v>11871</v>
      </c>
      <c r="C1814" t="s">
        <v>11916</v>
      </c>
      <c r="D1814" s="17" t="s">
        <v>21</v>
      </c>
      <c r="E1814" t="s">
        <v>11622</v>
      </c>
      <c r="F1814" t="s">
        <v>160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820</v>
      </c>
      <c r="L1814" t="s">
        <v>11493</v>
      </c>
      <c r="M1814" t="s">
        <v>11517</v>
      </c>
      <c r="N1814" t="s">
        <v>11598</v>
      </c>
      <c r="O1814" t="s">
        <v>26</v>
      </c>
      <c r="P1814" t="s">
        <v>12007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11622</v>
      </c>
      <c r="F1815" t="s">
        <v>162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910</v>
      </c>
      <c r="L1815" t="s">
        <v>11477</v>
      </c>
      <c r="M1815" t="s">
        <v>11517</v>
      </c>
      <c r="N1815" t="s">
        <v>11582</v>
      </c>
      <c r="O1815" t="s">
        <v>26</v>
      </c>
      <c r="P1815" t="s">
        <v>11991</v>
      </c>
    </row>
    <row r="1816" spans="1:16">
      <c r="A1816" t="s">
        <v>11689</v>
      </c>
      <c r="B1816" t="s">
        <v>11633</v>
      </c>
      <c r="C1816" t="s">
        <v>11745</v>
      </c>
      <c r="D1816" s="17" t="s">
        <v>21</v>
      </c>
      <c r="E1816" t="s">
        <v>11622</v>
      </c>
      <c r="F1816" t="s">
        <v>164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1000</v>
      </c>
      <c r="L1816" t="s">
        <v>11439</v>
      </c>
      <c r="M1816" t="s">
        <v>11517</v>
      </c>
      <c r="N1816" t="s">
        <v>11544</v>
      </c>
      <c r="O1816" t="s">
        <v>26</v>
      </c>
      <c r="P1816" t="s">
        <v>11953</v>
      </c>
    </row>
    <row r="1817" spans="1:16">
      <c r="A1817" t="s">
        <v>11688</v>
      </c>
      <c r="B1817" t="s">
        <v>11632</v>
      </c>
      <c r="C1817" t="s">
        <v>11744</v>
      </c>
      <c r="D1817" s="17" t="s">
        <v>21</v>
      </c>
      <c r="E1817" t="s">
        <v>11622</v>
      </c>
      <c r="F1817" t="s">
        <v>166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1100</v>
      </c>
      <c r="L1817" t="s">
        <v>11432</v>
      </c>
      <c r="M1817" t="s">
        <v>11517</v>
      </c>
      <c r="N1817" t="s">
        <v>11537</v>
      </c>
      <c r="O1817" t="s">
        <v>26</v>
      </c>
      <c r="P1817" t="s">
        <v>11946</v>
      </c>
    </row>
    <row r="1818" spans="1:16">
      <c r="A1818" t="s">
        <v>11722</v>
      </c>
      <c r="B1818" t="s">
        <v>11666</v>
      </c>
      <c r="C1818" t="s">
        <v>11778</v>
      </c>
      <c r="D1818" s="17" t="s">
        <v>21</v>
      </c>
      <c r="E1818" t="s">
        <v>11622</v>
      </c>
      <c r="F1818" t="s">
        <v>168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1200</v>
      </c>
      <c r="L1818" t="s">
        <v>11491</v>
      </c>
      <c r="M1818" t="s">
        <v>11517</v>
      </c>
      <c r="N1818" t="s">
        <v>11596</v>
      </c>
      <c r="O1818" t="s">
        <v>26</v>
      </c>
      <c r="P1818" t="s">
        <v>12005</v>
      </c>
    </row>
    <row r="1819" spans="1:16">
      <c r="A1819" t="s">
        <v>11712</v>
      </c>
      <c r="B1819" t="s">
        <v>11656</v>
      </c>
      <c r="C1819" t="s">
        <v>11768</v>
      </c>
      <c r="D1819" s="17" t="s">
        <v>21</v>
      </c>
      <c r="E1819" t="s">
        <v>11622</v>
      </c>
      <c r="F1819" t="s">
        <v>170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1300</v>
      </c>
      <c r="L1819" t="s">
        <v>11476</v>
      </c>
      <c r="M1819" t="s">
        <v>11517</v>
      </c>
      <c r="N1819" t="s">
        <v>11581</v>
      </c>
      <c r="O1819" t="s">
        <v>26</v>
      </c>
      <c r="P1819" t="s">
        <v>11990</v>
      </c>
    </row>
    <row r="1820" spans="1:16">
      <c r="A1820" t="s">
        <v>11720</v>
      </c>
      <c r="B1820" t="s">
        <v>11664</v>
      </c>
      <c r="C1820" t="s">
        <v>11776</v>
      </c>
      <c r="D1820" s="17" t="s">
        <v>21</v>
      </c>
      <c r="E1820" t="s">
        <v>11622</v>
      </c>
      <c r="F1820" t="s">
        <v>172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1500</v>
      </c>
      <c r="L1820" t="s">
        <v>11485</v>
      </c>
      <c r="M1820" t="s">
        <v>11517</v>
      </c>
      <c r="N1820" t="s">
        <v>11590</v>
      </c>
      <c r="O1820" t="s">
        <v>26</v>
      </c>
      <c r="P1820" t="s">
        <v>11999</v>
      </c>
    </row>
    <row r="1821" spans="1:16">
      <c r="A1821" t="s">
        <v>11734</v>
      </c>
      <c r="B1821" t="s">
        <v>11678</v>
      </c>
      <c r="C1821" t="s">
        <v>11790</v>
      </c>
      <c r="D1821" s="17" t="s">
        <v>21</v>
      </c>
      <c r="E1821" t="s">
        <v>11622</v>
      </c>
      <c r="F1821" t="s">
        <v>176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1600</v>
      </c>
      <c r="L1821" t="s">
        <v>11514</v>
      </c>
      <c r="M1821" t="s">
        <v>11517</v>
      </c>
      <c r="N1821" t="s">
        <v>11619</v>
      </c>
      <c r="O1821" t="s">
        <v>26</v>
      </c>
      <c r="P1821" t="s">
        <v>12028</v>
      </c>
    </row>
    <row r="1822" spans="1:16">
      <c r="A1822" t="s">
        <v>11728</v>
      </c>
      <c r="B1822" t="s">
        <v>11672</v>
      </c>
      <c r="C1822" t="s">
        <v>11784</v>
      </c>
      <c r="D1822" s="17" t="s">
        <v>21</v>
      </c>
      <c r="E1822" t="s">
        <v>11622</v>
      </c>
      <c r="F1822" t="s">
        <v>182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1800</v>
      </c>
      <c r="L1822" t="s">
        <v>11505</v>
      </c>
      <c r="M1822" t="s">
        <v>11517</v>
      </c>
      <c r="N1822" t="s">
        <v>11610</v>
      </c>
      <c r="O1822" t="s">
        <v>26</v>
      </c>
      <c r="P1822" t="s">
        <v>12019</v>
      </c>
    </row>
    <row r="1823" spans="1:16">
      <c r="A1823" t="s">
        <v>11690</v>
      </c>
      <c r="B1823" t="s">
        <v>11634</v>
      </c>
      <c r="C1823" t="s">
        <v>11746</v>
      </c>
      <c r="D1823" s="17" t="s">
        <v>21</v>
      </c>
      <c r="E1823" t="s">
        <v>11622</v>
      </c>
      <c r="F1823" t="s">
        <v>184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2000</v>
      </c>
      <c r="L1823" t="s">
        <v>11440</v>
      </c>
      <c r="M1823" t="s">
        <v>11517</v>
      </c>
      <c r="N1823" t="s">
        <v>11545</v>
      </c>
      <c r="O1823" t="s">
        <v>26</v>
      </c>
      <c r="P1823" t="s">
        <v>11954</v>
      </c>
    </row>
    <row r="1824" spans="1:16">
      <c r="A1824" t="s">
        <v>11696</v>
      </c>
      <c r="B1824" t="s">
        <v>11640</v>
      </c>
      <c r="C1824" t="s">
        <v>11752</v>
      </c>
      <c r="D1824" s="17" t="s">
        <v>21</v>
      </c>
      <c r="E1824" t="s">
        <v>11622</v>
      </c>
      <c r="F1824" t="s">
        <v>188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2200</v>
      </c>
      <c r="L1824" t="s">
        <v>11452</v>
      </c>
      <c r="M1824" t="s">
        <v>11517</v>
      </c>
      <c r="N1824" t="s">
        <v>11557</v>
      </c>
      <c r="O1824" t="s">
        <v>26</v>
      </c>
      <c r="P1824" t="s">
        <v>11966</v>
      </c>
    </row>
    <row r="1825" spans="1:16">
      <c r="A1825" t="s">
        <v>11714</v>
      </c>
      <c r="B1825" t="s">
        <v>11658</v>
      </c>
      <c r="C1825" t="s">
        <v>11770</v>
      </c>
      <c r="D1825" s="17" t="s">
        <v>21</v>
      </c>
      <c r="E1825" t="s">
        <v>11622</v>
      </c>
      <c r="F1825" t="s">
        <v>192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2400</v>
      </c>
      <c r="L1825" t="s">
        <v>11479</v>
      </c>
      <c r="M1825" t="s">
        <v>11517</v>
      </c>
      <c r="N1825" t="s">
        <v>11584</v>
      </c>
      <c r="O1825" t="s">
        <v>26</v>
      </c>
      <c r="P1825" t="s">
        <v>11993</v>
      </c>
    </row>
    <row r="1826" spans="1:16">
      <c r="A1826" t="s">
        <v>11726</v>
      </c>
      <c r="B1826" t="s">
        <v>11670</v>
      </c>
      <c r="C1826" t="s">
        <v>11782</v>
      </c>
      <c r="D1826" s="17" t="s">
        <v>21</v>
      </c>
      <c r="E1826" t="s">
        <v>11622</v>
      </c>
      <c r="F1826" t="s">
        <v>194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2700</v>
      </c>
      <c r="L1826" t="s">
        <v>11498</v>
      </c>
      <c r="M1826" t="s">
        <v>11517</v>
      </c>
      <c r="N1826" t="s">
        <v>11603</v>
      </c>
      <c r="O1826" t="s">
        <v>26</v>
      </c>
      <c r="P1826" t="s">
        <v>12012</v>
      </c>
    </row>
    <row r="1827" spans="1:16">
      <c r="A1827" t="s">
        <v>11735</v>
      </c>
      <c r="B1827" t="s">
        <v>11679</v>
      </c>
      <c r="C1827" t="s">
        <v>11791</v>
      </c>
      <c r="D1827" s="17" t="s">
        <v>21</v>
      </c>
      <c r="E1827" t="s">
        <v>11622</v>
      </c>
      <c r="F1827" t="s">
        <v>198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3000</v>
      </c>
      <c r="L1827" t="s">
        <v>11515</v>
      </c>
      <c r="M1827" t="s">
        <v>11517</v>
      </c>
      <c r="N1827" t="s">
        <v>11620</v>
      </c>
      <c r="O1827" t="s">
        <v>26</v>
      </c>
      <c r="P1827" t="s">
        <v>12029</v>
      </c>
    </row>
    <row r="1828" spans="1:16">
      <c r="A1828" t="s">
        <v>11731</v>
      </c>
      <c r="B1828" t="s">
        <v>11675</v>
      </c>
      <c r="C1828" t="s">
        <v>11787</v>
      </c>
      <c r="D1828" s="17" t="s">
        <v>21</v>
      </c>
      <c r="E1828" t="s">
        <v>11622</v>
      </c>
      <c r="F1828" t="s">
        <v>202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3300</v>
      </c>
      <c r="L1828" t="s">
        <v>11509</v>
      </c>
      <c r="M1828" t="s">
        <v>11517</v>
      </c>
      <c r="N1828" t="s">
        <v>11614</v>
      </c>
      <c r="O1828" t="s">
        <v>26</v>
      </c>
      <c r="P1828" t="s">
        <v>12023</v>
      </c>
    </row>
    <row r="1829" spans="1:16">
      <c r="A1829" t="s">
        <v>11710</v>
      </c>
      <c r="B1829" t="s">
        <v>11654</v>
      </c>
      <c r="C1829" t="s">
        <v>11766</v>
      </c>
      <c r="D1829" s="17" t="s">
        <v>21</v>
      </c>
      <c r="E1829" t="s">
        <v>11622</v>
      </c>
      <c r="F1829" t="s">
        <v>204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3600</v>
      </c>
      <c r="L1829" t="s">
        <v>11474</v>
      </c>
      <c r="M1829" t="s">
        <v>11517</v>
      </c>
      <c r="N1829" t="s">
        <v>11579</v>
      </c>
      <c r="O1829" t="s">
        <v>26</v>
      </c>
      <c r="P1829" t="s">
        <v>11988</v>
      </c>
    </row>
    <row r="1830" spans="1:16">
      <c r="A1830" t="s">
        <v>11684</v>
      </c>
      <c r="B1830" t="s">
        <v>11628</v>
      </c>
      <c r="C1830" t="s">
        <v>11740</v>
      </c>
      <c r="D1830" s="17" t="s">
        <v>21</v>
      </c>
      <c r="E1830" t="s">
        <v>11622</v>
      </c>
      <c r="F1830" t="s">
        <v>206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3900</v>
      </c>
      <c r="L1830" t="s">
        <v>11427</v>
      </c>
      <c r="M1830" t="s">
        <v>11517</v>
      </c>
      <c r="N1830" t="s">
        <v>11532</v>
      </c>
      <c r="O1830" t="s">
        <v>26</v>
      </c>
      <c r="P1830" t="s">
        <v>11941</v>
      </c>
    </row>
    <row r="1831" spans="1:16">
      <c r="A1831" t="s">
        <v>11717</v>
      </c>
      <c r="B1831" t="s">
        <v>11661</v>
      </c>
      <c r="C1831" t="s">
        <v>11773</v>
      </c>
      <c r="D1831" s="17" t="s">
        <v>21</v>
      </c>
      <c r="E1831" t="s">
        <v>11622</v>
      </c>
      <c r="F1831" t="s">
        <v>208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4300</v>
      </c>
      <c r="L1831" t="s">
        <v>11482</v>
      </c>
      <c r="M1831" t="s">
        <v>11517</v>
      </c>
      <c r="N1831" t="s">
        <v>11587</v>
      </c>
      <c r="O1831" t="s">
        <v>26</v>
      </c>
      <c r="P1831" t="s">
        <v>11996</v>
      </c>
    </row>
    <row r="1832" spans="1:16">
      <c r="A1832" t="s">
        <v>11692</v>
      </c>
      <c r="B1832" t="s">
        <v>11636</v>
      </c>
      <c r="C1832" t="s">
        <v>11748</v>
      </c>
      <c r="D1832" s="17" t="s">
        <v>21</v>
      </c>
      <c r="E1832" t="s">
        <v>11622</v>
      </c>
      <c r="F1832" t="s">
        <v>210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4700</v>
      </c>
      <c r="L1832" t="s">
        <v>11444</v>
      </c>
      <c r="M1832" t="s">
        <v>11517</v>
      </c>
      <c r="N1832" t="s">
        <v>11549</v>
      </c>
      <c r="O1832" t="s">
        <v>26</v>
      </c>
      <c r="P1832" t="s">
        <v>11958</v>
      </c>
    </row>
    <row r="1833" spans="1:16">
      <c r="A1833" t="s">
        <v>11698</v>
      </c>
      <c r="B1833" t="s">
        <v>11642</v>
      </c>
      <c r="C1833" t="s">
        <v>11754</v>
      </c>
      <c r="D1833" s="17" t="s">
        <v>21</v>
      </c>
      <c r="E1833" t="s">
        <v>11622</v>
      </c>
      <c r="F1833" t="s">
        <v>214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5100</v>
      </c>
      <c r="L1833" t="s">
        <v>11456</v>
      </c>
      <c r="M1833" t="s">
        <v>11517</v>
      </c>
      <c r="N1833" t="s">
        <v>11561</v>
      </c>
      <c r="O1833" t="s">
        <v>26</v>
      </c>
      <c r="P1833" t="s">
        <v>11970</v>
      </c>
    </row>
    <row r="1834" spans="1:16">
      <c r="A1834" t="s">
        <v>11685</v>
      </c>
      <c r="B1834" t="s">
        <v>11629</v>
      </c>
      <c r="C1834" t="s">
        <v>11741</v>
      </c>
      <c r="D1834" s="17" t="s">
        <v>21</v>
      </c>
      <c r="E1834" t="s">
        <v>11622</v>
      </c>
      <c r="F1834" t="s">
        <v>216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5600</v>
      </c>
      <c r="L1834" t="s">
        <v>11428</v>
      </c>
      <c r="M1834" t="s">
        <v>11517</v>
      </c>
      <c r="N1834" t="s">
        <v>11533</v>
      </c>
      <c r="O1834" t="s">
        <v>26</v>
      </c>
      <c r="P1834" t="s">
        <v>11942</v>
      </c>
    </row>
    <row r="1835" spans="1:16">
      <c r="A1835" t="s">
        <v>11711</v>
      </c>
      <c r="B1835" t="s">
        <v>11655</v>
      </c>
      <c r="C1835" t="s">
        <v>11767</v>
      </c>
      <c r="D1835" s="17" t="s">
        <v>21</v>
      </c>
      <c r="E1835" t="s">
        <v>11622</v>
      </c>
      <c r="F1835" t="s">
        <v>218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6200</v>
      </c>
      <c r="L1835" t="s">
        <v>11475</v>
      </c>
      <c r="M1835" t="s">
        <v>11517</v>
      </c>
      <c r="N1835" t="s">
        <v>11580</v>
      </c>
      <c r="O1835" t="s">
        <v>26</v>
      </c>
      <c r="P1835" t="s">
        <v>11989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11622</v>
      </c>
      <c r="F1836" t="s">
        <v>220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6800</v>
      </c>
      <c r="L1836" t="s">
        <v>11441</v>
      </c>
      <c r="M1836" t="s">
        <v>11517</v>
      </c>
      <c r="N1836" t="s">
        <v>11546</v>
      </c>
      <c r="O1836" t="s">
        <v>26</v>
      </c>
      <c r="P1836" t="s">
        <v>11955</v>
      </c>
    </row>
    <row r="1837" spans="1:16">
      <c r="A1837" t="s">
        <v>11721</v>
      </c>
      <c r="B1837" t="s">
        <v>11665</v>
      </c>
      <c r="C1837" t="s">
        <v>11777</v>
      </c>
      <c r="D1837" s="17" t="s">
        <v>21</v>
      </c>
      <c r="E1837" t="s">
        <v>11622</v>
      </c>
      <c r="F1837" t="s">
        <v>222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7500</v>
      </c>
      <c r="L1837" t="s">
        <v>11487</v>
      </c>
      <c r="M1837" t="s">
        <v>11517</v>
      </c>
      <c r="N1837" t="s">
        <v>11592</v>
      </c>
      <c r="O1837" t="s">
        <v>26</v>
      </c>
      <c r="P1837" t="s">
        <v>12001</v>
      </c>
    </row>
    <row r="1838" spans="1:16">
      <c r="A1838" t="s">
        <v>11683</v>
      </c>
      <c r="B1838" t="s">
        <v>11627</v>
      </c>
      <c r="C1838" t="s">
        <v>11739</v>
      </c>
      <c r="D1838" s="17" t="s">
        <v>21</v>
      </c>
      <c r="E1838" t="s">
        <v>11622</v>
      </c>
      <c r="F1838" t="s">
        <v>224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8200</v>
      </c>
      <c r="L1838" t="s">
        <v>11426</v>
      </c>
      <c r="M1838" t="s">
        <v>11517</v>
      </c>
      <c r="N1838" t="s">
        <v>11531</v>
      </c>
      <c r="O1838" t="s">
        <v>26</v>
      </c>
      <c r="P1838" t="s">
        <v>11940</v>
      </c>
    </row>
    <row r="1839" spans="1:16">
      <c r="A1839" t="s">
        <v>11718</v>
      </c>
      <c r="B1839" t="s">
        <v>11662</v>
      </c>
      <c r="C1839" t="s">
        <v>11774</v>
      </c>
      <c r="D1839" s="17" t="s">
        <v>21</v>
      </c>
      <c r="E1839" t="s">
        <v>11622</v>
      </c>
      <c r="F1839" t="s">
        <v>226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9100</v>
      </c>
      <c r="L1839" t="s">
        <v>11483</v>
      </c>
      <c r="M1839" t="s">
        <v>11517</v>
      </c>
      <c r="N1839" t="s">
        <v>11588</v>
      </c>
      <c r="O1839" t="s">
        <v>26</v>
      </c>
      <c r="P1839" t="s">
        <v>11997</v>
      </c>
    </row>
    <row r="1840" spans="1:16">
      <c r="A1840" t="s">
        <v>11701</v>
      </c>
      <c r="B1840" t="s">
        <v>11645</v>
      </c>
      <c r="C1840" t="s">
        <v>11757</v>
      </c>
      <c r="D1840" s="17" t="s">
        <v>21</v>
      </c>
      <c r="E1840" t="s">
        <v>11622</v>
      </c>
      <c r="F1840" t="s">
        <v>230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10000</v>
      </c>
      <c r="L1840" t="s">
        <v>11461</v>
      </c>
      <c r="M1840" t="s">
        <v>11517</v>
      </c>
      <c r="N1840" t="s">
        <v>11566</v>
      </c>
      <c r="O1840" t="s">
        <v>26</v>
      </c>
      <c r="P1840" t="s">
        <v>11975</v>
      </c>
    </row>
    <row r="1841" spans="1:16">
      <c r="A1841" t="s">
        <v>11716</v>
      </c>
      <c r="B1841" t="s">
        <v>11660</v>
      </c>
      <c r="C1841" t="s">
        <v>11772</v>
      </c>
      <c r="D1841" s="17" t="s">
        <v>21</v>
      </c>
      <c r="E1841" t="s">
        <v>11622</v>
      </c>
      <c r="F1841" t="s">
        <v>234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11000</v>
      </c>
      <c r="L1841" t="s">
        <v>11481</v>
      </c>
      <c r="M1841" t="s">
        <v>11517</v>
      </c>
      <c r="N1841" t="s">
        <v>11586</v>
      </c>
      <c r="O1841" t="s">
        <v>26</v>
      </c>
      <c r="P1841" t="s">
        <v>11995</v>
      </c>
    </row>
    <row r="1842" spans="1:16">
      <c r="A1842" t="s">
        <v>11693</v>
      </c>
      <c r="B1842" t="s">
        <v>11637</v>
      </c>
      <c r="C1842" t="s">
        <v>11749</v>
      </c>
      <c r="D1842" s="17" t="s">
        <v>21</v>
      </c>
      <c r="E1842" t="s">
        <v>11622</v>
      </c>
      <c r="F1842" t="s">
        <v>236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12000</v>
      </c>
      <c r="L1842" t="s">
        <v>11445</v>
      </c>
      <c r="M1842" t="s">
        <v>11517</v>
      </c>
      <c r="N1842" t="s">
        <v>11550</v>
      </c>
      <c r="O1842" t="s">
        <v>26</v>
      </c>
      <c r="P1842" t="s">
        <v>11959</v>
      </c>
    </row>
    <row r="1843" spans="1:16">
      <c r="A1843" t="s">
        <v>11715</v>
      </c>
      <c r="B1843" t="s">
        <v>11659</v>
      </c>
      <c r="C1843" t="s">
        <v>11771</v>
      </c>
      <c r="D1843" s="17" t="s">
        <v>21</v>
      </c>
      <c r="E1843" t="s">
        <v>11622</v>
      </c>
      <c r="F1843" t="s">
        <v>240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13000</v>
      </c>
      <c r="L1843" t="s">
        <v>11480</v>
      </c>
      <c r="M1843" t="s">
        <v>11517</v>
      </c>
      <c r="N1843" t="s">
        <v>11585</v>
      </c>
      <c r="O1843" t="s">
        <v>26</v>
      </c>
      <c r="P1843" t="s">
        <v>11994</v>
      </c>
    </row>
    <row r="1844" spans="1:16">
      <c r="A1844" t="s">
        <v>11695</v>
      </c>
      <c r="B1844" t="s">
        <v>11639</v>
      </c>
      <c r="C1844" t="s">
        <v>11751</v>
      </c>
      <c r="D1844" s="17" t="s">
        <v>21</v>
      </c>
      <c r="E1844" t="s">
        <v>11622</v>
      </c>
      <c r="F1844" t="s">
        <v>244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15000</v>
      </c>
      <c r="L1844" t="s">
        <v>11450</v>
      </c>
      <c r="M1844" t="s">
        <v>11517</v>
      </c>
      <c r="N1844" t="s">
        <v>11555</v>
      </c>
      <c r="O1844" t="s">
        <v>26</v>
      </c>
      <c r="P1844" t="s">
        <v>11964</v>
      </c>
    </row>
    <row r="1845" spans="1:16">
      <c r="A1845" t="s">
        <v>11727</v>
      </c>
      <c r="B1845" t="s">
        <v>11671</v>
      </c>
      <c r="C1845" t="s">
        <v>11783</v>
      </c>
      <c r="D1845" s="17" t="s">
        <v>21</v>
      </c>
      <c r="E1845" t="s">
        <v>11622</v>
      </c>
      <c r="F1845" t="s">
        <v>248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16000</v>
      </c>
      <c r="L1845" t="s">
        <v>11504</v>
      </c>
      <c r="M1845" t="s">
        <v>11517</v>
      </c>
      <c r="N1845" t="s">
        <v>11609</v>
      </c>
      <c r="O1845" t="s">
        <v>26</v>
      </c>
      <c r="P1845" t="s">
        <v>12018</v>
      </c>
    </row>
    <row r="1846" spans="1:16">
      <c r="A1846" t="s">
        <v>11680</v>
      </c>
      <c r="B1846" t="s">
        <v>11624</v>
      </c>
      <c r="C1846" t="s">
        <v>11736</v>
      </c>
      <c r="D1846" s="17" t="s">
        <v>21</v>
      </c>
      <c r="E1846" t="s">
        <v>11622</v>
      </c>
      <c r="F1846" t="s">
        <v>252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18000</v>
      </c>
      <c r="L1846" t="s">
        <v>11414</v>
      </c>
      <c r="M1846" t="s">
        <v>11517</v>
      </c>
      <c r="N1846" t="s">
        <v>11519</v>
      </c>
      <c r="O1846" t="s">
        <v>26</v>
      </c>
      <c r="P1846" t="s">
        <v>11928</v>
      </c>
    </row>
    <row r="1847" spans="1:16">
      <c r="A1847" t="s">
        <v>11697</v>
      </c>
      <c r="B1847" t="s">
        <v>11641</v>
      </c>
      <c r="C1847" t="s">
        <v>11753</v>
      </c>
      <c r="D1847" s="17" t="s">
        <v>21</v>
      </c>
      <c r="E1847" t="s">
        <v>11622</v>
      </c>
      <c r="F1847" t="s">
        <v>256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20000</v>
      </c>
      <c r="L1847" t="s">
        <v>11453</v>
      </c>
      <c r="M1847" t="s">
        <v>11517</v>
      </c>
      <c r="N1847" t="s">
        <v>11558</v>
      </c>
      <c r="O1847" t="s">
        <v>26</v>
      </c>
      <c r="P1847" t="s">
        <v>11967</v>
      </c>
    </row>
    <row r="1848" spans="1:16">
      <c r="A1848" t="s">
        <v>11719</v>
      </c>
      <c r="B1848" t="s">
        <v>11663</v>
      </c>
      <c r="C1848" t="s">
        <v>11775</v>
      </c>
      <c r="D1848" s="17" t="s">
        <v>21</v>
      </c>
      <c r="E1848" t="s">
        <v>11622</v>
      </c>
      <c r="F1848" t="s">
        <v>258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22000</v>
      </c>
      <c r="L1848" t="s">
        <v>11484</v>
      </c>
      <c r="M1848" t="s">
        <v>11517</v>
      </c>
      <c r="N1848" t="s">
        <v>11589</v>
      </c>
      <c r="O1848" t="s">
        <v>26</v>
      </c>
      <c r="P1848" t="s">
        <v>11998</v>
      </c>
    </row>
    <row r="1849" spans="1:16">
      <c r="A1849" t="s">
        <v>11709</v>
      </c>
      <c r="B1849" t="s">
        <v>11653</v>
      </c>
      <c r="C1849" t="s">
        <v>11765</v>
      </c>
      <c r="D1849" s="17" t="s">
        <v>21</v>
      </c>
      <c r="E1849" t="s">
        <v>11622</v>
      </c>
      <c r="F1849" t="s">
        <v>260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24000</v>
      </c>
      <c r="L1849" t="s">
        <v>11472</v>
      </c>
      <c r="M1849" t="s">
        <v>11517</v>
      </c>
      <c r="N1849" t="s">
        <v>11577</v>
      </c>
      <c r="O1849" t="s">
        <v>26</v>
      </c>
      <c r="P1849" t="s">
        <v>11986</v>
      </c>
    </row>
    <row r="1850" spans="1:16">
      <c r="A1850" t="s">
        <v>11705</v>
      </c>
      <c r="B1850" t="s">
        <v>11649</v>
      </c>
      <c r="C1850" t="s">
        <v>11761</v>
      </c>
      <c r="D1850" s="17" t="s">
        <v>21</v>
      </c>
      <c r="E1850" t="s">
        <v>11622</v>
      </c>
      <c r="F1850" t="s">
        <v>264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27000</v>
      </c>
      <c r="L1850" t="s">
        <v>11465</v>
      </c>
      <c r="M1850" t="s">
        <v>11517</v>
      </c>
      <c r="N1850" t="s">
        <v>11570</v>
      </c>
      <c r="O1850" t="s">
        <v>26</v>
      </c>
      <c r="P1850" t="s">
        <v>11979</v>
      </c>
    </row>
    <row r="1851" spans="1:16">
      <c r="A1851" t="s">
        <v>11699</v>
      </c>
      <c r="B1851" t="s">
        <v>11643</v>
      </c>
      <c r="C1851" t="s">
        <v>11755</v>
      </c>
      <c r="D1851" s="17" t="s">
        <v>21</v>
      </c>
      <c r="E1851" t="s">
        <v>11622</v>
      </c>
      <c r="F1851" t="s">
        <v>266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30000</v>
      </c>
      <c r="L1851" t="s">
        <v>11459</v>
      </c>
      <c r="M1851" t="s">
        <v>11517</v>
      </c>
      <c r="N1851" t="s">
        <v>11564</v>
      </c>
      <c r="O1851" t="s">
        <v>26</v>
      </c>
      <c r="P1851" t="s">
        <v>11973</v>
      </c>
    </row>
    <row r="1852" spans="1:16">
      <c r="A1852" t="s">
        <v>11687</v>
      </c>
      <c r="B1852" t="s">
        <v>11631</v>
      </c>
      <c r="C1852" t="s">
        <v>11743</v>
      </c>
      <c r="D1852" s="17" t="s">
        <v>21</v>
      </c>
      <c r="E1852" t="s">
        <v>11622</v>
      </c>
      <c r="F1852" t="s">
        <v>268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33000</v>
      </c>
      <c r="L1852" t="s">
        <v>11431</v>
      </c>
      <c r="M1852" t="s">
        <v>11517</v>
      </c>
      <c r="N1852" t="s">
        <v>11536</v>
      </c>
      <c r="O1852" t="s">
        <v>26</v>
      </c>
      <c r="P1852" t="s">
        <v>11945</v>
      </c>
    </row>
    <row r="1853" spans="1:16">
      <c r="A1853" t="s">
        <v>11733</v>
      </c>
      <c r="B1853" t="s">
        <v>11677</v>
      </c>
      <c r="C1853" t="s">
        <v>11789</v>
      </c>
      <c r="D1853" s="17" t="s">
        <v>21</v>
      </c>
      <c r="E1853" t="s">
        <v>11622</v>
      </c>
      <c r="F1853" t="s">
        <v>270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36000</v>
      </c>
      <c r="L1853" t="s">
        <v>11513</v>
      </c>
      <c r="M1853" t="s">
        <v>11517</v>
      </c>
      <c r="N1853" t="s">
        <v>11618</v>
      </c>
      <c r="O1853" t="s">
        <v>26</v>
      </c>
      <c r="P1853" t="s">
        <v>12027</v>
      </c>
    </row>
    <row r="1854" spans="1:16">
      <c r="A1854" t="s">
        <v>11682</v>
      </c>
      <c r="B1854" t="s">
        <v>11626</v>
      </c>
      <c r="C1854" t="s">
        <v>11738</v>
      </c>
      <c r="D1854" s="17" t="s">
        <v>21</v>
      </c>
      <c r="E1854" t="s">
        <v>11622</v>
      </c>
      <c r="F1854" t="s">
        <v>274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39000</v>
      </c>
      <c r="L1854" t="s">
        <v>11423</v>
      </c>
      <c r="M1854" t="s">
        <v>11517</v>
      </c>
      <c r="N1854" t="s">
        <v>11528</v>
      </c>
      <c r="O1854" t="s">
        <v>26</v>
      </c>
      <c r="P1854" t="s">
        <v>11937</v>
      </c>
    </row>
    <row r="1855" spans="1:16">
      <c r="A1855" t="s">
        <v>11725</v>
      </c>
      <c r="B1855" t="s">
        <v>11669</v>
      </c>
      <c r="C1855" t="s">
        <v>11781</v>
      </c>
      <c r="D1855" s="17" t="s">
        <v>21</v>
      </c>
      <c r="E1855" t="s">
        <v>11622</v>
      </c>
      <c r="F1855" t="s">
        <v>278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43000</v>
      </c>
      <c r="L1855" t="s">
        <v>11497</v>
      </c>
      <c r="M1855" t="s">
        <v>11517</v>
      </c>
      <c r="N1855" t="s">
        <v>11602</v>
      </c>
      <c r="O1855" t="s">
        <v>26</v>
      </c>
      <c r="P1855" t="s">
        <v>12011</v>
      </c>
    </row>
    <row r="1856" spans="1:16">
      <c r="A1856" t="s">
        <v>11681</v>
      </c>
      <c r="B1856" t="s">
        <v>11625</v>
      </c>
      <c r="C1856" t="s">
        <v>11737</v>
      </c>
      <c r="D1856" s="17" t="s">
        <v>21</v>
      </c>
      <c r="E1856" t="s">
        <v>11622</v>
      </c>
      <c r="F1856" t="s">
        <v>280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47000</v>
      </c>
      <c r="L1856" t="s">
        <v>11417</v>
      </c>
      <c r="M1856" t="s">
        <v>11517</v>
      </c>
      <c r="N1856" t="s">
        <v>11522</v>
      </c>
      <c r="O1856" t="s">
        <v>26</v>
      </c>
      <c r="P1856" t="s">
        <v>11931</v>
      </c>
    </row>
    <row r="1857" spans="1:16">
      <c r="A1857" t="s">
        <v>11708</v>
      </c>
      <c r="B1857" t="s">
        <v>11652</v>
      </c>
      <c r="C1857" t="s">
        <v>11764</v>
      </c>
      <c r="D1857" s="17" t="s">
        <v>21</v>
      </c>
      <c r="E1857" t="s">
        <v>11622</v>
      </c>
      <c r="F1857" t="s">
        <v>284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51000</v>
      </c>
      <c r="L1857" t="s">
        <v>11470</v>
      </c>
      <c r="M1857" t="s">
        <v>11517</v>
      </c>
      <c r="N1857" t="s">
        <v>11575</v>
      </c>
      <c r="O1857" t="s">
        <v>26</v>
      </c>
      <c r="P1857" t="s">
        <v>11984</v>
      </c>
    </row>
    <row r="1858" spans="1:16">
      <c r="A1858" t="s">
        <v>11700</v>
      </c>
      <c r="B1858" t="s">
        <v>11644</v>
      </c>
      <c r="C1858" t="s">
        <v>11756</v>
      </c>
      <c r="D1858" s="17" t="s">
        <v>21</v>
      </c>
      <c r="E1858" t="s">
        <v>11622</v>
      </c>
      <c r="F1858" t="s">
        <v>288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56000</v>
      </c>
      <c r="L1858" t="s">
        <v>11460</v>
      </c>
      <c r="M1858" t="s">
        <v>11517</v>
      </c>
      <c r="N1858" t="s">
        <v>11565</v>
      </c>
      <c r="O1858" t="s">
        <v>26</v>
      </c>
      <c r="P1858" t="s">
        <v>11974</v>
      </c>
    </row>
    <row r="1859" spans="1:16">
      <c r="A1859" t="s">
        <v>11713</v>
      </c>
      <c r="B1859" t="s">
        <v>11657</v>
      </c>
      <c r="C1859" t="s">
        <v>11769</v>
      </c>
      <c r="D1859" s="17" t="s">
        <v>21</v>
      </c>
      <c r="E1859" t="s">
        <v>11622</v>
      </c>
      <c r="F1859" t="s">
        <v>292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62000</v>
      </c>
      <c r="L1859" t="s">
        <v>11478</v>
      </c>
      <c r="M1859" t="s">
        <v>11517</v>
      </c>
      <c r="N1859" t="s">
        <v>11583</v>
      </c>
      <c r="O1859" t="s">
        <v>26</v>
      </c>
      <c r="P1859" t="s">
        <v>11992</v>
      </c>
    </row>
    <row r="1860" spans="1:16">
      <c r="A1860" t="s">
        <v>11694</v>
      </c>
      <c r="B1860" t="s">
        <v>11638</v>
      </c>
      <c r="C1860" t="s">
        <v>11750</v>
      </c>
      <c r="D1860" s="17" t="s">
        <v>21</v>
      </c>
      <c r="E1860" t="s">
        <v>11622</v>
      </c>
      <c r="F1860" t="s">
        <v>296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68000</v>
      </c>
      <c r="L1860" t="s">
        <v>11448</v>
      </c>
      <c r="M1860" t="s">
        <v>11517</v>
      </c>
      <c r="N1860" t="s">
        <v>11553</v>
      </c>
      <c r="O1860" t="s">
        <v>26</v>
      </c>
      <c r="P1860" t="s">
        <v>11962</v>
      </c>
    </row>
    <row r="1861" spans="1:16">
      <c r="A1861" t="s">
        <v>11723</v>
      </c>
      <c r="B1861" t="s">
        <v>11667</v>
      </c>
      <c r="C1861" t="s">
        <v>11779</v>
      </c>
      <c r="D1861" s="17" t="s">
        <v>21</v>
      </c>
      <c r="E1861" t="s">
        <v>11622</v>
      </c>
      <c r="F1861" t="s">
        <v>300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75000</v>
      </c>
      <c r="L1861" t="s">
        <v>11494</v>
      </c>
      <c r="M1861" t="s">
        <v>11517</v>
      </c>
      <c r="N1861" t="s">
        <v>11599</v>
      </c>
      <c r="O1861" t="s">
        <v>26</v>
      </c>
      <c r="P1861" t="s">
        <v>12008</v>
      </c>
    </row>
    <row r="1862" spans="1:16">
      <c r="A1862" t="s">
        <v>11732</v>
      </c>
      <c r="B1862" t="s">
        <v>11676</v>
      </c>
      <c r="C1862" t="s">
        <v>11788</v>
      </c>
      <c r="D1862" s="17" t="s">
        <v>21</v>
      </c>
      <c r="E1862" t="s">
        <v>11622</v>
      </c>
      <c r="F1862" t="s">
        <v>302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82000</v>
      </c>
      <c r="L1862" t="s">
        <v>11510</v>
      </c>
      <c r="M1862" t="s">
        <v>11517</v>
      </c>
      <c r="N1862" t="s">
        <v>11615</v>
      </c>
      <c r="O1862" t="s">
        <v>26</v>
      </c>
      <c r="P1862" t="s">
        <v>12024</v>
      </c>
    </row>
    <row r="1863" spans="1:16">
      <c r="A1863" t="s">
        <v>11729</v>
      </c>
      <c r="B1863" t="s">
        <v>11673</v>
      </c>
      <c r="C1863" t="s">
        <v>11785</v>
      </c>
      <c r="D1863" s="17" t="s">
        <v>21</v>
      </c>
      <c r="E1863" t="s">
        <v>11622</v>
      </c>
      <c r="F1863" t="s">
        <v>304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91000</v>
      </c>
      <c r="L1863" t="s">
        <v>11506</v>
      </c>
      <c r="M1863" t="s">
        <v>11517</v>
      </c>
      <c r="N1863" t="s">
        <v>11611</v>
      </c>
      <c r="O1863" t="s">
        <v>26</v>
      </c>
      <c r="P1863" t="s">
        <v>12020</v>
      </c>
    </row>
    <row r="1864" spans="1:16">
      <c r="A1864" t="s">
        <v>11686</v>
      </c>
      <c r="B1864" t="s">
        <v>11630</v>
      </c>
      <c r="C1864" t="s">
        <v>11742</v>
      </c>
      <c r="D1864" s="17" t="s">
        <v>21</v>
      </c>
      <c r="E1864" t="s">
        <v>11622</v>
      </c>
      <c r="F1864" t="s">
        <v>306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100000</v>
      </c>
      <c r="L1864" t="s">
        <v>11429</v>
      </c>
      <c r="M1864" t="s">
        <v>11517</v>
      </c>
      <c r="N1864" t="s">
        <v>11534</v>
      </c>
      <c r="O1864" t="s">
        <v>26</v>
      </c>
      <c r="P1864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0" r:id="rId1" display="https://www.lcsc.com/brand-detail/111.html" xr:uid="{D1F73D38-97E7-4193-911A-B7DA160312CB}"/>
    <hyperlink ref="L1372" r:id="rId2" xr:uid="{AC285E63-2C6B-4B42-AB35-DC4C22C3409A}"/>
    <hyperlink ref="L1380" r:id="rId3" xr:uid="{4B89F9F3-6532-44BA-832A-68A491748768}"/>
    <hyperlink ref="L1381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tabSelected="1"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5"/>
  <sheetViews>
    <sheetView workbookViewId="0">
      <pane xSplit="2" ySplit="1" topLeftCell="S123" activePane="bottomRight" state="frozen"/>
      <selection pane="topRight" activeCell="C1" sqref="C1"/>
      <selection pane="bottomLeft" activeCell="A2" sqref="A2"/>
      <selection pane="bottomRight" activeCell="U153" sqref="U153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4"/>
  <sheetViews>
    <sheetView workbookViewId="0">
      <pane xSplit="2" ySplit="1" topLeftCell="Q512" activePane="bottomRight" state="frozen"/>
      <selection pane="topRight" activeCell="C1" sqref="C1"/>
      <selection pane="bottomLeft" activeCell="A2" sqref="A2"/>
      <selection pane="bottomRight" activeCell="U517" sqref="U5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67"/>
  <sheetViews>
    <sheetView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D267" sqref="D26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12919</v>
      </c>
      <c r="B49" t="s">
        <v>12920</v>
      </c>
      <c r="C49" t="s">
        <v>12921</v>
      </c>
      <c r="D49" t="s">
        <v>4312</v>
      </c>
      <c r="F49" t="s">
        <v>11260</v>
      </c>
      <c r="G49" t="s">
        <v>12895</v>
      </c>
      <c r="H49" t="s">
        <v>4316</v>
      </c>
      <c r="I49" t="s">
        <v>12922</v>
      </c>
    </row>
    <row r="50" spans="1:9">
      <c r="A50" t="s">
        <v>12923</v>
      </c>
      <c r="B50" t="s">
        <v>12920</v>
      </c>
      <c r="C50" t="s">
        <v>12924</v>
      </c>
      <c r="D50" t="s">
        <v>4312</v>
      </c>
      <c r="F50" t="s">
        <v>11260</v>
      </c>
      <c r="G50" t="s">
        <v>12895</v>
      </c>
      <c r="H50" t="s">
        <v>4316</v>
      </c>
      <c r="I50" t="s">
        <v>12925</v>
      </c>
    </row>
    <row r="51" spans="1:9">
      <c r="A51" t="s">
        <v>12926</v>
      </c>
      <c r="B51" t="s">
        <v>12920</v>
      </c>
      <c r="C51" t="s">
        <v>12927</v>
      </c>
      <c r="D51" t="s">
        <v>4312</v>
      </c>
      <c r="F51" t="s">
        <v>11260</v>
      </c>
      <c r="G51" t="s">
        <v>12895</v>
      </c>
      <c r="H51" t="s">
        <v>4316</v>
      </c>
      <c r="I51" t="s">
        <v>12928</v>
      </c>
    </row>
    <row r="52" spans="1:9">
      <c r="A52" t="s">
        <v>12929</v>
      </c>
      <c r="B52" t="s">
        <v>12920</v>
      </c>
      <c r="C52" t="s">
        <v>12930</v>
      </c>
      <c r="D52" t="s">
        <v>4312</v>
      </c>
      <c r="F52" t="s">
        <v>11260</v>
      </c>
      <c r="G52" t="s">
        <v>12895</v>
      </c>
      <c r="H52" t="s">
        <v>4316</v>
      </c>
      <c r="I52" t="s">
        <v>12931</v>
      </c>
    </row>
    <row r="53" spans="1:9">
      <c r="A53" t="s">
        <v>12932</v>
      </c>
      <c r="B53" t="s">
        <v>12920</v>
      </c>
      <c r="C53" t="s">
        <v>12933</v>
      </c>
      <c r="D53" t="s">
        <v>4312</v>
      </c>
      <c r="F53" t="s">
        <v>11260</v>
      </c>
      <c r="G53" t="s">
        <v>12895</v>
      </c>
      <c r="H53" t="s">
        <v>4316</v>
      </c>
      <c r="I53" t="s">
        <v>12934</v>
      </c>
    </row>
    <row r="54" spans="1:9">
      <c r="A54" t="s">
        <v>13495</v>
      </c>
      <c r="B54" t="s">
        <v>13486</v>
      </c>
      <c r="C54" t="s">
        <v>13497</v>
      </c>
      <c r="D54" t="s">
        <v>4312</v>
      </c>
      <c r="F54" t="s">
        <v>11260</v>
      </c>
      <c r="G54" t="s">
        <v>13507</v>
      </c>
      <c r="H54" t="s">
        <v>4316</v>
      </c>
      <c r="I54" t="s">
        <v>13496</v>
      </c>
    </row>
    <row r="55" spans="1:9">
      <c r="A55" t="s">
        <v>13485</v>
      </c>
      <c r="B55" t="s">
        <v>13486</v>
      </c>
      <c r="C55" t="s">
        <v>13498</v>
      </c>
      <c r="D55" t="s">
        <v>4312</v>
      </c>
      <c r="F55" t="s">
        <v>11260</v>
      </c>
      <c r="G55" t="s">
        <v>13507</v>
      </c>
      <c r="H55" t="s">
        <v>4316</v>
      </c>
      <c r="I55" t="s">
        <v>13476</v>
      </c>
    </row>
    <row r="56" spans="1:9">
      <c r="A56" t="s">
        <v>13487</v>
      </c>
      <c r="B56" t="s">
        <v>13486</v>
      </c>
      <c r="C56" t="s">
        <v>13499</v>
      </c>
      <c r="D56" t="s">
        <v>4312</v>
      </c>
      <c r="F56" t="s">
        <v>11260</v>
      </c>
      <c r="G56" t="s">
        <v>13507</v>
      </c>
      <c r="H56" t="s">
        <v>4316</v>
      </c>
      <c r="I56" t="s">
        <v>13477</v>
      </c>
    </row>
    <row r="57" spans="1:9">
      <c r="A57" t="s">
        <v>13488</v>
      </c>
      <c r="B57" t="s">
        <v>13486</v>
      </c>
      <c r="C57" t="s">
        <v>13500</v>
      </c>
      <c r="D57" t="s">
        <v>4312</v>
      </c>
      <c r="F57" t="s">
        <v>11260</v>
      </c>
      <c r="G57" t="s">
        <v>13507</v>
      </c>
      <c r="H57" t="s">
        <v>4316</v>
      </c>
      <c r="I57" t="s">
        <v>13478</v>
      </c>
    </row>
    <row r="58" spans="1:9">
      <c r="A58" t="s">
        <v>13489</v>
      </c>
      <c r="B58" t="s">
        <v>13486</v>
      </c>
      <c r="C58" t="s">
        <v>13501</v>
      </c>
      <c r="D58" t="s">
        <v>4312</v>
      </c>
      <c r="F58" t="s">
        <v>11260</v>
      </c>
      <c r="G58" t="s">
        <v>13507</v>
      </c>
      <c r="H58" t="s">
        <v>4316</v>
      </c>
      <c r="I58" t="s">
        <v>13479</v>
      </c>
    </row>
    <row r="59" spans="1:9">
      <c r="A59" t="s">
        <v>13490</v>
      </c>
      <c r="B59" t="s">
        <v>13486</v>
      </c>
      <c r="C59" t="s">
        <v>13502</v>
      </c>
      <c r="D59" t="s">
        <v>4312</v>
      </c>
      <c r="F59" t="s">
        <v>11260</v>
      </c>
      <c r="G59" t="s">
        <v>13507</v>
      </c>
      <c r="H59" t="s">
        <v>4316</v>
      </c>
      <c r="I59" t="s">
        <v>13480</v>
      </c>
    </row>
    <row r="60" spans="1:9">
      <c r="A60" t="s">
        <v>13491</v>
      </c>
      <c r="B60" t="s">
        <v>13486</v>
      </c>
      <c r="C60" t="s">
        <v>13503</v>
      </c>
      <c r="D60" t="s">
        <v>4312</v>
      </c>
      <c r="F60" t="s">
        <v>11260</v>
      </c>
      <c r="G60" t="s">
        <v>13507</v>
      </c>
      <c r="H60" t="s">
        <v>4316</v>
      </c>
      <c r="I60" t="s">
        <v>13481</v>
      </c>
    </row>
    <row r="61" spans="1:9">
      <c r="A61" t="s">
        <v>13492</v>
      </c>
      <c r="B61" t="s">
        <v>13486</v>
      </c>
      <c r="C61" t="s">
        <v>13504</v>
      </c>
      <c r="D61" t="s">
        <v>4312</v>
      </c>
      <c r="F61" t="s">
        <v>11260</v>
      </c>
      <c r="G61" t="s">
        <v>13507</v>
      </c>
      <c r="H61" t="s">
        <v>4316</v>
      </c>
      <c r="I61" t="s">
        <v>13482</v>
      </c>
    </row>
    <row r="62" spans="1:9">
      <c r="A62" t="s">
        <v>13493</v>
      </c>
      <c r="B62" t="s">
        <v>13486</v>
      </c>
      <c r="C62" t="s">
        <v>13505</v>
      </c>
      <c r="D62" t="s">
        <v>4312</v>
      </c>
      <c r="F62" t="s">
        <v>11260</v>
      </c>
      <c r="G62" t="s">
        <v>13507</v>
      </c>
      <c r="H62" t="s">
        <v>4316</v>
      </c>
      <c r="I62" t="s">
        <v>13483</v>
      </c>
    </row>
    <row r="63" spans="1:9">
      <c r="A63" t="s">
        <v>13494</v>
      </c>
      <c r="B63" t="s">
        <v>13486</v>
      </c>
      <c r="C63" t="s">
        <v>13506</v>
      </c>
      <c r="D63" t="s">
        <v>4312</v>
      </c>
      <c r="F63" t="s">
        <v>11260</v>
      </c>
      <c r="G63" t="s">
        <v>13507</v>
      </c>
      <c r="H63" t="s">
        <v>4316</v>
      </c>
      <c r="I63" t="s">
        <v>13484</v>
      </c>
    </row>
    <row r="64" spans="1:9">
      <c r="A64" t="s">
        <v>4310</v>
      </c>
      <c r="B64" t="s">
        <v>4311</v>
      </c>
      <c r="C64" t="s">
        <v>4309</v>
      </c>
      <c r="D64" t="s">
        <v>4312</v>
      </c>
      <c r="F64" t="str">
        <f>Config!$B$7</f>
        <v>SCH/Connector.SchLib</v>
      </c>
      <c r="G64" t="s">
        <v>4313</v>
      </c>
      <c r="H64" t="s">
        <v>4317</v>
      </c>
      <c r="I64" t="s">
        <v>4310</v>
      </c>
    </row>
    <row r="65" spans="1:23">
      <c r="A65" t="s">
        <v>4325</v>
      </c>
      <c r="B65" t="s">
        <v>4327</v>
      </c>
      <c r="C65" t="s">
        <v>4326</v>
      </c>
      <c r="D65" t="s">
        <v>4312</v>
      </c>
      <c r="F65" t="str">
        <f>Config!$B$7</f>
        <v>SCH/Connector.SchLib</v>
      </c>
      <c r="G65" t="s">
        <v>4313</v>
      </c>
      <c r="H65" t="s">
        <v>4317</v>
      </c>
      <c r="I65" t="s">
        <v>4325</v>
      </c>
    </row>
    <row r="66" spans="1:23">
      <c r="A66" t="s">
        <v>4330</v>
      </c>
      <c r="B66" t="s">
        <v>4332</v>
      </c>
      <c r="C66" t="s">
        <v>4331</v>
      </c>
      <c r="D66" t="s">
        <v>4312</v>
      </c>
      <c r="F66" t="str">
        <f>Config!$B$7</f>
        <v>SCH/Connector.SchLib</v>
      </c>
      <c r="G66" t="s">
        <v>4313</v>
      </c>
      <c r="H66" t="s">
        <v>4317</v>
      </c>
      <c r="I66" t="s">
        <v>4330</v>
      </c>
    </row>
    <row r="67" spans="1:23">
      <c r="A67" t="s">
        <v>4333</v>
      </c>
      <c r="B67" t="s">
        <v>4337</v>
      </c>
      <c r="C67" t="s">
        <v>4344</v>
      </c>
      <c r="D67" t="s">
        <v>4312</v>
      </c>
      <c r="F67" t="str">
        <f>Config!$B$7</f>
        <v>SCH/Connector.SchLib</v>
      </c>
      <c r="G67" t="s">
        <v>4328</v>
      </c>
      <c r="H67" t="s">
        <v>4317</v>
      </c>
      <c r="I67" t="s">
        <v>4333</v>
      </c>
    </row>
    <row r="68" spans="1:23">
      <c r="A68" t="s">
        <v>4334</v>
      </c>
      <c r="B68" t="s">
        <v>4338</v>
      </c>
      <c r="C68" t="s">
        <v>4343</v>
      </c>
      <c r="D68" t="s">
        <v>4312</v>
      </c>
      <c r="F68" t="str">
        <f>Config!$B$7</f>
        <v>SCH/Connector.SchLib</v>
      </c>
      <c r="G68" t="s">
        <v>4328</v>
      </c>
      <c r="H68" t="s">
        <v>4317</v>
      </c>
      <c r="I68" t="s">
        <v>4334</v>
      </c>
    </row>
    <row r="69" spans="1:23">
      <c r="A69" t="s">
        <v>4335</v>
      </c>
      <c r="B69" t="s">
        <v>4339</v>
      </c>
      <c r="C69" t="s">
        <v>4342</v>
      </c>
      <c r="D69" t="s">
        <v>4312</v>
      </c>
      <c r="F69" t="str">
        <f>Config!$B$7</f>
        <v>SCH/Connector.SchLib</v>
      </c>
      <c r="G69" t="s">
        <v>4329</v>
      </c>
      <c r="H69" t="s">
        <v>4317</v>
      </c>
      <c r="I69" t="s">
        <v>4335</v>
      </c>
    </row>
    <row r="70" spans="1:23">
      <c r="A70" t="s">
        <v>4336</v>
      </c>
      <c r="B70" t="s">
        <v>4340</v>
      </c>
      <c r="C70" t="s">
        <v>4341</v>
      </c>
      <c r="D70" t="s">
        <v>4312</v>
      </c>
      <c r="F70" t="str">
        <f>Config!$B$7</f>
        <v>SCH/Connector.SchLib</v>
      </c>
      <c r="G70" t="s">
        <v>4329</v>
      </c>
      <c r="H70" t="s">
        <v>4317</v>
      </c>
      <c r="I70" t="s">
        <v>4336</v>
      </c>
    </row>
    <row r="71" spans="1:23">
      <c r="A71" t="s">
        <v>4320</v>
      </c>
      <c r="B71" t="s">
        <v>4320</v>
      </c>
      <c r="C71" t="s">
        <v>4321</v>
      </c>
      <c r="D71" t="s">
        <v>4312</v>
      </c>
      <c r="F71" t="str">
        <f>Config!$B$7</f>
        <v>SCH/Connector.SchLib</v>
      </c>
      <c r="G71" t="s">
        <v>4323</v>
      </c>
      <c r="H71" t="s">
        <v>4324</v>
      </c>
      <c r="I71" t="s">
        <v>4320</v>
      </c>
    </row>
    <row r="72" spans="1:23">
      <c r="A72" t="s">
        <v>6447</v>
      </c>
      <c r="B72" t="s">
        <v>4319</v>
      </c>
      <c r="C72" t="s">
        <v>4322</v>
      </c>
      <c r="D72" t="s">
        <v>4312</v>
      </c>
      <c r="F72" t="str">
        <f>Config!$B$7</f>
        <v>SCH/Connector.SchLib</v>
      </c>
      <c r="G72" t="s">
        <v>6446</v>
      </c>
      <c r="H72" t="s">
        <v>4324</v>
      </c>
      <c r="I72" t="s">
        <v>4319</v>
      </c>
    </row>
    <row r="73" spans="1:23">
      <c r="A73" t="s">
        <v>4319</v>
      </c>
      <c r="B73" t="s">
        <v>4319</v>
      </c>
      <c r="C73" t="s">
        <v>4322</v>
      </c>
      <c r="D73" t="s">
        <v>4312</v>
      </c>
      <c r="F73" t="str">
        <f>Config!$B$7</f>
        <v>SCH/Connector.SchLib</v>
      </c>
      <c r="G73" t="s">
        <v>4323</v>
      </c>
      <c r="H73" t="s">
        <v>4324</v>
      </c>
      <c r="I73" t="s">
        <v>4319</v>
      </c>
    </row>
    <row r="74" spans="1:23">
      <c r="A74" t="s">
        <v>6432</v>
      </c>
      <c r="B74" t="s">
        <v>6432</v>
      </c>
      <c r="C74" t="s">
        <v>6433</v>
      </c>
      <c r="D74" t="s">
        <v>21</v>
      </c>
      <c r="F74" t="str">
        <f>Config!$B$7</f>
        <v>SCH/Connector.SchLib</v>
      </c>
      <c r="G74" t="s">
        <v>6434</v>
      </c>
      <c r="H74" t="s">
        <v>4316</v>
      </c>
      <c r="I74" t="s">
        <v>6648</v>
      </c>
      <c r="J74" t="s">
        <v>6647</v>
      </c>
      <c r="K74" t="s">
        <v>6227</v>
      </c>
      <c r="L74" t="s">
        <v>6436</v>
      </c>
      <c r="M74" t="s">
        <v>26</v>
      </c>
      <c r="N74" t="s">
        <v>6435</v>
      </c>
      <c r="S74" t="s">
        <v>4345</v>
      </c>
      <c r="T74" t="s">
        <v>6645</v>
      </c>
      <c r="U74" t="s">
        <v>4561</v>
      </c>
      <c r="V74" s="5" t="s">
        <v>6646</v>
      </c>
    </row>
    <row r="75" spans="1:23">
      <c r="A75" t="s">
        <v>4608</v>
      </c>
      <c r="B75" t="s">
        <v>4608</v>
      </c>
      <c r="C75" t="s">
        <v>4315</v>
      </c>
      <c r="D75" t="s">
        <v>21</v>
      </c>
      <c r="F75" t="str">
        <f>Config!$B$7</f>
        <v>SCH/Connector.SchLib</v>
      </c>
      <c r="G75" t="s">
        <v>6434</v>
      </c>
      <c r="H75" t="s">
        <v>4316</v>
      </c>
      <c r="I75" t="s">
        <v>4318</v>
      </c>
      <c r="O75" t="s">
        <v>4348</v>
      </c>
      <c r="P75" t="s">
        <v>4349</v>
      </c>
      <c r="Q75" t="s">
        <v>4351</v>
      </c>
      <c r="R75" s="4" t="s">
        <v>4350</v>
      </c>
      <c r="S75" t="s">
        <v>4345</v>
      </c>
      <c r="T75" t="s">
        <v>4346</v>
      </c>
      <c r="U75" t="s">
        <v>4561</v>
      </c>
      <c r="V75" t="s">
        <v>4347</v>
      </c>
      <c r="W75" t="s">
        <v>4729</v>
      </c>
    </row>
    <row r="76" spans="1:23">
      <c r="A76" t="s">
        <v>4812</v>
      </c>
      <c r="B76" t="s">
        <v>4812</v>
      </c>
      <c r="C76" t="s">
        <v>4811</v>
      </c>
      <c r="D76" t="s">
        <v>4312</v>
      </c>
      <c r="F76" t="s">
        <v>4360</v>
      </c>
      <c r="G76" t="s">
        <v>10971</v>
      </c>
      <c r="H76" t="s">
        <v>4361</v>
      </c>
      <c r="I76" t="s">
        <v>4810</v>
      </c>
    </row>
    <row r="77" spans="1:23">
      <c r="A77" t="s">
        <v>4813</v>
      </c>
      <c r="B77" t="s">
        <v>4813</v>
      </c>
      <c r="C77" t="s">
        <v>4814</v>
      </c>
      <c r="D77" t="s">
        <v>4312</v>
      </c>
      <c r="F77" t="s">
        <v>4360</v>
      </c>
      <c r="G77" t="s">
        <v>10971</v>
      </c>
      <c r="H77" t="s">
        <v>4361</v>
      </c>
      <c r="I77" t="s">
        <v>4809</v>
      </c>
    </row>
    <row r="78" spans="1:23">
      <c r="A78" t="s">
        <v>6361</v>
      </c>
      <c r="B78" t="s">
        <v>6362</v>
      </c>
      <c r="C78" t="s">
        <v>6363</v>
      </c>
      <c r="D78" t="s">
        <v>392</v>
      </c>
      <c r="F78" t="str">
        <f>Config!$B$7</f>
        <v>SCH/Connector.SchLib</v>
      </c>
      <c r="G78" t="s">
        <v>6382</v>
      </c>
      <c r="H78" s="11" t="str">
        <f>_xlfn.CONCAT(PrivateLibraryPath,"PCB/SDCard.PcbLib")</f>
        <v>../altium_lib_private/PCB/SDCard.PcbLib</v>
      </c>
      <c r="I78" s="11" t="s">
        <v>6361</v>
      </c>
      <c r="K78" t="s">
        <v>392</v>
      </c>
      <c r="L78" t="s">
        <v>6362</v>
      </c>
      <c r="M78" t="s">
        <v>26</v>
      </c>
      <c r="N78" t="s">
        <v>6364</v>
      </c>
    </row>
    <row r="79" spans="1:23">
      <c r="A79" t="s">
        <v>6650</v>
      </c>
      <c r="B79" t="s">
        <v>6653</v>
      </c>
      <c r="C79" t="s">
        <v>6659</v>
      </c>
      <c r="D79" t="s">
        <v>6652</v>
      </c>
      <c r="F79" t="str">
        <f>Config!$B$7</f>
        <v>SCH/Connector.SchLib</v>
      </c>
      <c r="G79" t="s">
        <v>6382</v>
      </c>
      <c r="H79" t="str">
        <f>_xlfn.CONCAT(PrivateLibraryPath,"PCB/SDCard.PcbLib")</f>
        <v>../altium_lib_private/PCB/SDCard.PcbLib</v>
      </c>
      <c r="I79" t="s">
        <v>6653</v>
      </c>
      <c r="J79" s="26" t="s">
        <v>6651</v>
      </c>
      <c r="K79" t="s">
        <v>6652</v>
      </c>
      <c r="L79" t="s">
        <v>6655</v>
      </c>
      <c r="M79" t="s">
        <v>26</v>
      </c>
      <c r="N79" t="s">
        <v>6654</v>
      </c>
      <c r="O79" t="s">
        <v>6652</v>
      </c>
      <c r="P79" t="s">
        <v>6655</v>
      </c>
      <c r="Q79" t="s">
        <v>4351</v>
      </c>
      <c r="R79" t="s">
        <v>6656</v>
      </c>
      <c r="S79" t="s">
        <v>6657</v>
      </c>
      <c r="T79" t="s">
        <v>6655</v>
      </c>
      <c r="U79" t="s">
        <v>4561</v>
      </c>
      <c r="V79" t="s">
        <v>6658</v>
      </c>
    </row>
    <row r="80" spans="1:23">
      <c r="A80" t="s">
        <v>6561</v>
      </c>
      <c r="B80" t="s">
        <v>6561</v>
      </c>
      <c r="C80" t="s">
        <v>6579</v>
      </c>
      <c r="D80" t="s">
        <v>6562</v>
      </c>
      <c r="F80" t="str">
        <f>Config!$B$7</f>
        <v>SCH/Connector.SchLib</v>
      </c>
      <c r="G80" t="s">
        <v>6563</v>
      </c>
      <c r="H80" t="s">
        <v>6593</v>
      </c>
      <c r="I80" t="s">
        <v>6564</v>
      </c>
      <c r="J80" t="s">
        <v>6565</v>
      </c>
    </row>
    <row r="81" spans="1:14">
      <c r="A81" t="s">
        <v>6566</v>
      </c>
      <c r="B81" t="s">
        <v>6566</v>
      </c>
      <c r="C81" t="s">
        <v>6580</v>
      </c>
      <c r="D81" t="s">
        <v>6562</v>
      </c>
      <c r="F81" t="str">
        <f>Config!$B$7</f>
        <v>SCH/Connector.SchLib</v>
      </c>
      <c r="G81" t="s">
        <v>6563</v>
      </c>
      <c r="H81" t="s">
        <v>6593</v>
      </c>
      <c r="I81" t="s">
        <v>6567</v>
      </c>
      <c r="J81" t="s">
        <v>6568</v>
      </c>
    </row>
    <row r="82" spans="1:14">
      <c r="A82" t="s">
        <v>6611</v>
      </c>
      <c r="B82" t="s">
        <v>6611</v>
      </c>
      <c r="C82" t="s">
        <v>6617</v>
      </c>
      <c r="D82" t="s">
        <v>6562</v>
      </c>
      <c r="F82" t="str">
        <f>Config!$B$7</f>
        <v>SCH/Connector.SchLib</v>
      </c>
      <c r="G82" t="s">
        <v>6563</v>
      </c>
      <c r="H82" t="s">
        <v>6593</v>
      </c>
      <c r="I82" t="s">
        <v>6623</v>
      </c>
      <c r="J82" t="s">
        <v>6565</v>
      </c>
    </row>
    <row r="83" spans="1:14">
      <c r="A83" t="s">
        <v>6612</v>
      </c>
      <c r="B83" t="s">
        <v>6612</v>
      </c>
      <c r="C83" t="s">
        <v>6618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6624</v>
      </c>
      <c r="J83" t="s">
        <v>6568</v>
      </c>
    </row>
    <row r="84" spans="1:14">
      <c r="A84" t="s">
        <v>6569</v>
      </c>
      <c r="B84" t="s">
        <v>6569</v>
      </c>
      <c r="C84" t="s">
        <v>6581</v>
      </c>
      <c r="D84" t="s">
        <v>6562</v>
      </c>
      <c r="F84" t="str">
        <f>Config!$B$7</f>
        <v>SCH/Connector.SchLib</v>
      </c>
      <c r="G84" t="s">
        <v>6570</v>
      </c>
      <c r="H84" t="s">
        <v>6593</v>
      </c>
      <c r="I84" t="s">
        <v>6577</v>
      </c>
      <c r="J84" t="s">
        <v>6575</v>
      </c>
    </row>
    <row r="85" spans="1:14">
      <c r="A85" t="s">
        <v>6571</v>
      </c>
      <c r="B85" t="s">
        <v>6571</v>
      </c>
      <c r="C85" t="s">
        <v>6582</v>
      </c>
      <c r="D85" t="s">
        <v>6562</v>
      </c>
      <c r="F85" t="str">
        <f>Config!$B$7</f>
        <v>SCH/Connector.SchLib</v>
      </c>
      <c r="G85" t="s">
        <v>6570</v>
      </c>
      <c r="H85" t="s">
        <v>6593</v>
      </c>
      <c r="I85" t="s">
        <v>6578</v>
      </c>
    </row>
    <row r="86" spans="1:14">
      <c r="A86" t="s">
        <v>6613</v>
      </c>
      <c r="B86" t="s">
        <v>6613</v>
      </c>
      <c r="C86" t="s">
        <v>6619</v>
      </c>
      <c r="D86" t="s">
        <v>6562</v>
      </c>
      <c r="F86" t="str">
        <f>Config!$B$7</f>
        <v>SCH/Connector.SchLib</v>
      </c>
      <c r="G86" t="s">
        <v>6570</v>
      </c>
      <c r="H86" t="s">
        <v>6593</v>
      </c>
      <c r="I86" t="s">
        <v>6625</v>
      </c>
      <c r="J86" t="s">
        <v>6575</v>
      </c>
    </row>
    <row r="87" spans="1:14">
      <c r="A87" t="s">
        <v>6614</v>
      </c>
      <c r="B87" t="s">
        <v>6614</v>
      </c>
      <c r="C87" t="s">
        <v>6620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6626</v>
      </c>
    </row>
    <row r="88" spans="1:14">
      <c r="A88" t="s">
        <v>6572</v>
      </c>
      <c r="B88" t="s">
        <v>6572</v>
      </c>
      <c r="C88" t="s">
        <v>6583</v>
      </c>
      <c r="D88" t="s">
        <v>6562</v>
      </c>
      <c r="F88" t="str">
        <f>Config!$B$7</f>
        <v>SCH/Connector.SchLib</v>
      </c>
      <c r="G88" t="s">
        <v>6573</v>
      </c>
      <c r="H88" t="s">
        <v>6593</v>
      </c>
      <c r="I88" t="s">
        <v>6585</v>
      </c>
      <c r="J88" t="s">
        <v>6576</v>
      </c>
    </row>
    <row r="89" spans="1:14">
      <c r="A89" t="s">
        <v>6574</v>
      </c>
      <c r="B89" t="s">
        <v>6574</v>
      </c>
      <c r="C89" t="s">
        <v>6584</v>
      </c>
      <c r="D89" t="s">
        <v>6562</v>
      </c>
      <c r="F89" t="str">
        <f>Config!$B$7</f>
        <v>SCH/Connector.SchLib</v>
      </c>
      <c r="G89" t="s">
        <v>6573</v>
      </c>
      <c r="H89" t="s">
        <v>6593</v>
      </c>
      <c r="I89" t="s">
        <v>6586</v>
      </c>
    </row>
    <row r="90" spans="1:14">
      <c r="A90" t="s">
        <v>6615</v>
      </c>
      <c r="B90" t="s">
        <v>6615</v>
      </c>
      <c r="C90" t="s">
        <v>6621</v>
      </c>
      <c r="D90" t="s">
        <v>6562</v>
      </c>
      <c r="F90" t="str">
        <f>Config!$B$7</f>
        <v>SCH/Connector.SchLib</v>
      </c>
      <c r="G90" t="s">
        <v>6573</v>
      </c>
      <c r="H90" t="s">
        <v>6593</v>
      </c>
      <c r="I90" t="s">
        <v>6627</v>
      </c>
      <c r="J90" t="s">
        <v>6576</v>
      </c>
    </row>
    <row r="91" spans="1:14">
      <c r="A91" t="s">
        <v>6616</v>
      </c>
      <c r="B91" t="s">
        <v>6616</v>
      </c>
      <c r="C91" t="s">
        <v>6622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6628</v>
      </c>
    </row>
    <row r="92" spans="1:14">
      <c r="A92" t="s">
        <v>8063</v>
      </c>
      <c r="B92" t="s">
        <v>8063</v>
      </c>
      <c r="C92" t="s">
        <v>8063</v>
      </c>
      <c r="D92" t="s">
        <v>7840</v>
      </c>
      <c r="F92" t="str">
        <f>Config!$B$7</f>
        <v>SCH/Connector.SchLib</v>
      </c>
      <c r="G92" t="s">
        <v>4323</v>
      </c>
      <c r="H92" t="s">
        <v>4324</v>
      </c>
      <c r="I92" t="s">
        <v>8062</v>
      </c>
      <c r="J92" t="s">
        <v>8063</v>
      </c>
      <c r="K92" t="s">
        <v>8064</v>
      </c>
      <c r="L92" t="s">
        <v>8065</v>
      </c>
      <c r="M92" t="s">
        <v>26</v>
      </c>
      <c r="N92" t="s">
        <v>8066</v>
      </c>
    </row>
    <row r="93" spans="1:14">
      <c r="A93" t="s">
        <v>7843</v>
      </c>
      <c r="B93" t="s">
        <v>7843</v>
      </c>
      <c r="C93" t="s">
        <v>7843</v>
      </c>
      <c r="D93" t="s">
        <v>7840</v>
      </c>
      <c r="F93" t="str">
        <f>Config!$B$7</f>
        <v>SCH/Connector.SchLib</v>
      </c>
      <c r="G93" t="s">
        <v>4323</v>
      </c>
      <c r="H93" t="s">
        <v>4324</v>
      </c>
      <c r="I93" t="s">
        <v>7844</v>
      </c>
      <c r="J93" t="s">
        <v>7845</v>
      </c>
      <c r="K93" t="s">
        <v>8064</v>
      </c>
      <c r="L93" t="s">
        <v>7841</v>
      </c>
      <c r="M93" t="s">
        <v>26</v>
      </c>
      <c r="N93" t="s">
        <v>7842</v>
      </c>
    </row>
    <row r="94" spans="1:14">
      <c r="A94" t="s">
        <v>7994</v>
      </c>
      <c r="B94" t="s">
        <v>7994</v>
      </c>
      <c r="C94" t="s">
        <v>7994</v>
      </c>
      <c r="D94" t="s">
        <v>4312</v>
      </c>
      <c r="F94" t="str">
        <f>Config!$B$7</f>
        <v>SCH/Connector.SchLib</v>
      </c>
      <c r="G94" t="s">
        <v>7995</v>
      </c>
      <c r="H94" t="s">
        <v>4317</v>
      </c>
      <c r="I94" t="s">
        <v>7994</v>
      </c>
    </row>
    <row r="95" spans="1:14">
      <c r="A95" t="s">
        <v>8014</v>
      </c>
      <c r="B95" t="s">
        <v>8014</v>
      </c>
      <c r="C95" t="s">
        <v>8013</v>
      </c>
      <c r="D95" t="s">
        <v>8004</v>
      </c>
      <c r="F95" t="s">
        <v>8005</v>
      </c>
      <c r="G95" t="s">
        <v>8006</v>
      </c>
      <c r="H95" t="s">
        <v>8007</v>
      </c>
      <c r="I95" t="s">
        <v>8008</v>
      </c>
      <c r="J95" s="26" t="s">
        <v>8009</v>
      </c>
      <c r="K95" t="s">
        <v>8010</v>
      </c>
      <c r="L95" t="s">
        <v>8011</v>
      </c>
      <c r="M95" t="s">
        <v>26</v>
      </c>
      <c r="N95" t="s">
        <v>8012</v>
      </c>
    </row>
    <row r="96" spans="1:14">
      <c r="A96" t="s">
        <v>8015</v>
      </c>
      <c r="B96" t="s">
        <v>8015</v>
      </c>
      <c r="C96" t="s">
        <v>8016</v>
      </c>
      <c r="D96" t="s">
        <v>8004</v>
      </c>
      <c r="F96" t="s">
        <v>8005</v>
      </c>
      <c r="G96" t="s">
        <v>8006</v>
      </c>
      <c r="H96" t="s">
        <v>8007</v>
      </c>
      <c r="I96" t="s">
        <v>8008</v>
      </c>
      <c r="J96" s="26" t="s">
        <v>8009</v>
      </c>
      <c r="K96" t="s">
        <v>8010</v>
      </c>
      <c r="L96" t="s">
        <v>8017</v>
      </c>
      <c r="M96" t="s">
        <v>26</v>
      </c>
      <c r="N96" t="s">
        <v>8018</v>
      </c>
    </row>
    <row r="97" spans="1:14">
      <c r="A97" t="s">
        <v>8037</v>
      </c>
      <c r="B97" t="s">
        <v>8037</v>
      </c>
      <c r="C97" t="s">
        <v>8036</v>
      </c>
      <c r="D97" t="s">
        <v>8004</v>
      </c>
      <c r="F97" t="s">
        <v>8005</v>
      </c>
      <c r="G97" t="s">
        <v>8006</v>
      </c>
      <c r="H97" t="s">
        <v>8007</v>
      </c>
      <c r="I97" t="s">
        <v>8008</v>
      </c>
      <c r="J97" s="26" t="s">
        <v>8009</v>
      </c>
      <c r="K97" t="s">
        <v>8010</v>
      </c>
      <c r="L97" t="s">
        <v>8038</v>
      </c>
      <c r="M97" t="s">
        <v>26</v>
      </c>
      <c r="N97" t="s">
        <v>8039</v>
      </c>
    </row>
    <row r="98" spans="1:14">
      <c r="A98" t="s">
        <v>8019</v>
      </c>
      <c r="B98" t="s">
        <v>8019</v>
      </c>
      <c r="C98" t="s">
        <v>8027</v>
      </c>
      <c r="D98" t="s">
        <v>8004</v>
      </c>
      <c r="F98" t="s">
        <v>8005</v>
      </c>
      <c r="G98" t="s">
        <v>8020</v>
      </c>
      <c r="H98" t="s">
        <v>8007</v>
      </c>
      <c r="I98" t="s">
        <v>8021</v>
      </c>
      <c r="J98" s="26" t="s">
        <v>8022</v>
      </c>
      <c r="K98" t="s">
        <v>8010</v>
      </c>
      <c r="L98" t="s">
        <v>8023</v>
      </c>
      <c r="M98" t="s">
        <v>26</v>
      </c>
      <c r="N98" t="s">
        <v>8024</v>
      </c>
    </row>
    <row r="99" spans="1:14">
      <c r="A99" t="s">
        <v>8019</v>
      </c>
      <c r="B99" t="s">
        <v>8019</v>
      </c>
      <c r="C99" t="s">
        <v>8028</v>
      </c>
      <c r="D99" t="s">
        <v>8004</v>
      </c>
      <c r="F99" t="s">
        <v>8005</v>
      </c>
      <c r="G99" t="s">
        <v>8020</v>
      </c>
      <c r="H99" t="s">
        <v>8007</v>
      </c>
      <c r="I99" t="s">
        <v>8021</v>
      </c>
      <c r="J99" s="26" t="s">
        <v>8022</v>
      </c>
      <c r="K99" t="s">
        <v>8010</v>
      </c>
      <c r="L99" t="s">
        <v>8025</v>
      </c>
      <c r="M99" t="s">
        <v>26</v>
      </c>
      <c r="N99" t="s">
        <v>8026</v>
      </c>
    </row>
    <row r="100" spans="1:14">
      <c r="A100" t="s">
        <v>8029</v>
      </c>
      <c r="B100" t="s">
        <v>8029</v>
      </c>
      <c r="C100" t="s">
        <v>8030</v>
      </c>
      <c r="D100" t="s">
        <v>8004</v>
      </c>
      <c r="F100" t="s">
        <v>8005</v>
      </c>
      <c r="G100" t="s">
        <v>8020</v>
      </c>
      <c r="H100" t="s">
        <v>8007</v>
      </c>
      <c r="I100" t="s">
        <v>8021</v>
      </c>
      <c r="J100" s="26" t="s">
        <v>8022</v>
      </c>
      <c r="K100" t="s">
        <v>8010</v>
      </c>
      <c r="L100" t="s">
        <v>8031</v>
      </c>
      <c r="M100" t="s">
        <v>26</v>
      </c>
      <c r="N100" t="s">
        <v>8032</v>
      </c>
    </row>
    <row r="101" spans="1:14">
      <c r="A101" t="s">
        <v>8029</v>
      </c>
      <c r="B101" t="s">
        <v>8029</v>
      </c>
      <c r="C101" t="s">
        <v>8033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8034</v>
      </c>
      <c r="M101" t="s">
        <v>26</v>
      </c>
      <c r="N101" t="s">
        <v>8035</v>
      </c>
    </row>
    <row r="102" spans="1:14">
      <c r="A102" t="s">
        <v>8469</v>
      </c>
      <c r="B102" t="s">
        <v>8468</v>
      </c>
      <c r="C102" t="s">
        <v>8470</v>
      </c>
      <c r="D102" t="s">
        <v>8471</v>
      </c>
      <c r="F102" t="s">
        <v>8472</v>
      </c>
      <c r="G102" t="s">
        <v>8473</v>
      </c>
      <c r="H102" t="s">
        <v>8474</v>
      </c>
      <c r="I102" t="s">
        <v>8475</v>
      </c>
      <c r="J102" t="s">
        <v>8476</v>
      </c>
      <c r="K102" t="s">
        <v>8471</v>
      </c>
      <c r="L102" t="s">
        <v>8477</v>
      </c>
      <c r="M102" t="s">
        <v>8466</v>
      </c>
      <c r="N102" t="s">
        <v>8478</v>
      </c>
    </row>
    <row r="103" spans="1:14">
      <c r="A103" t="s">
        <v>10972</v>
      </c>
      <c r="B103" t="s">
        <v>10972</v>
      </c>
      <c r="C103" t="s">
        <v>10974</v>
      </c>
      <c r="D103" t="s">
        <v>10976</v>
      </c>
      <c r="F103" t="s">
        <v>4360</v>
      </c>
      <c r="G103" t="s">
        <v>10971</v>
      </c>
      <c r="H103" t="s">
        <v>4361</v>
      </c>
      <c r="I103" t="s">
        <v>10978</v>
      </c>
      <c r="J103" t="s">
        <v>10980</v>
      </c>
      <c r="K103" t="s">
        <v>10976</v>
      </c>
      <c r="L103" t="s">
        <v>10982</v>
      </c>
      <c r="M103" t="s">
        <v>10981</v>
      </c>
      <c r="N103" s="25" t="s">
        <v>10983</v>
      </c>
    </row>
    <row r="104" spans="1:14">
      <c r="A104" t="s">
        <v>10973</v>
      </c>
      <c r="B104" t="s">
        <v>10972</v>
      </c>
      <c r="C104" t="s">
        <v>10975</v>
      </c>
      <c r="D104" t="s">
        <v>10976</v>
      </c>
      <c r="F104" t="s">
        <v>4360</v>
      </c>
      <c r="G104" t="s">
        <v>10977</v>
      </c>
      <c r="H104" t="s">
        <v>4361</v>
      </c>
      <c r="I104" t="s">
        <v>10979</v>
      </c>
      <c r="J104" t="s">
        <v>10980</v>
      </c>
      <c r="K104" t="s">
        <v>10976</v>
      </c>
      <c r="L104" t="s">
        <v>10982</v>
      </c>
      <c r="M104" t="s">
        <v>10981</v>
      </c>
      <c r="N104" s="25" t="s">
        <v>10983</v>
      </c>
    </row>
    <row r="105" spans="1:14">
      <c r="A105" t="s">
        <v>11194</v>
      </c>
      <c r="B105" t="s">
        <v>11194</v>
      </c>
      <c r="C105" t="s">
        <v>11199</v>
      </c>
      <c r="D105" t="s">
        <v>8010</v>
      </c>
      <c r="F105" t="s">
        <v>8005</v>
      </c>
      <c r="G105" t="s">
        <v>8020</v>
      </c>
      <c r="H105" t="s">
        <v>8007</v>
      </c>
      <c r="I105" t="s">
        <v>11193</v>
      </c>
      <c r="J105" t="s">
        <v>11198</v>
      </c>
      <c r="K105" t="s">
        <v>8010</v>
      </c>
      <c r="L105" t="s">
        <v>11194</v>
      </c>
      <c r="M105" t="s">
        <v>26</v>
      </c>
      <c r="N105" t="s">
        <v>11196</v>
      </c>
    </row>
    <row r="106" spans="1:14">
      <c r="A106" t="s">
        <v>11195</v>
      </c>
      <c r="B106" t="s">
        <v>11195</v>
      </c>
      <c r="C106" t="s">
        <v>11200</v>
      </c>
      <c r="D106" t="s">
        <v>8010</v>
      </c>
      <c r="F106" t="s">
        <v>8005</v>
      </c>
      <c r="G106" t="s">
        <v>8020</v>
      </c>
      <c r="H106" t="s">
        <v>8007</v>
      </c>
      <c r="I106" t="s">
        <v>11193</v>
      </c>
      <c r="J106" t="s">
        <v>11198</v>
      </c>
      <c r="K106" t="s">
        <v>8010</v>
      </c>
      <c r="L106" t="s">
        <v>11195</v>
      </c>
      <c r="M106" t="s">
        <v>26</v>
      </c>
      <c r="N106" t="s">
        <v>11197</v>
      </c>
    </row>
    <row r="107" spans="1:14">
      <c r="A107" t="s">
        <v>11201</v>
      </c>
      <c r="B107" t="s">
        <v>11201</v>
      </c>
      <c r="C107" t="s">
        <v>11209</v>
      </c>
      <c r="D107" t="s">
        <v>8010</v>
      </c>
      <c r="F107" t="s">
        <v>8005</v>
      </c>
      <c r="G107" t="s">
        <v>8020</v>
      </c>
      <c r="H107" t="s">
        <v>8007</v>
      </c>
      <c r="I107" t="s">
        <v>11218</v>
      </c>
      <c r="J107" t="s">
        <v>11217</v>
      </c>
      <c r="K107" t="s">
        <v>8010</v>
      </c>
      <c r="L107" t="s">
        <v>11201</v>
      </c>
      <c r="M107" t="s">
        <v>26</v>
      </c>
      <c r="N107" t="s">
        <v>11219</v>
      </c>
    </row>
    <row r="108" spans="1:14">
      <c r="A108" t="s">
        <v>11202</v>
      </c>
      <c r="B108" t="s">
        <v>11202</v>
      </c>
      <c r="C108" t="s">
        <v>11210</v>
      </c>
      <c r="D108" t="s">
        <v>8010</v>
      </c>
      <c r="F108" t="s">
        <v>8005</v>
      </c>
      <c r="G108" t="s">
        <v>8020</v>
      </c>
      <c r="H108" t="s">
        <v>8007</v>
      </c>
      <c r="I108" t="s">
        <v>11218</v>
      </c>
      <c r="J108" t="s">
        <v>11217</v>
      </c>
      <c r="K108" t="s">
        <v>8010</v>
      </c>
      <c r="L108" t="s">
        <v>11202</v>
      </c>
      <c r="M108" t="s">
        <v>26</v>
      </c>
      <c r="N108" t="s">
        <v>11220</v>
      </c>
    </row>
    <row r="109" spans="1:14">
      <c r="A109" t="s">
        <v>11203</v>
      </c>
      <c r="B109" t="s">
        <v>11203</v>
      </c>
      <c r="C109" t="s">
        <v>11211</v>
      </c>
      <c r="D109" t="s">
        <v>8010</v>
      </c>
      <c r="F109" t="s">
        <v>8005</v>
      </c>
      <c r="G109" t="s">
        <v>8020</v>
      </c>
      <c r="H109" t="s">
        <v>8007</v>
      </c>
      <c r="I109" t="s">
        <v>11218</v>
      </c>
      <c r="J109" t="s">
        <v>11217</v>
      </c>
      <c r="K109" t="s">
        <v>8010</v>
      </c>
      <c r="L109" t="s">
        <v>11203</v>
      </c>
      <c r="M109" t="s">
        <v>26</v>
      </c>
      <c r="N109" t="s">
        <v>11221</v>
      </c>
    </row>
    <row r="110" spans="1:14">
      <c r="A110" t="s">
        <v>11204</v>
      </c>
      <c r="B110" t="s">
        <v>11204</v>
      </c>
      <c r="C110" t="s">
        <v>11212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11204</v>
      </c>
      <c r="M110" t="s">
        <v>26</v>
      </c>
      <c r="N110" t="s">
        <v>11222</v>
      </c>
    </row>
    <row r="111" spans="1:14">
      <c r="A111" t="s">
        <v>11205</v>
      </c>
      <c r="B111" t="s">
        <v>11205</v>
      </c>
      <c r="C111" t="s">
        <v>11213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11205</v>
      </c>
      <c r="M111" t="s">
        <v>26</v>
      </c>
      <c r="N111" t="s">
        <v>11223</v>
      </c>
    </row>
    <row r="112" spans="1:14">
      <c r="A112" t="s">
        <v>11206</v>
      </c>
      <c r="B112" t="s">
        <v>11206</v>
      </c>
      <c r="C112" t="s">
        <v>11214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11206</v>
      </c>
      <c r="M112" t="s">
        <v>26</v>
      </c>
      <c r="N112" t="s">
        <v>11224</v>
      </c>
    </row>
    <row r="113" spans="1:18">
      <c r="A113" t="s">
        <v>11207</v>
      </c>
      <c r="B113" t="s">
        <v>11207</v>
      </c>
      <c r="C113" t="s">
        <v>11215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11207</v>
      </c>
      <c r="M113" t="s">
        <v>26</v>
      </c>
      <c r="N113" t="s">
        <v>11225</v>
      </c>
    </row>
    <row r="114" spans="1:18">
      <c r="A114" t="s">
        <v>11208</v>
      </c>
      <c r="B114" t="s">
        <v>11208</v>
      </c>
      <c r="C114" t="s">
        <v>11216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11208</v>
      </c>
      <c r="M114" t="s">
        <v>26</v>
      </c>
      <c r="N114" t="s">
        <v>11226</v>
      </c>
    </row>
    <row r="115" spans="1:18">
      <c r="A115" t="s">
        <v>11232</v>
      </c>
      <c r="B115" t="s">
        <v>11232</v>
      </c>
      <c r="C115" t="s">
        <v>11239</v>
      </c>
      <c r="D115" t="s">
        <v>4548</v>
      </c>
      <c r="F115" t="s">
        <v>8472</v>
      </c>
      <c r="G115" t="s">
        <v>11238</v>
      </c>
      <c r="H115" t="str">
        <f>_xlfn.CONCAT(PrivateLibraryPath,"PCB/Bourns.PcbLib")</f>
        <v>../altium_lib_private/PCB/Bourns.PcbLib</v>
      </c>
      <c r="I115" t="s">
        <v>11236</v>
      </c>
      <c r="J115" t="s">
        <v>11227</v>
      </c>
      <c r="K115" t="s">
        <v>4548</v>
      </c>
      <c r="L115" t="s">
        <v>11232</v>
      </c>
      <c r="M115" t="s">
        <v>26</v>
      </c>
      <c r="N115" t="s">
        <v>11228</v>
      </c>
    </row>
    <row r="116" spans="1:18">
      <c r="A116" t="s">
        <v>11233</v>
      </c>
      <c r="B116" t="s">
        <v>11233</v>
      </c>
      <c r="C116" t="s">
        <v>11239</v>
      </c>
      <c r="D116" t="s">
        <v>4548</v>
      </c>
      <c r="F116" t="s">
        <v>8472</v>
      </c>
      <c r="G116" t="s">
        <v>11238</v>
      </c>
      <c r="H116" t="str">
        <f>_xlfn.CONCAT(PrivateLibraryPath,"PCB/Bourns.PcbLib")</f>
        <v>../altium_lib_private/PCB/Bourns.PcbLib</v>
      </c>
      <c r="I116" t="s">
        <v>11237</v>
      </c>
      <c r="J116" t="s">
        <v>11227</v>
      </c>
      <c r="K116" t="s">
        <v>4548</v>
      </c>
      <c r="L116" t="s">
        <v>11233</v>
      </c>
      <c r="M116" t="s">
        <v>26</v>
      </c>
      <c r="N116" t="s">
        <v>11229</v>
      </c>
    </row>
    <row r="117" spans="1:18">
      <c r="A117" t="s">
        <v>11234</v>
      </c>
      <c r="B117" t="s">
        <v>11234</v>
      </c>
      <c r="C117" t="s">
        <v>11239</v>
      </c>
      <c r="D117" t="s">
        <v>4548</v>
      </c>
      <c r="F117" t="s">
        <v>8472</v>
      </c>
      <c r="G117" t="s">
        <v>11238</v>
      </c>
      <c r="H117" t="str">
        <f>_xlfn.CONCAT(PrivateLibraryPath,"PCB/Bourns.PcbLib")</f>
        <v>../altium_lib_private/PCB/Bourns.PcbLib</v>
      </c>
      <c r="I117" t="s">
        <v>11237</v>
      </c>
      <c r="J117" t="s">
        <v>11227</v>
      </c>
      <c r="K117" t="s">
        <v>4548</v>
      </c>
      <c r="L117" t="s">
        <v>11234</v>
      </c>
      <c r="M117" t="s">
        <v>26</v>
      </c>
      <c r="N117" t="s">
        <v>11230</v>
      </c>
    </row>
    <row r="118" spans="1:18">
      <c r="A118" t="s">
        <v>11235</v>
      </c>
      <c r="B118" t="s">
        <v>11235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11235</v>
      </c>
      <c r="M118" t="s">
        <v>26</v>
      </c>
      <c r="N118" t="s">
        <v>11231</v>
      </c>
    </row>
    <row r="119" spans="1:18">
      <c r="A119" t="s">
        <v>11255</v>
      </c>
      <c r="B119" t="s">
        <v>11255</v>
      </c>
      <c r="C119" t="s">
        <v>11261</v>
      </c>
      <c r="D119" t="s">
        <v>11257</v>
      </c>
      <c r="F119" t="s">
        <v>11260</v>
      </c>
      <c r="G119" t="s">
        <v>11259</v>
      </c>
      <c r="H119" t="str">
        <f>_xlfn.CONCAT(PrivateLibraryPath,"PCB/Camdenboss.PcbLib")</f>
        <v>../altium_lib_private/PCB/Camdenboss.PcbLib</v>
      </c>
      <c r="I119" t="s">
        <v>11255</v>
      </c>
      <c r="J119" t="s">
        <v>11258</v>
      </c>
      <c r="K119" t="s">
        <v>11257</v>
      </c>
      <c r="L119" t="s">
        <v>11255</v>
      </c>
      <c r="M119" t="s">
        <v>11254</v>
      </c>
      <c r="N119" t="s">
        <v>11256</v>
      </c>
      <c r="O119" t="s">
        <v>11257</v>
      </c>
      <c r="P119" t="s">
        <v>11255</v>
      </c>
      <c r="Q119" t="s">
        <v>12153</v>
      </c>
      <c r="R119">
        <v>2392779</v>
      </c>
    </row>
    <row r="120" spans="1:18">
      <c r="A120" t="s">
        <v>12177</v>
      </c>
      <c r="B120" t="s">
        <v>12177</v>
      </c>
      <c r="C120" t="s">
        <v>12404</v>
      </c>
      <c r="D120" t="s">
        <v>12155</v>
      </c>
      <c r="F120" t="s">
        <v>11260</v>
      </c>
      <c r="G120" t="s">
        <v>6988</v>
      </c>
      <c r="H120" s="39"/>
      <c r="I120" s="39"/>
      <c r="J120" t="s">
        <v>12400</v>
      </c>
      <c r="K120" t="s">
        <v>12156</v>
      </c>
      <c r="L120" t="s">
        <v>12160</v>
      </c>
      <c r="M120" t="s">
        <v>8466</v>
      </c>
      <c r="N120">
        <v>14021770</v>
      </c>
    </row>
    <row r="121" spans="1:18">
      <c r="A121" t="s">
        <v>12178</v>
      </c>
      <c r="B121" t="s">
        <v>12178</v>
      </c>
      <c r="C121" t="s">
        <v>12404</v>
      </c>
      <c r="D121" t="s">
        <v>12155</v>
      </c>
      <c r="F121" t="s">
        <v>11260</v>
      </c>
      <c r="G121" t="s">
        <v>6988</v>
      </c>
      <c r="H121" s="39"/>
      <c r="I121" s="39"/>
      <c r="J121" t="s">
        <v>12400</v>
      </c>
      <c r="K121" t="s">
        <v>12156</v>
      </c>
      <c r="L121" t="s">
        <v>12161</v>
      </c>
      <c r="M121" t="s">
        <v>8466</v>
      </c>
      <c r="N121">
        <v>14021767</v>
      </c>
    </row>
    <row r="122" spans="1:18">
      <c r="A122" t="s">
        <v>12154</v>
      </c>
      <c r="B122" t="s">
        <v>12154</v>
      </c>
      <c r="C122" t="s">
        <v>12404</v>
      </c>
      <c r="D122" t="s">
        <v>12155</v>
      </c>
      <c r="F122" t="s">
        <v>11260</v>
      </c>
      <c r="G122" t="s">
        <v>6988</v>
      </c>
      <c r="H122" s="39"/>
      <c r="I122" s="39"/>
      <c r="J122" t="s">
        <v>12400</v>
      </c>
      <c r="K122" t="s">
        <v>12156</v>
      </c>
      <c r="L122" t="s">
        <v>12159</v>
      </c>
      <c r="M122" t="s">
        <v>8466</v>
      </c>
      <c r="N122">
        <v>14021765</v>
      </c>
    </row>
    <row r="123" spans="1:18">
      <c r="A123" t="s">
        <v>12179</v>
      </c>
      <c r="B123" t="s">
        <v>12179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12162</v>
      </c>
      <c r="M123" t="s">
        <v>8466</v>
      </c>
      <c r="N123">
        <v>14021766</v>
      </c>
    </row>
    <row r="124" spans="1:18">
      <c r="A124" t="s">
        <v>12180</v>
      </c>
      <c r="B124" t="s">
        <v>12180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12163</v>
      </c>
      <c r="M124" t="s">
        <v>8466</v>
      </c>
      <c r="N124">
        <v>14021768</v>
      </c>
    </row>
    <row r="125" spans="1:18">
      <c r="A125" t="s">
        <v>12181</v>
      </c>
      <c r="B125" t="s">
        <v>12181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12164</v>
      </c>
      <c r="M125" t="s">
        <v>8466</v>
      </c>
      <c r="N125">
        <v>14021769</v>
      </c>
    </row>
    <row r="126" spans="1:18">
      <c r="A126" t="s">
        <v>12182</v>
      </c>
      <c r="B126" t="s">
        <v>12182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12165</v>
      </c>
      <c r="M126" t="s">
        <v>8466</v>
      </c>
      <c r="N126">
        <v>30136205</v>
      </c>
    </row>
    <row r="127" spans="1:18">
      <c r="A127" t="s">
        <v>12183</v>
      </c>
      <c r="B127" t="s">
        <v>12183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12166</v>
      </c>
      <c r="M127" t="s">
        <v>8466</v>
      </c>
      <c r="N127">
        <v>14022426</v>
      </c>
    </row>
    <row r="128" spans="1:18">
      <c r="A128" t="s">
        <v>12184</v>
      </c>
      <c r="B128" t="s">
        <v>12184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12167</v>
      </c>
      <c r="M128" t="s">
        <v>8466</v>
      </c>
      <c r="N128">
        <v>14022425</v>
      </c>
    </row>
    <row r="129" spans="1:14">
      <c r="A129" t="s">
        <v>12185</v>
      </c>
      <c r="B129" t="s">
        <v>12185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12168</v>
      </c>
      <c r="M129" t="s">
        <v>8466</v>
      </c>
      <c r="N129">
        <v>14021772</v>
      </c>
    </row>
    <row r="130" spans="1:14">
      <c r="A130" t="s">
        <v>12186</v>
      </c>
      <c r="B130" t="s">
        <v>12186</v>
      </c>
      <c r="C130" t="s">
        <v>12405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12401</v>
      </c>
      <c r="K130" t="s">
        <v>12156</v>
      </c>
      <c r="L130" t="s">
        <v>12169</v>
      </c>
      <c r="M130" t="s">
        <v>8466</v>
      </c>
      <c r="N130">
        <v>30136216</v>
      </c>
    </row>
    <row r="131" spans="1:14">
      <c r="A131" t="s">
        <v>12187</v>
      </c>
      <c r="B131" t="s">
        <v>12187</v>
      </c>
      <c r="C131" t="s">
        <v>12405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12401</v>
      </c>
      <c r="K131" t="s">
        <v>12156</v>
      </c>
      <c r="L131" t="s">
        <v>12170</v>
      </c>
      <c r="M131" t="s">
        <v>8466</v>
      </c>
      <c r="N131">
        <v>30136217</v>
      </c>
    </row>
    <row r="132" spans="1:14">
      <c r="A132" t="s">
        <v>12158</v>
      </c>
      <c r="B132" t="s">
        <v>12158</v>
      </c>
      <c r="C132" t="s">
        <v>12405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12401</v>
      </c>
      <c r="K132" t="s">
        <v>12156</v>
      </c>
      <c r="L132" t="s">
        <v>12157</v>
      </c>
      <c r="M132" t="s">
        <v>8466</v>
      </c>
      <c r="N132">
        <v>30136218</v>
      </c>
    </row>
    <row r="133" spans="1:14">
      <c r="A133" t="s">
        <v>12188</v>
      </c>
      <c r="B133" t="s">
        <v>12188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12171</v>
      </c>
      <c r="M133" t="s">
        <v>8466</v>
      </c>
      <c r="N133">
        <v>30136219</v>
      </c>
    </row>
    <row r="134" spans="1:14">
      <c r="A134" t="s">
        <v>12189</v>
      </c>
      <c r="B134" t="s">
        <v>12189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12172</v>
      </c>
      <c r="M134" t="s">
        <v>8466</v>
      </c>
      <c r="N134">
        <v>30136220</v>
      </c>
    </row>
    <row r="135" spans="1:14">
      <c r="A135" t="s">
        <v>12190</v>
      </c>
      <c r="B135" t="s">
        <v>12190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12173</v>
      </c>
      <c r="M135" t="s">
        <v>8466</v>
      </c>
      <c r="N135">
        <v>30136221</v>
      </c>
    </row>
    <row r="136" spans="1:14">
      <c r="A136" t="s">
        <v>12191</v>
      </c>
      <c r="B136" t="s">
        <v>12191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12174</v>
      </c>
      <c r="M136" t="s">
        <v>8466</v>
      </c>
      <c r="N136">
        <v>30136222</v>
      </c>
    </row>
    <row r="137" spans="1:14">
      <c r="A137" t="s">
        <v>12192</v>
      </c>
      <c r="B137" t="s">
        <v>12192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12175</v>
      </c>
      <c r="M137" t="s">
        <v>8466</v>
      </c>
      <c r="N137">
        <v>30136223</v>
      </c>
    </row>
    <row r="138" spans="1:14">
      <c r="A138" t="s">
        <v>12193</v>
      </c>
      <c r="B138" t="s">
        <v>12193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12176</v>
      </c>
      <c r="M138" t="s">
        <v>8466</v>
      </c>
      <c r="N138">
        <v>30136224</v>
      </c>
    </row>
    <row r="139" spans="1:14">
      <c r="A139" t="s">
        <v>12194</v>
      </c>
      <c r="B139" t="s">
        <v>12194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12461</v>
      </c>
    </row>
    <row r="140" spans="1:14">
      <c r="A140" t="s">
        <v>12334</v>
      </c>
      <c r="B140" t="s">
        <v>12334</v>
      </c>
      <c r="C140" t="s">
        <v>12406</v>
      </c>
      <c r="D140" t="s">
        <v>12155</v>
      </c>
      <c r="F140" t="s">
        <v>11260</v>
      </c>
      <c r="G140" t="s">
        <v>7010</v>
      </c>
      <c r="H140" s="39"/>
      <c r="I140" s="39"/>
      <c r="J140" t="s">
        <v>12402</v>
      </c>
      <c r="K140" t="s">
        <v>12156</v>
      </c>
      <c r="L140" t="s">
        <v>12342</v>
      </c>
    </row>
    <row r="141" spans="1:14">
      <c r="A141" t="s">
        <v>12335</v>
      </c>
      <c r="B141" t="s">
        <v>12335</v>
      </c>
      <c r="C141" t="s">
        <v>12406</v>
      </c>
      <c r="D141" t="s">
        <v>12155</v>
      </c>
      <c r="F141" t="s">
        <v>11260</v>
      </c>
      <c r="G141" t="s">
        <v>7010</v>
      </c>
      <c r="H141" s="39"/>
      <c r="I141" s="39"/>
      <c r="J141" t="s">
        <v>12402</v>
      </c>
      <c r="K141" t="s">
        <v>12156</v>
      </c>
      <c r="L141" t="s">
        <v>12343</v>
      </c>
      <c r="M141" t="s">
        <v>8466</v>
      </c>
      <c r="N141">
        <v>14021779</v>
      </c>
    </row>
    <row r="142" spans="1:14">
      <c r="A142" t="s">
        <v>12336</v>
      </c>
      <c r="B142" t="s">
        <v>12336</v>
      </c>
      <c r="C142" t="s">
        <v>12406</v>
      </c>
      <c r="D142" t="s">
        <v>12155</v>
      </c>
      <c r="F142" t="s">
        <v>11260</v>
      </c>
      <c r="G142" t="s">
        <v>7010</v>
      </c>
      <c r="H142" s="39"/>
      <c r="I142" s="39"/>
      <c r="J142" t="s">
        <v>12402</v>
      </c>
      <c r="K142" t="s">
        <v>12156</v>
      </c>
      <c r="L142" t="s">
        <v>12344</v>
      </c>
      <c r="M142" t="s">
        <v>8466</v>
      </c>
      <c r="N142">
        <v>14021780</v>
      </c>
    </row>
    <row r="143" spans="1:14">
      <c r="A143" t="s">
        <v>12337</v>
      </c>
      <c r="B143" t="s">
        <v>12337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12345</v>
      </c>
      <c r="M143" t="s">
        <v>8466</v>
      </c>
      <c r="N143">
        <v>14021781</v>
      </c>
    </row>
    <row r="144" spans="1:14">
      <c r="A144" t="s">
        <v>12338</v>
      </c>
      <c r="B144" t="s">
        <v>12338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12346</v>
      </c>
    </row>
    <row r="145" spans="1:14">
      <c r="A145" t="s">
        <v>12339</v>
      </c>
      <c r="B145" t="s">
        <v>12339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12347</v>
      </c>
    </row>
    <row r="146" spans="1:14">
      <c r="A146" t="s">
        <v>12340</v>
      </c>
      <c r="B146" t="s">
        <v>12340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12348</v>
      </c>
    </row>
    <row r="147" spans="1:14">
      <c r="A147" t="s">
        <v>12341</v>
      </c>
      <c r="B147" t="s">
        <v>12341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12349</v>
      </c>
    </row>
    <row r="148" spans="1:14">
      <c r="A148" t="s">
        <v>12350</v>
      </c>
      <c r="B148" t="s">
        <v>12350</v>
      </c>
      <c r="C148" t="s">
        <v>12407</v>
      </c>
      <c r="D148" t="s">
        <v>12155</v>
      </c>
      <c r="F148" t="s">
        <v>11260</v>
      </c>
      <c r="G148" t="s">
        <v>6988</v>
      </c>
      <c r="H148" s="39"/>
      <c r="I148" s="39"/>
      <c r="J148" t="s">
        <v>12403</v>
      </c>
      <c r="K148" t="s">
        <v>12156</v>
      </c>
      <c r="L148" t="s">
        <v>12360</v>
      </c>
      <c r="M148" t="s">
        <v>8466</v>
      </c>
      <c r="N148">
        <v>30223684</v>
      </c>
    </row>
    <row r="149" spans="1:14">
      <c r="A149" t="s">
        <v>12351</v>
      </c>
      <c r="B149" t="s">
        <v>12351</v>
      </c>
      <c r="C149" t="s">
        <v>12407</v>
      </c>
      <c r="D149" t="s">
        <v>12155</v>
      </c>
      <c r="F149" t="s">
        <v>11260</v>
      </c>
      <c r="G149" t="s">
        <v>6988</v>
      </c>
      <c r="H149" s="39"/>
      <c r="I149" s="39"/>
      <c r="J149" t="s">
        <v>12403</v>
      </c>
      <c r="K149" t="s">
        <v>12156</v>
      </c>
      <c r="L149" t="s">
        <v>12361</v>
      </c>
      <c r="M149" t="s">
        <v>8466</v>
      </c>
      <c r="N149">
        <v>30136412</v>
      </c>
    </row>
    <row r="150" spans="1:14">
      <c r="A150" t="s">
        <v>12352</v>
      </c>
      <c r="B150" t="s">
        <v>12352</v>
      </c>
      <c r="C150" t="s">
        <v>12407</v>
      </c>
      <c r="D150" t="s">
        <v>12155</v>
      </c>
      <c r="F150" t="s">
        <v>11260</v>
      </c>
      <c r="G150" t="s">
        <v>6988</v>
      </c>
      <c r="H150" s="39"/>
      <c r="I150" s="39"/>
      <c r="J150" t="s">
        <v>12403</v>
      </c>
      <c r="K150" t="s">
        <v>12156</v>
      </c>
      <c r="L150" t="s">
        <v>12362</v>
      </c>
      <c r="M150" t="s">
        <v>8466</v>
      </c>
      <c r="N150">
        <v>30136413</v>
      </c>
    </row>
    <row r="151" spans="1:14">
      <c r="A151" t="s">
        <v>12353</v>
      </c>
      <c r="B151" t="s">
        <v>12353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12363</v>
      </c>
    </row>
    <row r="152" spans="1:14">
      <c r="A152" t="s">
        <v>12354</v>
      </c>
      <c r="B152" t="s">
        <v>12354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12364</v>
      </c>
      <c r="M152" t="s">
        <v>8466</v>
      </c>
      <c r="N152">
        <v>30136415</v>
      </c>
    </row>
    <row r="153" spans="1:14">
      <c r="A153" t="s">
        <v>12355</v>
      </c>
      <c r="B153" t="s">
        <v>12355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12365</v>
      </c>
    </row>
    <row r="154" spans="1:14">
      <c r="A154" t="s">
        <v>12356</v>
      </c>
      <c r="B154" t="s">
        <v>12356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12366</v>
      </c>
    </row>
    <row r="155" spans="1:14">
      <c r="A155" t="s">
        <v>12357</v>
      </c>
      <c r="B155" t="s">
        <v>12357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12367</v>
      </c>
      <c r="M155" t="s">
        <v>8466</v>
      </c>
    </row>
    <row r="156" spans="1:14">
      <c r="A156" t="s">
        <v>12358</v>
      </c>
      <c r="B156" t="s">
        <v>12358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12368</v>
      </c>
      <c r="M156" t="s">
        <v>8466</v>
      </c>
      <c r="N156">
        <v>30223687</v>
      </c>
    </row>
    <row r="157" spans="1:14">
      <c r="A157" t="s">
        <v>12359</v>
      </c>
      <c r="B157" t="s">
        <v>12359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12369</v>
      </c>
      <c r="M157" t="s">
        <v>8466</v>
      </c>
      <c r="N157">
        <v>30223688</v>
      </c>
    </row>
    <row r="158" spans="1:14">
      <c r="A158" t="s">
        <v>12370</v>
      </c>
      <c r="B158" t="s">
        <v>12370</v>
      </c>
      <c r="C158" t="s">
        <v>12408</v>
      </c>
      <c r="D158" t="s">
        <v>12155</v>
      </c>
      <c r="F158" t="s">
        <v>11260</v>
      </c>
      <c r="G158" t="s">
        <v>6988</v>
      </c>
      <c r="H158" s="39"/>
      <c r="I158" s="39"/>
      <c r="J158" t="s">
        <v>12486</v>
      </c>
      <c r="K158" t="s">
        <v>12156</v>
      </c>
      <c r="L158" t="s">
        <v>12411</v>
      </c>
    </row>
    <row r="159" spans="1:14">
      <c r="A159" t="s">
        <v>12371</v>
      </c>
      <c r="B159" t="s">
        <v>12371</v>
      </c>
      <c r="C159" t="s">
        <v>12408</v>
      </c>
      <c r="D159" t="s">
        <v>12155</v>
      </c>
      <c r="F159" t="s">
        <v>11260</v>
      </c>
      <c r="G159" t="s">
        <v>6988</v>
      </c>
      <c r="H159" s="39"/>
      <c r="I159" s="39"/>
      <c r="J159" t="s">
        <v>12486</v>
      </c>
      <c r="K159" t="s">
        <v>12156</v>
      </c>
      <c r="L159" t="s">
        <v>12412</v>
      </c>
    </row>
    <row r="160" spans="1:14">
      <c r="A160" t="s">
        <v>12372</v>
      </c>
      <c r="B160" t="s">
        <v>12372</v>
      </c>
      <c r="C160" t="s">
        <v>12408</v>
      </c>
      <c r="D160" t="s">
        <v>12155</v>
      </c>
      <c r="F160" t="s">
        <v>11260</v>
      </c>
      <c r="G160" t="s">
        <v>6988</v>
      </c>
      <c r="H160" s="39"/>
      <c r="I160" s="39"/>
      <c r="J160" t="s">
        <v>12486</v>
      </c>
      <c r="K160" t="s">
        <v>12156</v>
      </c>
      <c r="L160" t="s">
        <v>12413</v>
      </c>
    </row>
    <row r="161" spans="1:14">
      <c r="A161" t="s">
        <v>12373</v>
      </c>
      <c r="B161" t="s">
        <v>12373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12414</v>
      </c>
    </row>
    <row r="162" spans="1:14">
      <c r="A162" t="s">
        <v>12374</v>
      </c>
      <c r="B162" t="s">
        <v>12374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12415</v>
      </c>
    </row>
    <row r="163" spans="1:14">
      <c r="A163" t="s">
        <v>12375</v>
      </c>
      <c r="B163" t="s">
        <v>12375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12416</v>
      </c>
    </row>
    <row r="164" spans="1:14">
      <c r="A164" t="s">
        <v>12376</v>
      </c>
      <c r="B164" t="s">
        <v>12376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12417</v>
      </c>
    </row>
    <row r="165" spans="1:14">
      <c r="A165" t="s">
        <v>12377</v>
      </c>
      <c r="B165" t="s">
        <v>12377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12418</v>
      </c>
      <c r="M165" t="s">
        <v>8466</v>
      </c>
      <c r="N165">
        <v>30223530</v>
      </c>
    </row>
    <row r="166" spans="1:14">
      <c r="A166" t="s">
        <v>12378</v>
      </c>
      <c r="B166" t="s">
        <v>12378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12419</v>
      </c>
      <c r="M166" t="s">
        <v>8466</v>
      </c>
      <c r="N166">
        <v>30223531</v>
      </c>
    </row>
    <row r="167" spans="1:14">
      <c r="A167" t="s">
        <v>12379</v>
      </c>
      <c r="B167" t="s">
        <v>12379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12420</v>
      </c>
      <c r="M167" t="s">
        <v>8466</v>
      </c>
    </row>
    <row r="168" spans="1:14">
      <c r="A168" t="s">
        <v>12380</v>
      </c>
      <c r="B168" t="s">
        <v>12380</v>
      </c>
      <c r="C168" t="s">
        <v>12409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12487</v>
      </c>
      <c r="K168" t="s">
        <v>12156</v>
      </c>
      <c r="L168" t="s">
        <v>12421</v>
      </c>
      <c r="M168" t="s">
        <v>8466</v>
      </c>
      <c r="N168">
        <v>30136211</v>
      </c>
    </row>
    <row r="169" spans="1:14">
      <c r="A169" t="s">
        <v>12381</v>
      </c>
      <c r="B169" t="s">
        <v>12381</v>
      </c>
      <c r="C169" t="s">
        <v>12409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12487</v>
      </c>
      <c r="K169" t="s">
        <v>12156</v>
      </c>
      <c r="L169" t="s">
        <v>12422</v>
      </c>
      <c r="M169" t="s">
        <v>8466</v>
      </c>
      <c r="N169">
        <v>14021753</v>
      </c>
    </row>
    <row r="170" spans="1:14">
      <c r="A170" t="s">
        <v>12382</v>
      </c>
      <c r="B170" t="s">
        <v>12382</v>
      </c>
      <c r="C170" t="s">
        <v>12409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12487</v>
      </c>
      <c r="K170" t="s">
        <v>12156</v>
      </c>
      <c r="L170" t="s">
        <v>12423</v>
      </c>
      <c r="M170" t="s">
        <v>8466</v>
      </c>
      <c r="N170">
        <v>14021754</v>
      </c>
    </row>
    <row r="171" spans="1:14">
      <c r="A171" t="s">
        <v>12383</v>
      </c>
      <c r="B171" t="s">
        <v>12383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12424</v>
      </c>
      <c r="M171" t="s">
        <v>8466</v>
      </c>
      <c r="N171">
        <v>14021757</v>
      </c>
    </row>
    <row r="172" spans="1:14">
      <c r="A172" t="s">
        <v>12384</v>
      </c>
      <c r="B172" t="s">
        <v>12384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12425</v>
      </c>
      <c r="M172" t="s">
        <v>8466</v>
      </c>
      <c r="N172">
        <v>14021755</v>
      </c>
    </row>
    <row r="173" spans="1:14">
      <c r="A173" t="s">
        <v>12385</v>
      </c>
      <c r="B173" t="s">
        <v>12385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12426</v>
      </c>
      <c r="M173" t="s">
        <v>8466</v>
      </c>
      <c r="N173">
        <v>14021756</v>
      </c>
    </row>
    <row r="174" spans="1:14">
      <c r="A174" t="s">
        <v>12386</v>
      </c>
      <c r="B174" t="s">
        <v>12386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12427</v>
      </c>
    </row>
    <row r="175" spans="1:14">
      <c r="A175" t="s">
        <v>12387</v>
      </c>
      <c r="B175" t="s">
        <v>12387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12428</v>
      </c>
      <c r="M175" t="s">
        <v>8466</v>
      </c>
      <c r="N175">
        <v>30136213</v>
      </c>
    </row>
    <row r="176" spans="1:14">
      <c r="A176" t="s">
        <v>12388</v>
      </c>
      <c r="B176" t="s">
        <v>12388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12429</v>
      </c>
    </row>
    <row r="177" spans="1:14">
      <c r="A177" t="s">
        <v>12389</v>
      </c>
      <c r="B177" t="s">
        <v>12389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12430</v>
      </c>
    </row>
    <row r="178" spans="1:14">
      <c r="A178" t="s">
        <v>12390</v>
      </c>
      <c r="B178" t="s">
        <v>12390</v>
      </c>
      <c r="C178" t="s">
        <v>12410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12488</v>
      </c>
      <c r="K178" t="s">
        <v>12156</v>
      </c>
      <c r="L178" t="s">
        <v>12431</v>
      </c>
      <c r="M178" t="s">
        <v>8466</v>
      </c>
      <c r="N178">
        <v>14021809</v>
      </c>
    </row>
    <row r="179" spans="1:14">
      <c r="A179" t="s">
        <v>12391</v>
      </c>
      <c r="B179" t="s">
        <v>12391</v>
      </c>
      <c r="C179" t="s">
        <v>12410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12488</v>
      </c>
      <c r="K179" t="s">
        <v>12156</v>
      </c>
      <c r="L179" t="s">
        <v>12432</v>
      </c>
      <c r="M179" t="s">
        <v>8466</v>
      </c>
      <c r="N179">
        <v>14021804</v>
      </c>
    </row>
    <row r="180" spans="1:14">
      <c r="A180" t="s">
        <v>12392</v>
      </c>
      <c r="B180" t="s">
        <v>12392</v>
      </c>
      <c r="C180" t="s">
        <v>12410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12488</v>
      </c>
      <c r="K180" t="s">
        <v>12156</v>
      </c>
      <c r="L180" t="s">
        <v>12433</v>
      </c>
      <c r="M180" t="s">
        <v>8466</v>
      </c>
      <c r="N180">
        <v>14021805</v>
      </c>
    </row>
    <row r="181" spans="1:14">
      <c r="A181" t="s">
        <v>12393</v>
      </c>
      <c r="B181" t="s">
        <v>12393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12434</v>
      </c>
      <c r="M181" t="s">
        <v>8466</v>
      </c>
      <c r="N181">
        <v>14021808</v>
      </c>
    </row>
    <row r="182" spans="1:14">
      <c r="A182" t="s">
        <v>12394</v>
      </c>
      <c r="B182" t="s">
        <v>12394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12435</v>
      </c>
    </row>
    <row r="183" spans="1:14">
      <c r="A183" t="s">
        <v>12395</v>
      </c>
      <c r="B183" t="s">
        <v>12395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12436</v>
      </c>
    </row>
    <row r="184" spans="1:14">
      <c r="A184" t="s">
        <v>12396</v>
      </c>
      <c r="B184" t="s">
        <v>12396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12437</v>
      </c>
    </row>
    <row r="185" spans="1:14">
      <c r="A185" t="s">
        <v>12397</v>
      </c>
      <c r="B185" t="s">
        <v>12397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12438</v>
      </c>
    </row>
    <row r="186" spans="1:14">
      <c r="A186" t="s">
        <v>12398</v>
      </c>
      <c r="B186" t="s">
        <v>12398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12439</v>
      </c>
    </row>
    <row r="187" spans="1:14">
      <c r="A187" t="s">
        <v>12399</v>
      </c>
      <c r="B187" t="s">
        <v>12399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12440</v>
      </c>
    </row>
    <row r="188" spans="1:14">
      <c r="A188" t="s">
        <v>12464</v>
      </c>
      <c r="B188" t="s">
        <v>12464</v>
      </c>
      <c r="C188" t="s">
        <v>12485</v>
      </c>
      <c r="D188" t="s">
        <v>12155</v>
      </c>
      <c r="F188" t="s">
        <v>11260</v>
      </c>
      <c r="G188" t="s">
        <v>6988</v>
      </c>
      <c r="H188" s="39"/>
      <c r="I188" s="39"/>
      <c r="J188" t="s">
        <v>12441</v>
      </c>
      <c r="K188" t="s">
        <v>12156</v>
      </c>
      <c r="L188" t="s">
        <v>12442</v>
      </c>
    </row>
    <row r="189" spans="1:14">
      <c r="A189" t="s">
        <v>12465</v>
      </c>
      <c r="B189" t="s">
        <v>12465</v>
      </c>
      <c r="C189" t="s">
        <v>12485</v>
      </c>
      <c r="D189" t="s">
        <v>12155</v>
      </c>
      <c r="F189" t="s">
        <v>11260</v>
      </c>
      <c r="G189" t="s">
        <v>6988</v>
      </c>
      <c r="H189" s="39"/>
      <c r="I189" s="39"/>
      <c r="J189" t="s">
        <v>12441</v>
      </c>
      <c r="K189" t="s">
        <v>12156</v>
      </c>
      <c r="L189" t="s">
        <v>12443</v>
      </c>
      <c r="M189" t="s">
        <v>8466</v>
      </c>
      <c r="N189">
        <v>30136393</v>
      </c>
    </row>
    <row r="190" spans="1:14">
      <c r="A190" t="s">
        <v>12466</v>
      </c>
      <c r="B190" t="s">
        <v>12466</v>
      </c>
      <c r="C190" t="s">
        <v>12485</v>
      </c>
      <c r="D190" t="s">
        <v>12155</v>
      </c>
      <c r="F190" t="s">
        <v>11260</v>
      </c>
      <c r="G190" t="s">
        <v>6988</v>
      </c>
      <c r="H190" s="39"/>
      <c r="I190" s="39"/>
      <c r="J190" t="s">
        <v>12441</v>
      </c>
      <c r="K190" t="s">
        <v>12156</v>
      </c>
      <c r="L190" t="s">
        <v>12444</v>
      </c>
      <c r="M190" t="s">
        <v>8466</v>
      </c>
      <c r="N190">
        <v>30136394</v>
      </c>
    </row>
    <row r="191" spans="1:14">
      <c r="A191" t="s">
        <v>12467</v>
      </c>
      <c r="B191" t="s">
        <v>12467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12445</v>
      </c>
      <c r="M191" t="s">
        <v>8466</v>
      </c>
      <c r="N191">
        <v>30136395</v>
      </c>
    </row>
    <row r="192" spans="1:14">
      <c r="A192" t="s">
        <v>12468</v>
      </c>
      <c r="B192" t="s">
        <v>12468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12446</v>
      </c>
      <c r="M192" t="s">
        <v>8466</v>
      </c>
      <c r="N192">
        <v>30136396</v>
      </c>
    </row>
    <row r="193" spans="1:14">
      <c r="A193" t="s">
        <v>12469</v>
      </c>
      <c r="B193" t="s">
        <v>12469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12447</v>
      </c>
    </row>
    <row r="194" spans="1:14">
      <c r="A194" t="s">
        <v>12470</v>
      </c>
      <c r="B194" t="s">
        <v>12470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12448</v>
      </c>
    </row>
    <row r="195" spans="1:14">
      <c r="A195" t="s">
        <v>12471</v>
      </c>
      <c r="B195" t="s">
        <v>12471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12449</v>
      </c>
      <c r="M195" t="s">
        <v>8466</v>
      </c>
      <c r="N195">
        <v>30136399</v>
      </c>
    </row>
    <row r="196" spans="1:14">
      <c r="A196" t="s">
        <v>12472</v>
      </c>
      <c r="B196" t="s">
        <v>12472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12450</v>
      </c>
      <c r="M196" t="s">
        <v>8466</v>
      </c>
      <c r="N196">
        <v>30136400</v>
      </c>
    </row>
    <row r="197" spans="1:14">
      <c r="A197" t="s">
        <v>12473</v>
      </c>
      <c r="B197" t="s">
        <v>12473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12451</v>
      </c>
    </row>
    <row r="198" spans="1:14">
      <c r="A198" t="s">
        <v>12474</v>
      </c>
      <c r="B198" t="s">
        <v>12474</v>
      </c>
      <c r="C198" t="s">
        <v>12475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12463</v>
      </c>
      <c r="K198" t="s">
        <v>12156</v>
      </c>
      <c r="L198" t="s">
        <v>12452</v>
      </c>
    </row>
    <row r="199" spans="1:14">
      <c r="A199" t="s">
        <v>12476</v>
      </c>
      <c r="B199" t="s">
        <v>12476</v>
      </c>
      <c r="C199" t="s">
        <v>12475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12463</v>
      </c>
      <c r="K199" t="s">
        <v>12156</v>
      </c>
      <c r="L199" t="s">
        <v>12453</v>
      </c>
      <c r="M199" t="s">
        <v>8466</v>
      </c>
      <c r="N199">
        <v>30136403</v>
      </c>
    </row>
    <row r="200" spans="1:14">
      <c r="A200" t="s">
        <v>12477</v>
      </c>
      <c r="B200" t="s">
        <v>12477</v>
      </c>
      <c r="C200" t="s">
        <v>12475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12463</v>
      </c>
      <c r="K200" t="s">
        <v>12156</v>
      </c>
      <c r="L200" t="s">
        <v>12454</v>
      </c>
      <c r="M200" t="s">
        <v>8466</v>
      </c>
      <c r="N200">
        <v>30136404</v>
      </c>
    </row>
    <row r="201" spans="1:14">
      <c r="A201" t="s">
        <v>12478</v>
      </c>
      <c r="B201" t="s">
        <v>12478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12455</v>
      </c>
      <c r="M201" t="s">
        <v>8466</v>
      </c>
      <c r="N201">
        <v>30136405</v>
      </c>
    </row>
    <row r="202" spans="1:14">
      <c r="A202" t="s">
        <v>12479</v>
      </c>
      <c r="B202" t="s">
        <v>12479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12456</v>
      </c>
    </row>
    <row r="203" spans="1:14">
      <c r="A203" t="s">
        <v>12480</v>
      </c>
      <c r="B203" t="s">
        <v>12480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12457</v>
      </c>
    </row>
    <row r="204" spans="1:14">
      <c r="A204" t="s">
        <v>12481</v>
      </c>
      <c r="B204" t="s">
        <v>12481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12458</v>
      </c>
    </row>
    <row r="205" spans="1:14">
      <c r="A205" t="s">
        <v>12482</v>
      </c>
      <c r="B205" t="s">
        <v>12482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12459</v>
      </c>
      <c r="M205" t="s">
        <v>8466</v>
      </c>
      <c r="N205">
        <v>30136409</v>
      </c>
    </row>
    <row r="206" spans="1:14">
      <c r="A206" t="s">
        <v>12483</v>
      </c>
      <c r="B206" t="s">
        <v>12483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12460</v>
      </c>
      <c r="M206" t="s">
        <v>8466</v>
      </c>
      <c r="N206">
        <v>30136410</v>
      </c>
    </row>
    <row r="207" spans="1:14">
      <c r="A207" t="s">
        <v>12484</v>
      </c>
      <c r="B207" t="s">
        <v>12484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12462</v>
      </c>
    </row>
    <row r="208" spans="1:14">
      <c r="A208" t="s">
        <v>12242</v>
      </c>
      <c r="B208" t="s">
        <v>12242</v>
      </c>
      <c r="C208" t="s">
        <v>12243</v>
      </c>
      <c r="D208" t="s">
        <v>12244</v>
      </c>
      <c r="F208" t="s">
        <v>8472</v>
      </c>
      <c r="G208" t="s">
        <v>12245</v>
      </c>
      <c r="H208" t="s">
        <v>8474</v>
      </c>
      <c r="I208" t="s">
        <v>12242</v>
      </c>
      <c r="J208" t="s">
        <v>12246</v>
      </c>
      <c r="K208" t="s">
        <v>12244</v>
      </c>
      <c r="L208" t="s">
        <v>12242</v>
      </c>
      <c r="M208" t="s">
        <v>26</v>
      </c>
      <c r="N208" t="s">
        <v>12247</v>
      </c>
    </row>
    <row r="209" spans="1:14">
      <c r="A209" t="s">
        <v>12263</v>
      </c>
      <c r="B209" t="s">
        <v>12263</v>
      </c>
      <c r="C209" t="s">
        <v>12249</v>
      </c>
      <c r="D209" t="s">
        <v>12262</v>
      </c>
      <c r="F209" t="s">
        <v>8005</v>
      </c>
      <c r="G209" t="s">
        <v>8006</v>
      </c>
      <c r="H209" t="s">
        <v>8007</v>
      </c>
      <c r="I209" t="s">
        <v>12291</v>
      </c>
      <c r="J209" t="s">
        <v>12248</v>
      </c>
      <c r="K209" t="s">
        <v>12262</v>
      </c>
      <c r="L209" t="s">
        <v>12263</v>
      </c>
      <c r="M209" t="s">
        <v>26</v>
      </c>
      <c r="N209" t="s">
        <v>12293</v>
      </c>
    </row>
    <row r="210" spans="1:14">
      <c r="A210" t="s">
        <v>12264</v>
      </c>
      <c r="B210" t="s">
        <v>12264</v>
      </c>
      <c r="C210" t="s">
        <v>12250</v>
      </c>
      <c r="D210" t="s">
        <v>12262</v>
      </c>
      <c r="F210" t="s">
        <v>8005</v>
      </c>
      <c r="G210" t="s">
        <v>12290</v>
      </c>
      <c r="H210" t="s">
        <v>8007</v>
      </c>
      <c r="I210" t="s">
        <v>12292</v>
      </c>
      <c r="J210" t="s">
        <v>12248</v>
      </c>
      <c r="K210" t="s">
        <v>12262</v>
      </c>
      <c r="L210" t="s">
        <v>12264</v>
      </c>
      <c r="M210" t="s">
        <v>26</v>
      </c>
      <c r="N210" t="s">
        <v>12294</v>
      </c>
    </row>
    <row r="211" spans="1:14">
      <c r="A211" t="s">
        <v>12265</v>
      </c>
      <c r="B211" t="s">
        <v>12265</v>
      </c>
      <c r="C211" t="s">
        <v>12251</v>
      </c>
      <c r="D211" t="s">
        <v>12262</v>
      </c>
      <c r="F211" t="s">
        <v>8005</v>
      </c>
      <c r="G211" t="s">
        <v>12290</v>
      </c>
      <c r="H211" t="s">
        <v>8007</v>
      </c>
      <c r="I211" t="s">
        <v>12292</v>
      </c>
      <c r="J211" t="s">
        <v>12248</v>
      </c>
      <c r="K211" t="s">
        <v>12262</v>
      </c>
      <c r="L211" t="s">
        <v>12265</v>
      </c>
      <c r="M211" t="s">
        <v>26</v>
      </c>
      <c r="N211" t="s">
        <v>12295</v>
      </c>
    </row>
    <row r="212" spans="1:14">
      <c r="A212" t="s">
        <v>12266</v>
      </c>
      <c r="B212" t="s">
        <v>12266</v>
      </c>
      <c r="C212" t="s">
        <v>12250</v>
      </c>
      <c r="D212" t="s">
        <v>12262</v>
      </c>
      <c r="F212" t="s">
        <v>8005</v>
      </c>
      <c r="G212" t="s">
        <v>12290</v>
      </c>
      <c r="H212" t="s">
        <v>8007</v>
      </c>
      <c r="I212" t="s">
        <v>12292</v>
      </c>
      <c r="J212" t="s">
        <v>12248</v>
      </c>
      <c r="K212" t="s">
        <v>12262</v>
      </c>
      <c r="L212" t="s">
        <v>12266</v>
      </c>
      <c r="M212" t="s">
        <v>26</v>
      </c>
      <c r="N212" t="s">
        <v>12296</v>
      </c>
    </row>
    <row r="213" spans="1:14">
      <c r="A213" t="s">
        <v>12267</v>
      </c>
      <c r="B213" t="s">
        <v>12267</v>
      </c>
      <c r="C213" t="s">
        <v>12252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12267</v>
      </c>
      <c r="M213" t="s">
        <v>26</v>
      </c>
      <c r="N213" t="s">
        <v>12297</v>
      </c>
    </row>
    <row r="214" spans="1:14">
      <c r="A214" t="s">
        <v>12268</v>
      </c>
      <c r="B214" t="s">
        <v>12268</v>
      </c>
      <c r="C214" t="s">
        <v>12253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12268</v>
      </c>
      <c r="M214" t="s">
        <v>26</v>
      </c>
      <c r="N214" t="s">
        <v>12298</v>
      </c>
    </row>
    <row r="215" spans="1:14">
      <c r="A215" t="s">
        <v>12269</v>
      </c>
      <c r="B215" t="s">
        <v>12269</v>
      </c>
      <c r="C215" t="s">
        <v>12254</v>
      </c>
      <c r="D215" t="s">
        <v>12262</v>
      </c>
      <c r="F215" t="s">
        <v>8005</v>
      </c>
      <c r="G215" t="s">
        <v>8006</v>
      </c>
      <c r="H215" t="s">
        <v>8007</v>
      </c>
      <c r="I215" t="s">
        <v>12291</v>
      </c>
      <c r="J215" t="s">
        <v>12248</v>
      </c>
      <c r="K215" t="s">
        <v>12262</v>
      </c>
      <c r="L215" t="s">
        <v>12269</v>
      </c>
      <c r="M215" t="s">
        <v>26</v>
      </c>
      <c r="N215" t="s">
        <v>12299</v>
      </c>
    </row>
    <row r="216" spans="1:14">
      <c r="A216" t="s">
        <v>12270</v>
      </c>
      <c r="B216" t="s">
        <v>12270</v>
      </c>
      <c r="C216" t="s">
        <v>12253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12270</v>
      </c>
      <c r="M216" t="s">
        <v>26</v>
      </c>
      <c r="N216" t="s">
        <v>12300</v>
      </c>
    </row>
    <row r="217" spans="1:14">
      <c r="A217" t="s">
        <v>12271</v>
      </c>
      <c r="B217" t="s">
        <v>12271</v>
      </c>
      <c r="C217" t="s">
        <v>12252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12271</v>
      </c>
      <c r="M217" t="s">
        <v>26</v>
      </c>
      <c r="N217" t="s">
        <v>12301</v>
      </c>
    </row>
    <row r="218" spans="1:14">
      <c r="A218" t="s">
        <v>12272</v>
      </c>
      <c r="B218" t="s">
        <v>12272</v>
      </c>
      <c r="C218" t="s">
        <v>12255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12272</v>
      </c>
      <c r="M218" t="s">
        <v>26</v>
      </c>
      <c r="N218" t="s">
        <v>12302</v>
      </c>
    </row>
    <row r="219" spans="1:14">
      <c r="A219" t="s">
        <v>12273</v>
      </c>
      <c r="B219" t="s">
        <v>12273</v>
      </c>
      <c r="C219" t="s">
        <v>12256</v>
      </c>
      <c r="D219" t="s">
        <v>12262</v>
      </c>
      <c r="F219" t="s">
        <v>8005</v>
      </c>
      <c r="G219" t="s">
        <v>8006</v>
      </c>
      <c r="H219" t="s">
        <v>8007</v>
      </c>
      <c r="I219" t="s">
        <v>12291</v>
      </c>
      <c r="J219" t="s">
        <v>12248</v>
      </c>
      <c r="K219" t="s">
        <v>12262</v>
      </c>
      <c r="L219" t="s">
        <v>12273</v>
      </c>
      <c r="M219" t="s">
        <v>26</v>
      </c>
      <c r="N219" t="s">
        <v>12303</v>
      </c>
    </row>
    <row r="220" spans="1:14">
      <c r="A220" t="s">
        <v>12274</v>
      </c>
      <c r="B220" t="s">
        <v>12274</v>
      </c>
      <c r="C220" t="s">
        <v>12255</v>
      </c>
      <c r="D220" t="s">
        <v>12262</v>
      </c>
      <c r="F220" t="s">
        <v>8005</v>
      </c>
      <c r="G220" t="s">
        <v>8006</v>
      </c>
      <c r="H220" t="s">
        <v>8007</v>
      </c>
      <c r="I220" t="s">
        <v>12291</v>
      </c>
      <c r="J220" t="s">
        <v>12248</v>
      </c>
      <c r="K220" t="s">
        <v>12262</v>
      </c>
      <c r="L220" t="s">
        <v>12274</v>
      </c>
      <c r="M220" t="s">
        <v>26</v>
      </c>
      <c r="N220" t="s">
        <v>12304</v>
      </c>
    </row>
    <row r="221" spans="1:14">
      <c r="A221" t="s">
        <v>12275</v>
      </c>
      <c r="B221" t="s">
        <v>12275</v>
      </c>
      <c r="C221" t="s">
        <v>12251</v>
      </c>
      <c r="D221" t="s">
        <v>12262</v>
      </c>
      <c r="F221" t="s">
        <v>8005</v>
      </c>
      <c r="G221" t="s">
        <v>12290</v>
      </c>
      <c r="H221" t="s">
        <v>8007</v>
      </c>
      <c r="I221" t="s">
        <v>12292</v>
      </c>
      <c r="J221" t="s">
        <v>12248</v>
      </c>
      <c r="K221" t="s">
        <v>12262</v>
      </c>
      <c r="L221" t="s">
        <v>12275</v>
      </c>
      <c r="M221" t="s">
        <v>26</v>
      </c>
      <c r="N221" t="s">
        <v>12305</v>
      </c>
    </row>
    <row r="222" spans="1:14">
      <c r="A222" t="s">
        <v>12276</v>
      </c>
      <c r="B222" t="s">
        <v>12276</v>
      </c>
      <c r="C222" t="s">
        <v>12251</v>
      </c>
      <c r="D222" t="s">
        <v>12262</v>
      </c>
      <c r="F222" t="s">
        <v>8005</v>
      </c>
      <c r="G222" t="s">
        <v>12290</v>
      </c>
      <c r="H222" t="s">
        <v>8007</v>
      </c>
      <c r="I222" t="s">
        <v>12292</v>
      </c>
      <c r="J222" t="s">
        <v>12248</v>
      </c>
      <c r="K222" t="s">
        <v>12262</v>
      </c>
      <c r="L222" t="s">
        <v>12276</v>
      </c>
      <c r="M222" t="s">
        <v>26</v>
      </c>
      <c r="N222" t="s">
        <v>12306</v>
      </c>
    </row>
    <row r="223" spans="1:14">
      <c r="A223" t="s">
        <v>12277</v>
      </c>
      <c r="B223" t="s">
        <v>12277</v>
      </c>
      <c r="C223" t="s">
        <v>12249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12277</v>
      </c>
      <c r="M223" t="s">
        <v>26</v>
      </c>
      <c r="N223" t="s">
        <v>12307</v>
      </c>
    </row>
    <row r="224" spans="1:14">
      <c r="A224" t="s">
        <v>12278</v>
      </c>
      <c r="B224" t="s">
        <v>12278</v>
      </c>
      <c r="C224" t="s">
        <v>12249</v>
      </c>
      <c r="D224" t="s">
        <v>12262</v>
      </c>
      <c r="F224" t="s">
        <v>8005</v>
      </c>
      <c r="G224" t="s">
        <v>8006</v>
      </c>
      <c r="H224" t="s">
        <v>8007</v>
      </c>
      <c r="I224" t="s">
        <v>12291</v>
      </c>
      <c r="J224" t="s">
        <v>12248</v>
      </c>
      <c r="K224" t="s">
        <v>12262</v>
      </c>
      <c r="L224" t="s">
        <v>12278</v>
      </c>
      <c r="M224" t="s">
        <v>26</v>
      </c>
      <c r="N224" t="s">
        <v>12308</v>
      </c>
    </row>
    <row r="225" spans="1:18">
      <c r="A225" t="s">
        <v>12279</v>
      </c>
      <c r="B225" t="s">
        <v>12279</v>
      </c>
      <c r="C225" t="s">
        <v>12256</v>
      </c>
      <c r="D225" t="s">
        <v>12262</v>
      </c>
      <c r="F225" t="s">
        <v>8005</v>
      </c>
      <c r="G225" t="s">
        <v>8006</v>
      </c>
      <c r="H225" t="s">
        <v>8007</v>
      </c>
      <c r="I225" t="s">
        <v>12291</v>
      </c>
      <c r="J225" t="s">
        <v>12248</v>
      </c>
      <c r="K225" t="s">
        <v>12262</v>
      </c>
      <c r="L225" t="s">
        <v>12279</v>
      </c>
      <c r="M225" t="s">
        <v>26</v>
      </c>
      <c r="N225" t="s">
        <v>12309</v>
      </c>
    </row>
    <row r="226" spans="1:18">
      <c r="A226" t="s">
        <v>12280</v>
      </c>
      <c r="B226" t="s">
        <v>12280</v>
      </c>
      <c r="C226" t="s">
        <v>12253</v>
      </c>
      <c r="D226" t="s">
        <v>12262</v>
      </c>
      <c r="F226" t="s">
        <v>8005</v>
      </c>
      <c r="G226" t="s">
        <v>12290</v>
      </c>
      <c r="H226" t="s">
        <v>8007</v>
      </c>
      <c r="I226" t="s">
        <v>12292</v>
      </c>
      <c r="J226" t="s">
        <v>12248</v>
      </c>
      <c r="K226" t="s">
        <v>12262</v>
      </c>
      <c r="L226" t="s">
        <v>12280</v>
      </c>
      <c r="M226" t="s">
        <v>26</v>
      </c>
      <c r="N226" t="s">
        <v>12310</v>
      </c>
    </row>
    <row r="227" spans="1:18">
      <c r="A227" t="s">
        <v>12281</v>
      </c>
      <c r="B227" t="s">
        <v>12281</v>
      </c>
      <c r="C227" t="s">
        <v>12257</v>
      </c>
      <c r="D227" t="s">
        <v>12262</v>
      </c>
      <c r="F227" t="s">
        <v>8005</v>
      </c>
      <c r="G227" t="s">
        <v>12290</v>
      </c>
      <c r="H227" t="s">
        <v>8007</v>
      </c>
      <c r="I227" t="s">
        <v>12292</v>
      </c>
      <c r="J227" t="s">
        <v>12248</v>
      </c>
      <c r="K227" t="s">
        <v>12262</v>
      </c>
      <c r="L227" t="s">
        <v>12281</v>
      </c>
      <c r="M227" t="s">
        <v>26</v>
      </c>
      <c r="N227" t="s">
        <v>12311</v>
      </c>
    </row>
    <row r="228" spans="1:18">
      <c r="A228" t="s">
        <v>12282</v>
      </c>
      <c r="B228" t="s">
        <v>12282</v>
      </c>
      <c r="C228" t="s">
        <v>12251</v>
      </c>
      <c r="D228" t="s">
        <v>12262</v>
      </c>
      <c r="F228" t="s">
        <v>8005</v>
      </c>
      <c r="G228" t="s">
        <v>12290</v>
      </c>
      <c r="H228" t="s">
        <v>8007</v>
      </c>
      <c r="I228" t="s">
        <v>12292</v>
      </c>
      <c r="J228" t="s">
        <v>12248</v>
      </c>
      <c r="K228" t="s">
        <v>12262</v>
      </c>
      <c r="L228" t="s">
        <v>12282</v>
      </c>
      <c r="M228" t="s">
        <v>26</v>
      </c>
      <c r="N228" t="s">
        <v>12312</v>
      </c>
    </row>
    <row r="229" spans="1:18">
      <c r="A229" t="s">
        <v>12283</v>
      </c>
      <c r="B229" t="s">
        <v>12283</v>
      </c>
      <c r="C229" t="s">
        <v>12256</v>
      </c>
      <c r="D229" t="s">
        <v>12262</v>
      </c>
      <c r="F229" t="s">
        <v>8005</v>
      </c>
      <c r="G229" t="s">
        <v>8006</v>
      </c>
      <c r="H229" t="s">
        <v>8007</v>
      </c>
      <c r="I229" t="s">
        <v>12291</v>
      </c>
      <c r="J229" t="s">
        <v>12248</v>
      </c>
      <c r="K229" t="s">
        <v>12262</v>
      </c>
      <c r="L229" t="s">
        <v>12283</v>
      </c>
      <c r="M229" t="s">
        <v>26</v>
      </c>
      <c r="N229" t="s">
        <v>12313</v>
      </c>
    </row>
    <row r="230" spans="1:18">
      <c r="A230" t="s">
        <v>12284</v>
      </c>
      <c r="B230" t="s">
        <v>12284</v>
      </c>
      <c r="C230" t="s">
        <v>12258</v>
      </c>
      <c r="D230" t="s">
        <v>12262</v>
      </c>
      <c r="F230" t="s">
        <v>8005</v>
      </c>
      <c r="G230" t="s">
        <v>8006</v>
      </c>
      <c r="H230" t="s">
        <v>8007</v>
      </c>
      <c r="I230" t="s">
        <v>12291</v>
      </c>
      <c r="J230" t="s">
        <v>12248</v>
      </c>
      <c r="K230" t="s">
        <v>12262</v>
      </c>
      <c r="L230" t="s">
        <v>12284</v>
      </c>
      <c r="M230" t="s">
        <v>26</v>
      </c>
      <c r="N230" t="s">
        <v>12314</v>
      </c>
    </row>
    <row r="231" spans="1:18">
      <c r="A231" t="s">
        <v>12285</v>
      </c>
      <c r="B231" t="s">
        <v>12285</v>
      </c>
      <c r="C231" t="s">
        <v>12259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12285</v>
      </c>
      <c r="M231" t="s">
        <v>26</v>
      </c>
      <c r="N231" t="s">
        <v>12315</v>
      </c>
    </row>
    <row r="232" spans="1:18">
      <c r="A232" t="s">
        <v>12286</v>
      </c>
      <c r="B232" t="s">
        <v>12286</v>
      </c>
      <c r="C232" t="s">
        <v>12255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12286</v>
      </c>
      <c r="M232" t="s">
        <v>26</v>
      </c>
      <c r="N232" t="s">
        <v>12316</v>
      </c>
    </row>
    <row r="233" spans="1:18">
      <c r="A233" t="s">
        <v>12287</v>
      </c>
      <c r="B233" t="s">
        <v>12287</v>
      </c>
      <c r="C233" t="s">
        <v>12260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12287</v>
      </c>
      <c r="M233" t="s">
        <v>26</v>
      </c>
      <c r="N233" t="s">
        <v>12317</v>
      </c>
    </row>
    <row r="234" spans="1:18">
      <c r="A234" t="s">
        <v>12288</v>
      </c>
      <c r="B234" t="s">
        <v>12288</v>
      </c>
      <c r="C234" t="s">
        <v>12261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12288</v>
      </c>
      <c r="M234" t="s">
        <v>26</v>
      </c>
      <c r="N234" t="s">
        <v>12318</v>
      </c>
    </row>
    <row r="235" spans="1:18">
      <c r="A235" t="s">
        <v>12289</v>
      </c>
      <c r="B235" t="s">
        <v>12289</v>
      </c>
      <c r="C235" t="s">
        <v>12254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12289</v>
      </c>
      <c r="M235" t="s">
        <v>26</v>
      </c>
      <c r="N235" t="s">
        <v>12319</v>
      </c>
    </row>
    <row r="236" spans="1:18">
      <c r="A236" t="s">
        <v>12588</v>
      </c>
      <c r="B236" t="s">
        <v>12588</v>
      </c>
      <c r="C236" t="s">
        <v>12596</v>
      </c>
      <c r="D236" t="s">
        <v>12597</v>
      </c>
      <c r="F236" t="s">
        <v>8472</v>
      </c>
      <c r="G236" t="s">
        <v>12594</v>
      </c>
      <c r="H236" t="s">
        <v>8474</v>
      </c>
      <c r="I236" t="s">
        <v>12593</v>
      </c>
      <c r="J236" t="s">
        <v>12615</v>
      </c>
      <c r="K236" t="s">
        <v>12597</v>
      </c>
      <c r="L236">
        <v>7346710</v>
      </c>
      <c r="M236" t="s">
        <v>8466</v>
      </c>
      <c r="N236">
        <v>30403424</v>
      </c>
      <c r="O236" t="s">
        <v>12597</v>
      </c>
      <c r="P236">
        <v>7346710</v>
      </c>
      <c r="Q236" t="s">
        <v>11254</v>
      </c>
      <c r="R236">
        <v>7346710</v>
      </c>
    </row>
    <row r="237" spans="1:18">
      <c r="A237" t="s">
        <v>12598</v>
      </c>
      <c r="B237" t="s">
        <v>12598</v>
      </c>
      <c r="C237" t="s">
        <v>12602</v>
      </c>
      <c r="D237" t="s">
        <v>12597</v>
      </c>
      <c r="F237" t="s">
        <v>8472</v>
      </c>
      <c r="G237" t="s">
        <v>12595</v>
      </c>
      <c r="H237" t="s">
        <v>8474</v>
      </c>
      <c r="I237" t="s">
        <v>12608</v>
      </c>
      <c r="J237" t="s">
        <v>12620</v>
      </c>
      <c r="K237" t="s">
        <v>12597</v>
      </c>
      <c r="L237" t="s">
        <v>12619</v>
      </c>
      <c r="M237" t="s">
        <v>11254</v>
      </c>
      <c r="N237" t="s">
        <v>12619</v>
      </c>
    </row>
    <row r="238" spans="1:18">
      <c r="A238" t="s">
        <v>12590</v>
      </c>
      <c r="B238" t="s">
        <v>12590</v>
      </c>
      <c r="C238" t="s">
        <v>12591</v>
      </c>
      <c r="D238" t="s">
        <v>12597</v>
      </c>
      <c r="F238" t="s">
        <v>8472</v>
      </c>
      <c r="G238" t="s">
        <v>12595</v>
      </c>
      <c r="H238" t="s">
        <v>8474</v>
      </c>
      <c r="I238" t="s">
        <v>12609</v>
      </c>
      <c r="J238" t="s">
        <v>12616</v>
      </c>
      <c r="K238" t="s">
        <v>12597</v>
      </c>
      <c r="L238">
        <v>7346704</v>
      </c>
      <c r="M238" t="s">
        <v>8466</v>
      </c>
      <c r="N238">
        <v>30403423</v>
      </c>
      <c r="O238" t="s">
        <v>12597</v>
      </c>
      <c r="P238" t="s">
        <v>12617</v>
      </c>
      <c r="Q238" t="s">
        <v>11254</v>
      </c>
      <c r="R238" t="s">
        <v>12617</v>
      </c>
    </row>
    <row r="239" spans="1:18">
      <c r="A239" t="s">
        <v>12589</v>
      </c>
      <c r="B239" t="s">
        <v>12589</v>
      </c>
      <c r="C239" t="s">
        <v>12592</v>
      </c>
      <c r="D239" t="s">
        <v>12597</v>
      </c>
      <c r="F239" t="s">
        <v>8472</v>
      </c>
      <c r="G239" t="s">
        <v>12595</v>
      </c>
      <c r="H239" t="s">
        <v>8474</v>
      </c>
      <c r="I239" t="s">
        <v>12593</v>
      </c>
      <c r="J239" t="s">
        <v>12623</v>
      </c>
      <c r="K239" t="s">
        <v>12597</v>
      </c>
      <c r="L239">
        <v>7346716</v>
      </c>
      <c r="M239" t="s">
        <v>8466</v>
      </c>
      <c r="N239">
        <v>30395366</v>
      </c>
      <c r="O239" t="s">
        <v>12597</v>
      </c>
      <c r="P239" t="s">
        <v>12618</v>
      </c>
      <c r="Q239" t="s">
        <v>11254</v>
      </c>
      <c r="R239" t="s">
        <v>12618</v>
      </c>
    </row>
    <row r="240" spans="1:18">
      <c r="A240" t="s">
        <v>12599</v>
      </c>
      <c r="B240" t="s">
        <v>12599</v>
      </c>
      <c r="C240" t="s">
        <v>12603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12610</v>
      </c>
      <c r="J240" t="s">
        <v>12622</v>
      </c>
      <c r="K240" t="s">
        <v>12597</v>
      </c>
      <c r="L240" t="s">
        <v>12621</v>
      </c>
      <c r="M240" t="s">
        <v>11254</v>
      </c>
      <c r="N240" t="s">
        <v>12621</v>
      </c>
      <c r="O240" t="s">
        <v>12597</v>
      </c>
    </row>
    <row r="241" spans="1:18">
      <c r="A241" t="s">
        <v>12600</v>
      </c>
      <c r="B241" t="s">
        <v>12600</v>
      </c>
      <c r="C241" t="s">
        <v>12604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12611</v>
      </c>
      <c r="J241" t="s">
        <v>12625</v>
      </c>
      <c r="K241" t="s">
        <v>12597</v>
      </c>
      <c r="L241" t="s">
        <v>12624</v>
      </c>
      <c r="M241" t="s">
        <v>11254</v>
      </c>
      <c r="N241" t="s">
        <v>12624</v>
      </c>
      <c r="O241" t="s">
        <v>12597</v>
      </c>
      <c r="Q241" t="s">
        <v>11254</v>
      </c>
      <c r="R241" t="s">
        <v>12614</v>
      </c>
    </row>
    <row r="242" spans="1:18">
      <c r="A242" t="s">
        <v>12601</v>
      </c>
      <c r="B242" t="s">
        <v>12601</v>
      </c>
      <c r="C242" t="s">
        <v>12605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12612</v>
      </c>
      <c r="J242" t="s">
        <v>12627</v>
      </c>
      <c r="K242" t="s">
        <v>12597</v>
      </c>
      <c r="L242" t="s">
        <v>12626</v>
      </c>
      <c r="M242" t="s">
        <v>11254</v>
      </c>
      <c r="N242" t="s">
        <v>12626</v>
      </c>
      <c r="O242" t="s">
        <v>12597</v>
      </c>
    </row>
    <row r="243" spans="1:18">
      <c r="A243" t="s">
        <v>12606</v>
      </c>
      <c r="B243" t="s">
        <v>12606</v>
      </c>
      <c r="C243" t="s">
        <v>12607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12613</v>
      </c>
      <c r="J243" t="s">
        <v>12628</v>
      </c>
      <c r="K243" t="s">
        <v>12597</v>
      </c>
      <c r="L243" t="s">
        <v>12629</v>
      </c>
      <c r="M243" t="s">
        <v>11254</v>
      </c>
      <c r="N243" t="s">
        <v>12629</v>
      </c>
      <c r="O243" t="s">
        <v>12597</v>
      </c>
    </row>
    <row r="244" spans="1:18">
      <c r="A244" t="s">
        <v>12630</v>
      </c>
      <c r="B244" t="s">
        <v>12632</v>
      </c>
      <c r="C244" t="s">
        <v>12644</v>
      </c>
      <c r="F244" t="s">
        <v>8472</v>
      </c>
      <c r="G244" t="s">
        <v>12595</v>
      </c>
      <c r="H244" t="s">
        <v>8474</v>
      </c>
      <c r="I244" t="s">
        <v>12665</v>
      </c>
      <c r="J244" t="s">
        <v>12678</v>
      </c>
      <c r="K244" t="s">
        <v>12262</v>
      </c>
      <c r="L244" t="s">
        <v>12679</v>
      </c>
      <c r="M244" t="s">
        <v>26</v>
      </c>
      <c r="N244" t="s">
        <v>12700</v>
      </c>
    </row>
    <row r="245" spans="1:18">
      <c r="A245" t="s">
        <v>12631</v>
      </c>
      <c r="B245" t="s">
        <v>12632</v>
      </c>
      <c r="C245" t="s">
        <v>12645</v>
      </c>
      <c r="F245" t="s">
        <v>8472</v>
      </c>
      <c r="G245" t="s">
        <v>12595</v>
      </c>
      <c r="H245" t="s">
        <v>8474</v>
      </c>
      <c r="I245" t="s">
        <v>12666</v>
      </c>
      <c r="J245" t="s">
        <v>12678</v>
      </c>
      <c r="K245" t="s">
        <v>12262</v>
      </c>
      <c r="L245" t="s">
        <v>12680</v>
      </c>
      <c r="M245" t="s">
        <v>26</v>
      </c>
      <c r="N245" t="s">
        <v>12701</v>
      </c>
    </row>
    <row r="246" spans="1:18">
      <c r="A246" t="s">
        <v>12633</v>
      </c>
      <c r="B246" t="s">
        <v>12632</v>
      </c>
      <c r="C246" t="s">
        <v>12646</v>
      </c>
      <c r="F246" t="s">
        <v>8472</v>
      </c>
      <c r="G246" t="s">
        <v>12595</v>
      </c>
      <c r="H246" t="s">
        <v>8474</v>
      </c>
      <c r="I246" t="s">
        <v>12669</v>
      </c>
      <c r="J246" t="s">
        <v>12678</v>
      </c>
      <c r="K246" t="s">
        <v>12262</v>
      </c>
      <c r="L246" t="s">
        <v>12681</v>
      </c>
      <c r="M246" t="s">
        <v>26</v>
      </c>
      <c r="N246" t="s">
        <v>12702</v>
      </c>
    </row>
    <row r="247" spans="1:18">
      <c r="A247" t="s">
        <v>12634</v>
      </c>
      <c r="B247" t="s">
        <v>12632</v>
      </c>
      <c r="C247" t="s">
        <v>12647</v>
      </c>
      <c r="F247" t="s">
        <v>8472</v>
      </c>
      <c r="G247" t="s">
        <v>12595</v>
      </c>
      <c r="H247" t="s">
        <v>8474</v>
      </c>
      <c r="I247" t="s">
        <v>12670</v>
      </c>
      <c r="J247" t="s">
        <v>12678</v>
      </c>
      <c r="K247" t="s">
        <v>12262</v>
      </c>
      <c r="L247" t="s">
        <v>12682</v>
      </c>
      <c r="M247" t="s">
        <v>26</v>
      </c>
      <c r="N247" t="s">
        <v>12703</v>
      </c>
    </row>
    <row r="248" spans="1:18">
      <c r="A248" t="s">
        <v>12635</v>
      </c>
      <c r="B248" t="s">
        <v>12632</v>
      </c>
      <c r="C248" t="s">
        <v>12648</v>
      </c>
      <c r="F248" t="s">
        <v>8472</v>
      </c>
      <c r="G248" t="s">
        <v>12595</v>
      </c>
      <c r="H248" t="s">
        <v>8474</v>
      </c>
      <c r="I248" t="s">
        <v>12671</v>
      </c>
      <c r="J248" t="s">
        <v>12678</v>
      </c>
      <c r="K248" t="s">
        <v>12262</v>
      </c>
      <c r="L248" t="s">
        <v>12683</v>
      </c>
      <c r="M248" t="s">
        <v>26</v>
      </c>
      <c r="N248" t="s">
        <v>12704</v>
      </c>
    </row>
    <row r="249" spans="1:18">
      <c r="A249" t="s">
        <v>12636</v>
      </c>
      <c r="B249" t="s">
        <v>12632</v>
      </c>
      <c r="C249" t="s">
        <v>12649</v>
      </c>
      <c r="F249" t="s">
        <v>8472</v>
      </c>
      <c r="G249" t="s">
        <v>12595</v>
      </c>
      <c r="H249" t="s">
        <v>8474</v>
      </c>
      <c r="I249" t="s">
        <v>12672</v>
      </c>
      <c r="J249" t="s">
        <v>12678</v>
      </c>
      <c r="K249" t="s">
        <v>12262</v>
      </c>
      <c r="L249" t="s">
        <v>12684</v>
      </c>
      <c r="M249" t="s">
        <v>26</v>
      </c>
      <c r="N249" t="s">
        <v>12705</v>
      </c>
    </row>
    <row r="250" spans="1:18">
      <c r="A250" t="s">
        <v>12637</v>
      </c>
      <c r="B250" t="s">
        <v>12632</v>
      </c>
      <c r="C250" t="s">
        <v>12650</v>
      </c>
      <c r="F250" t="s">
        <v>8472</v>
      </c>
      <c r="G250" t="s">
        <v>12595</v>
      </c>
      <c r="H250" t="s">
        <v>8474</v>
      </c>
      <c r="I250" t="s">
        <v>12673</v>
      </c>
      <c r="J250" t="s">
        <v>12678</v>
      </c>
      <c r="K250" t="s">
        <v>12262</v>
      </c>
      <c r="L250" t="s">
        <v>12685</v>
      </c>
      <c r="M250" t="s">
        <v>26</v>
      </c>
      <c r="N250" t="s">
        <v>12706</v>
      </c>
    </row>
    <row r="251" spans="1:18">
      <c r="A251" t="s">
        <v>12638</v>
      </c>
      <c r="B251" t="s">
        <v>12632</v>
      </c>
      <c r="C251" t="s">
        <v>12651</v>
      </c>
      <c r="F251" t="s">
        <v>8472</v>
      </c>
      <c r="G251" t="s">
        <v>12595</v>
      </c>
      <c r="H251" t="s">
        <v>8474</v>
      </c>
      <c r="I251" t="s">
        <v>12674</v>
      </c>
      <c r="J251" t="s">
        <v>12678</v>
      </c>
      <c r="K251" t="s">
        <v>12262</v>
      </c>
      <c r="L251" t="s">
        <v>12686</v>
      </c>
      <c r="M251" t="s">
        <v>26</v>
      </c>
      <c r="N251" t="s">
        <v>12707</v>
      </c>
    </row>
    <row r="252" spans="1:18">
      <c r="A252" t="s">
        <v>12639</v>
      </c>
      <c r="B252" t="s">
        <v>12632</v>
      </c>
      <c r="C252" t="s">
        <v>12652</v>
      </c>
      <c r="F252" t="s">
        <v>8472</v>
      </c>
      <c r="G252" t="s">
        <v>12595</v>
      </c>
      <c r="H252" t="s">
        <v>8474</v>
      </c>
      <c r="I252" t="s">
        <v>12675</v>
      </c>
      <c r="J252" t="s">
        <v>12678</v>
      </c>
      <c r="K252" t="s">
        <v>12262</v>
      </c>
      <c r="L252" t="s">
        <v>12687</v>
      </c>
      <c r="M252" t="s">
        <v>26</v>
      </c>
      <c r="N252" t="s">
        <v>12708</v>
      </c>
    </row>
    <row r="253" spans="1:18">
      <c r="A253" t="s">
        <v>12640</v>
      </c>
      <c r="B253" t="s">
        <v>12632</v>
      </c>
      <c r="C253" t="s">
        <v>12653</v>
      </c>
      <c r="F253" t="s">
        <v>8472</v>
      </c>
      <c r="G253" t="s">
        <v>12595</v>
      </c>
      <c r="H253" t="s">
        <v>8474</v>
      </c>
      <c r="I253" t="s">
        <v>12667</v>
      </c>
      <c r="J253" t="s">
        <v>12678</v>
      </c>
      <c r="K253" t="s">
        <v>12262</v>
      </c>
      <c r="L253" t="s">
        <v>12688</v>
      </c>
      <c r="M253" t="s">
        <v>26</v>
      </c>
      <c r="N253" t="s">
        <v>12709</v>
      </c>
    </row>
    <row r="254" spans="1:18">
      <c r="A254" t="s">
        <v>12641</v>
      </c>
      <c r="B254" t="s">
        <v>12632</v>
      </c>
      <c r="C254" t="s">
        <v>12654</v>
      </c>
      <c r="F254" t="s">
        <v>8472</v>
      </c>
      <c r="G254" t="s">
        <v>12595</v>
      </c>
      <c r="H254" t="s">
        <v>8474</v>
      </c>
      <c r="I254" t="s">
        <v>12676</v>
      </c>
      <c r="J254" t="s">
        <v>12678</v>
      </c>
      <c r="K254" t="s">
        <v>12262</v>
      </c>
      <c r="L254" t="s">
        <v>12689</v>
      </c>
      <c r="M254" t="s">
        <v>26</v>
      </c>
      <c r="N254" t="s">
        <v>12710</v>
      </c>
    </row>
    <row r="255" spans="1:18">
      <c r="A255" t="s">
        <v>12642</v>
      </c>
      <c r="B255" t="s">
        <v>12632</v>
      </c>
      <c r="C255" t="s">
        <v>12655</v>
      </c>
      <c r="F255" t="s">
        <v>8472</v>
      </c>
      <c r="G255" t="s">
        <v>12595</v>
      </c>
      <c r="H255" t="s">
        <v>8474</v>
      </c>
      <c r="I255" t="s">
        <v>12668</v>
      </c>
      <c r="J255" t="s">
        <v>12678</v>
      </c>
      <c r="K255" t="s">
        <v>12262</v>
      </c>
      <c r="L255" t="s">
        <v>12690</v>
      </c>
      <c r="M255" t="s">
        <v>26</v>
      </c>
      <c r="N255" t="s">
        <v>12711</v>
      </c>
    </row>
    <row r="256" spans="1:18">
      <c r="A256" t="s">
        <v>12643</v>
      </c>
      <c r="B256" t="s">
        <v>12632</v>
      </c>
      <c r="C256" t="s">
        <v>12656</v>
      </c>
      <c r="F256" t="s">
        <v>8472</v>
      </c>
      <c r="G256" t="s">
        <v>12595</v>
      </c>
      <c r="H256" t="s">
        <v>8474</v>
      </c>
      <c r="I256" t="s">
        <v>12677</v>
      </c>
      <c r="J256" t="s">
        <v>12678</v>
      </c>
      <c r="K256" t="s">
        <v>12262</v>
      </c>
      <c r="L256" t="s">
        <v>12691</v>
      </c>
      <c r="M256" t="s">
        <v>26</v>
      </c>
      <c r="N256" t="s">
        <v>12712</v>
      </c>
    </row>
    <row r="257" spans="1:22">
      <c r="A257" t="s">
        <v>12657</v>
      </c>
      <c r="B257" t="s">
        <v>12632</v>
      </c>
      <c r="C257" t="s">
        <v>12661</v>
      </c>
      <c r="F257" t="s">
        <v>8472</v>
      </c>
      <c r="G257" t="s">
        <v>12595</v>
      </c>
      <c r="H257" t="s">
        <v>8474</v>
      </c>
      <c r="I257" t="s">
        <v>12666</v>
      </c>
      <c r="J257" t="s">
        <v>12678</v>
      </c>
      <c r="K257" t="s">
        <v>12262</v>
      </c>
      <c r="L257" t="s">
        <v>12692</v>
      </c>
      <c r="M257" t="s">
        <v>26</v>
      </c>
      <c r="N257" t="s">
        <v>12696</v>
      </c>
    </row>
    <row r="258" spans="1:22">
      <c r="A258" t="s">
        <v>12658</v>
      </c>
      <c r="B258" t="s">
        <v>12632</v>
      </c>
      <c r="C258" t="s">
        <v>12662</v>
      </c>
      <c r="F258" t="s">
        <v>8472</v>
      </c>
      <c r="G258" t="s">
        <v>12595</v>
      </c>
      <c r="H258" t="s">
        <v>8474</v>
      </c>
      <c r="I258" t="s">
        <v>12672</v>
      </c>
      <c r="J258" t="s">
        <v>12678</v>
      </c>
      <c r="K258" t="s">
        <v>12262</v>
      </c>
      <c r="L258" t="s">
        <v>12693</v>
      </c>
      <c r="M258" t="s">
        <v>26</v>
      </c>
      <c r="N258" t="s">
        <v>12697</v>
      </c>
    </row>
    <row r="259" spans="1:22">
      <c r="A259" t="s">
        <v>12659</v>
      </c>
      <c r="B259" t="s">
        <v>12632</v>
      </c>
      <c r="C259" t="s">
        <v>12663</v>
      </c>
      <c r="F259" t="s">
        <v>8472</v>
      </c>
      <c r="G259" t="s">
        <v>12595</v>
      </c>
      <c r="H259" t="s">
        <v>8474</v>
      </c>
      <c r="I259" t="s">
        <v>12667</v>
      </c>
      <c r="J259" t="s">
        <v>12678</v>
      </c>
      <c r="K259" t="s">
        <v>12262</v>
      </c>
      <c r="L259" t="s">
        <v>12694</v>
      </c>
      <c r="M259" t="s">
        <v>26</v>
      </c>
      <c r="N259" t="s">
        <v>12698</v>
      </c>
    </row>
    <row r="260" spans="1:22">
      <c r="A260" t="s">
        <v>12660</v>
      </c>
      <c r="B260" t="s">
        <v>12632</v>
      </c>
      <c r="C260" t="s">
        <v>12664</v>
      </c>
      <c r="F260" t="s">
        <v>8472</v>
      </c>
      <c r="G260" t="s">
        <v>12595</v>
      </c>
      <c r="H260" t="s">
        <v>8474</v>
      </c>
      <c r="I260" t="s">
        <v>12677</v>
      </c>
      <c r="J260" t="s">
        <v>12678</v>
      </c>
      <c r="K260" t="s">
        <v>12262</v>
      </c>
      <c r="L260" t="s">
        <v>12695</v>
      </c>
      <c r="M260" t="s">
        <v>26</v>
      </c>
      <c r="N260" t="s">
        <v>12699</v>
      </c>
    </row>
    <row r="261" spans="1:22">
      <c r="A261" t="s">
        <v>13384</v>
      </c>
      <c r="B261" t="s">
        <v>13011</v>
      </c>
      <c r="C261" t="s">
        <v>13012</v>
      </c>
      <c r="D261" t="s">
        <v>6227</v>
      </c>
      <c r="E261" t="s">
        <v>13013</v>
      </c>
      <c r="F261" t="s">
        <v>2657</v>
      </c>
      <c r="G261" t="s">
        <v>13009</v>
      </c>
      <c r="H261" t="s">
        <v>13070</v>
      </c>
      <c r="I261" t="s">
        <v>13067</v>
      </c>
      <c r="J261" t="s">
        <v>13014</v>
      </c>
      <c r="K261" t="s">
        <v>6227</v>
      </c>
      <c r="L261">
        <v>830025159</v>
      </c>
      <c r="M261" t="s">
        <v>26</v>
      </c>
      <c r="N261" t="s">
        <v>13015</v>
      </c>
      <c r="S261" t="s">
        <v>13017</v>
      </c>
      <c r="T261" t="s">
        <v>13016</v>
      </c>
      <c r="U261" t="s">
        <v>4561</v>
      </c>
      <c r="V261" t="s">
        <v>13018</v>
      </c>
    </row>
    <row r="262" spans="1:22">
      <c r="A262" t="s">
        <v>13045</v>
      </c>
      <c r="B262" t="s">
        <v>13046</v>
      </c>
      <c r="C262" t="s">
        <v>13047</v>
      </c>
      <c r="D262" t="s">
        <v>13048</v>
      </c>
      <c r="F262" t="s">
        <v>2657</v>
      </c>
      <c r="G262" t="s">
        <v>13069</v>
      </c>
      <c r="H262" t="s">
        <v>13070</v>
      </c>
      <c r="I262" t="s">
        <v>13068</v>
      </c>
      <c r="J262" t="s">
        <v>13049</v>
      </c>
      <c r="K262" t="s">
        <v>6227</v>
      </c>
      <c r="L262">
        <v>830053099</v>
      </c>
      <c r="M262" t="s">
        <v>26</v>
      </c>
      <c r="N262" t="s">
        <v>13050</v>
      </c>
      <c r="S262" t="s">
        <v>13052</v>
      </c>
      <c r="T262" t="s">
        <v>13051</v>
      </c>
      <c r="U262" t="s">
        <v>4561</v>
      </c>
      <c r="V262" t="s">
        <v>13053</v>
      </c>
    </row>
    <row r="263" spans="1:22">
      <c r="A263" t="s">
        <v>13044</v>
      </c>
      <c r="B263" t="s">
        <v>13055</v>
      </c>
      <c r="C263" t="s">
        <v>13054</v>
      </c>
      <c r="D263" t="s">
        <v>13056</v>
      </c>
      <c r="F263" t="s">
        <v>11260</v>
      </c>
      <c r="G263" t="s">
        <v>13059</v>
      </c>
      <c r="H263" t="s">
        <v>13065</v>
      </c>
      <c r="I263" t="s">
        <v>13066</v>
      </c>
      <c r="J263" t="s">
        <v>13071</v>
      </c>
      <c r="K263" t="s">
        <v>13056</v>
      </c>
      <c r="L263" t="s">
        <v>13058</v>
      </c>
      <c r="M263" t="s">
        <v>26</v>
      </c>
      <c r="N263" t="s">
        <v>13057</v>
      </c>
      <c r="S263" t="s">
        <v>13061</v>
      </c>
      <c r="T263" t="s">
        <v>13060</v>
      </c>
      <c r="U263" t="s">
        <v>4561</v>
      </c>
      <c r="V263" t="s">
        <v>13062</v>
      </c>
    </row>
    <row r="264" spans="1:22">
      <c r="A264" t="s">
        <v>13072</v>
      </c>
      <c r="B264" t="s">
        <v>13072</v>
      </c>
      <c r="C264" t="s">
        <v>13073</v>
      </c>
      <c r="D264" t="s">
        <v>13048</v>
      </c>
      <c r="F264" t="s">
        <v>4360</v>
      </c>
      <c r="G264" t="s">
        <v>10971</v>
      </c>
      <c r="H264" t="s">
        <v>4361</v>
      </c>
      <c r="I264" t="s">
        <v>13072</v>
      </c>
      <c r="J264" t="s">
        <v>13074</v>
      </c>
      <c r="K264" t="s">
        <v>13075</v>
      </c>
      <c r="L264" t="s">
        <v>13077</v>
      </c>
      <c r="M264" t="s">
        <v>26</v>
      </c>
      <c r="N264" t="s">
        <v>13076</v>
      </c>
      <c r="S264" t="s">
        <v>13078</v>
      </c>
      <c r="T264" t="s">
        <v>13080</v>
      </c>
      <c r="U264" t="s">
        <v>4561</v>
      </c>
      <c r="V264" t="s">
        <v>13079</v>
      </c>
    </row>
    <row r="265" spans="1:22">
      <c r="A265" t="s">
        <v>13341</v>
      </c>
      <c r="B265" t="s">
        <v>13341</v>
      </c>
      <c r="C265" t="s">
        <v>13345</v>
      </c>
      <c r="F265" t="s">
        <v>2657</v>
      </c>
      <c r="G265" t="s">
        <v>13069</v>
      </c>
      <c r="H265" t="s">
        <v>13070</v>
      </c>
      <c r="I265" t="s">
        <v>13347</v>
      </c>
      <c r="J265" t="s">
        <v>13344</v>
      </c>
      <c r="K265" t="s">
        <v>13343</v>
      </c>
      <c r="L265" t="s">
        <v>13342</v>
      </c>
      <c r="M265" t="s">
        <v>26</v>
      </c>
      <c r="N265" t="s">
        <v>13346</v>
      </c>
      <c r="S265" t="s">
        <v>13350</v>
      </c>
      <c r="T265" t="s">
        <v>13349</v>
      </c>
      <c r="U265" t="s">
        <v>4561</v>
      </c>
      <c r="V265" t="s">
        <v>13348</v>
      </c>
    </row>
    <row r="266" spans="1:22">
      <c r="A266" t="s">
        <v>13010</v>
      </c>
      <c r="B266" t="s">
        <v>13011</v>
      </c>
      <c r="C266" t="s">
        <v>13383</v>
      </c>
      <c r="F266" t="s">
        <v>2657</v>
      </c>
      <c r="G266" t="s">
        <v>13374</v>
      </c>
      <c r="H266" t="s">
        <v>13070</v>
      </c>
      <c r="I266" t="s">
        <v>13382</v>
      </c>
      <c r="J266" t="s">
        <v>13381</v>
      </c>
      <c r="K266" t="s">
        <v>13380</v>
      </c>
      <c r="L266" t="s">
        <v>13379</v>
      </c>
      <c r="M266" t="s">
        <v>26</v>
      </c>
      <c r="N266" t="s">
        <v>13378</v>
      </c>
      <c r="S266" t="s">
        <v>13376</v>
      </c>
      <c r="T266" t="s">
        <v>13375</v>
      </c>
      <c r="U266" t="s">
        <v>4561</v>
      </c>
      <c r="V266" t="s">
        <v>13377</v>
      </c>
    </row>
    <row r="267" spans="1:22">
      <c r="A267" t="s">
        <v>13394</v>
      </c>
      <c r="B267" t="s">
        <v>13393</v>
      </c>
      <c r="C267" t="s">
        <v>13392</v>
      </c>
      <c r="F267" t="s">
        <v>13386</v>
      </c>
      <c r="G267" t="s">
        <v>13385</v>
      </c>
      <c r="H267" t="s">
        <v>13387</v>
      </c>
      <c r="I267" t="s">
        <v>13395</v>
      </c>
      <c r="J267" t="s">
        <v>13391</v>
      </c>
      <c r="S267" t="s">
        <v>13390</v>
      </c>
      <c r="T267" t="s">
        <v>13388</v>
      </c>
      <c r="U267" t="s">
        <v>4561</v>
      </c>
      <c r="V267" t="s">
        <v>13389</v>
      </c>
    </row>
  </sheetData>
  <phoneticPr fontId="2" type="noConversion"/>
  <hyperlinks>
    <hyperlink ref="J79" r:id="rId1" xr:uid="{87781633-39AF-43F4-9B59-6B071DCD639F}"/>
    <hyperlink ref="J95" r:id="rId2" xr:uid="{9AA03FFF-97B9-46EA-A8AB-2879CFBDAEDD}"/>
    <hyperlink ref="J96" r:id="rId3" xr:uid="{943911E4-6B95-4648-A434-F1E2F7FE56E8}"/>
    <hyperlink ref="J98" r:id="rId4" xr:uid="{7B95649C-8ABB-498A-B7E6-C155EBFC68C3}"/>
    <hyperlink ref="J99" r:id="rId5" xr:uid="{5FD714E7-7453-45EB-8152-1F21A4764B1D}"/>
    <hyperlink ref="J100" r:id="rId6" xr:uid="{F8E85698-8458-41DD-A290-C0F6971F7240}"/>
    <hyperlink ref="J101" r:id="rId7" xr:uid="{9E8A709C-4D72-4E03-B880-1CB63F7321AC}"/>
    <hyperlink ref="J97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2025-11-02T12:39:01Z</dcterms:modified>
</cp:coreProperties>
</file>