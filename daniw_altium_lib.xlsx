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A527E368-7498-4B5C-82D1-F36680C6BA30}" xr6:coauthVersionLast="47" xr6:coauthVersionMax="47" xr10:uidLastSave="{00000000-0000-0000-0000-000000000000}"/>
  <bookViews>
    <workbookView xWindow="3120" yWindow="2595" windowWidth="21600" windowHeight="12495" activeTab="10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1" i="4" l="1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8" i="8"/>
  <c r="G221" i="10"/>
  <c r="G7" i="12"/>
  <c r="G186" i="4"/>
  <c r="G342" i="7"/>
  <c r="G513" i="7"/>
  <c r="AB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AB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AB1369" i="7"/>
  <c r="G1369" i="7"/>
  <c r="G187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74" i="7"/>
  <c r="AB1373" i="7"/>
  <c r="G23" i="4"/>
  <c r="G186" i="8"/>
  <c r="G185" i="8"/>
  <c r="G1374" i="7"/>
  <c r="G184" i="8"/>
  <c r="G183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01" i="7"/>
  <c r="AB502" i="7"/>
  <c r="AB503" i="7"/>
  <c r="AB504" i="7"/>
  <c r="AB505" i="7"/>
  <c r="AB506" i="7"/>
  <c r="AB507" i="7"/>
  <c r="AB508" i="7"/>
  <c r="AB509" i="7"/>
  <c r="AB510" i="7"/>
  <c r="AB511" i="7"/>
  <c r="AB512" i="7"/>
  <c r="AB1365" i="7"/>
  <c r="AB1366" i="7"/>
  <c r="AB1367" i="7"/>
  <c r="AB1368" i="7"/>
  <c r="AB1370" i="7"/>
  <c r="AB1371" i="7"/>
  <c r="AB1372" i="7"/>
  <c r="AB172" i="7"/>
  <c r="G1372" i="7"/>
  <c r="G19" i="4"/>
  <c r="G97" i="8"/>
  <c r="G1371" i="7"/>
  <c r="G182" i="8"/>
  <c r="G18" i="4"/>
  <c r="G17" i="4"/>
  <c r="G1370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<sst xmlns="http://schemas.openxmlformats.org/spreadsheetml/2006/main" count="49158" uniqueCount="14766">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</sst>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7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11136</v>
      </c>
      <c r="B8" t="s">
        <v>11137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8893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867"/>
  <sheetViews>
    <sheetView workbookViewId="0">
      <pane xSplit="2" ySplit="1" topLeftCell="C1397" activePane="bottomRight" state="frozen"/>
      <selection pane="topRight" activeCell="C1" sqref="C1"/>
      <selection pane="bottomLeft" activeCell="A2" sqref="A2"/>
      <selection pane="bottomRight" activeCell="L1413" sqref="L1413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14762</v>
      </c>
      <c r="L1" s="16" t="s">
        <v>14763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8894</v>
      </c>
      <c r="B2" s="16" t="s">
        <v>8894</v>
      </c>
      <c r="C2" s="16" t="s">
        <v>8895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14079</v>
      </c>
      <c r="O2" s="16" t="s">
        <v>477</v>
      </c>
      <c r="P2" s="17" t="s">
        <v>8896</v>
      </c>
      <c r="Q2" s="16" t="s">
        <v>25</v>
      </c>
      <c r="R2" s="17" t="s">
        <v>10592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14079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14079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14079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14079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14079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14079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14079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14079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14079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14079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14079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14079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14079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14079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14079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14079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14079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14079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14079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14079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14079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14079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14079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14079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14079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14079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14079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14079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14079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14079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14079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14079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14079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14079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14079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14079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14079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14079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14079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14079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14079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14079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14079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14079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14079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14079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14079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14079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14079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14079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14079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14079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14079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14079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14079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14079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14079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14079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14079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14079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14079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14079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14079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14079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14079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14079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14079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14079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14079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14079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14079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14079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14079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14079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14079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14079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14079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14079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14079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14079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14079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14079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14079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14079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14079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14079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14079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14079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14079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14079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14079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14079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14079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14079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14079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14079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14079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14079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14079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14079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14079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14079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14079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14079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14079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14079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14079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14079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14079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14079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14079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14079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14079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14079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14079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14079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14079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14079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14079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14079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14079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14079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14079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14079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14079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14079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14079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14079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14079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14079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14079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14079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14079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14079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14079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14079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14079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14079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14079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14079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14079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14079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14079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14079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14079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14079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14079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14079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14079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14079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14079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14079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14079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14079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14079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14079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14079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14079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14079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14079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14079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14079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14079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14079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14079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14079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14079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14079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14079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14079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14079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14079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14079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14079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14079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14079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14079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14079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14079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14079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14079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14079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14079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14079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14079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14079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14079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14079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14079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14079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14079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14079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14079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14079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14079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14079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14079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14079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14079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14079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14079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14079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14079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14079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/>
      <c r="X206" s="17"/>
      <c r="Y206" s="17"/>
      <c r="Z206" s="17"/>
      <c r="AA206" s="17"/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14079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/>
      <c r="X207" s="17"/>
      <c r="Y207" s="17"/>
      <c r="Z207" s="17"/>
      <c r="AA207" s="17"/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14079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/>
      <c r="X208" s="17"/>
      <c r="Y208" s="17"/>
      <c r="Z208" s="17"/>
      <c r="AA208" s="17"/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14079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14079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13526</v>
      </c>
      <c r="Y210" s="17" t="s">
        <v>4559</v>
      </c>
      <c r="Z210" s="17" t="s">
        <v>13527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14079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14079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14079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14079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14079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14079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14079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14079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14079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14079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14079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13525</v>
      </c>
      <c r="Y221" s="16" t="s">
        <v>4559</v>
      </c>
      <c r="Z221" s="8" t="s">
        <v>13524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14079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14079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14079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14079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14079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13569</v>
      </c>
      <c r="Y226" s="17" t="s">
        <v>4559</v>
      </c>
      <c r="Z226" s="8" t="s">
        <v>13568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14079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14079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13587</v>
      </c>
      <c r="Y228" s="16" t="s">
        <v>4559</v>
      </c>
      <c r="Z228" s="8" t="s">
        <v>13586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14079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14079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14079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14079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14079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14079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14079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13571</v>
      </c>
      <c r="Y235" s="16" t="s">
        <v>4559</v>
      </c>
      <c r="Z235" s="8" t="s">
        <v>13570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14079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14079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14079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14079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14079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14079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14079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14079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14079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14079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14079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14079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14079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14079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14079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14079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14079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14079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14079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14079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14079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14079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14079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14079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14079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14079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14079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14079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14079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14079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14079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13561</v>
      </c>
      <c r="Y266" s="16" t="s">
        <v>4559</v>
      </c>
      <c r="Z266" s="8" t="s">
        <v>13560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14079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14079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14079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14079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14079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14079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14079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13659</v>
      </c>
      <c r="Y273" s="16" t="s">
        <v>4559</v>
      </c>
      <c r="Z273" s="44" t="s">
        <v>13658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14079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14079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14079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13583</v>
      </c>
      <c r="Y276" s="16" t="s">
        <v>4559</v>
      </c>
      <c r="Z276" s="8" t="s">
        <v>13582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14079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14079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14079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13589</v>
      </c>
      <c r="Y279" s="16" t="s">
        <v>4559</v>
      </c>
      <c r="Z279" s="8" t="s">
        <v>13588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14079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13581</v>
      </c>
      <c r="Y280" s="16" t="s">
        <v>4559</v>
      </c>
      <c r="Z280" s="8" t="s">
        <v>13580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14079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14079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14079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14079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14079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14079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14079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14079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13584</v>
      </c>
      <c r="Y288" s="16" t="s">
        <v>4559</v>
      </c>
      <c r="Z288" s="8" t="s">
        <v>13585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14079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14079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13660</v>
      </c>
      <c r="Y290" s="16" t="s">
        <v>4559</v>
      </c>
      <c r="Z290" s="44" t="s">
        <v>13661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14079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14079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13567</v>
      </c>
      <c r="Y292" s="8" t="s">
        <v>4559</v>
      </c>
      <c r="Z292" s="8" t="s">
        <v>13566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14079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14079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13572</v>
      </c>
      <c r="Y294" s="16" t="s">
        <v>4559</v>
      </c>
      <c r="Z294" s="8" t="s">
        <v>13573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14079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13575</v>
      </c>
      <c r="Y295" s="16" t="s">
        <v>4559</v>
      </c>
      <c r="Z295" s="8" t="s">
        <v>13574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14079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14079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14079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14079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13577</v>
      </c>
      <c r="Y299" s="8" t="s">
        <v>4559</v>
      </c>
      <c r="Z299" s="8" t="s">
        <v>13576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14079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13559</v>
      </c>
      <c r="Y300" s="16" t="s">
        <v>4559</v>
      </c>
      <c r="Z300" s="8" t="s">
        <v>13558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14079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14079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13579</v>
      </c>
      <c r="Y302" s="16" t="s">
        <v>4559</v>
      </c>
      <c r="Z302" s="8" t="s">
        <v>13578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14079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14079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13663</v>
      </c>
      <c r="Y304" s="16" t="s">
        <v>4559</v>
      </c>
      <c r="Z304" s="44" t="s">
        <v>13662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14079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14079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13563</v>
      </c>
      <c r="Y306" s="16" t="s">
        <v>4559</v>
      </c>
      <c r="Z306" s="8" t="s">
        <v>13562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14079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14079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14079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14079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14079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14079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14079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14079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14079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14079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14079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14079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14079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14079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13546</v>
      </c>
      <c r="Y320" s="17" t="s">
        <v>4559</v>
      </c>
      <c r="Z320" s="8" t="s">
        <v>13545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14079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14079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14079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14079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14079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14079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14079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14079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14079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14079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14079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14079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14079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14079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14079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14079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14079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13557</v>
      </c>
      <c r="Y337" t="s">
        <v>4559</v>
      </c>
      <c r="Z337" s="8" t="s">
        <v>13556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14079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14079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13651</v>
      </c>
      <c r="Y339" s="17" t="s">
        <v>4559</v>
      </c>
      <c r="Z339" s="9" t="s">
        <v>13650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14079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14079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14107</v>
      </c>
      <c r="B342" s="17" t="s">
        <v>14107</v>
      </c>
      <c r="C342" s="17" t="s">
        <v>14108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14080</v>
      </c>
      <c r="O342" s="17" t="s">
        <v>477</v>
      </c>
      <c r="P342" s="17" t="s">
        <v>14109</v>
      </c>
      <c r="Q342" t="s">
        <v>25</v>
      </c>
      <c r="R342" s="17" t="s">
        <v>14110</v>
      </c>
      <c r="S342" s="17"/>
      <c r="T342" s="17"/>
      <c r="U342" s="17"/>
      <c r="V342" s="17"/>
      <c r="W342" s="17" t="s">
        <v>477</v>
      </c>
      <c r="X342" s="17" t="s">
        <v>14109</v>
      </c>
      <c r="Y342" t="s">
        <v>4559</v>
      </c>
      <c r="Z342" s="17" t="s">
        <v>14111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14079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13551</v>
      </c>
      <c r="Y343" t="s">
        <v>4559</v>
      </c>
      <c r="Z343" s="8" t="s">
        <v>13552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14079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14079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14079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14079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14079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14079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14079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14079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14079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14079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14079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14079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14079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14079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14079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14079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14079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14079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14079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14079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14079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14079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14079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14079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14079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14079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14079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14079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14079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14079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14079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14079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14079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14079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14079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14079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14079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14079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14079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14079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14079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14079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14079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14079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14079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14079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14079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14079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14079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14079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14079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14079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14079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14079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14079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14079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14079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14079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14079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14079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14079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14079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14079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14079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14079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14079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14079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14079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14079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14079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14079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14079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14079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14079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14079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14079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14079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14079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14079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14079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14574</v>
      </c>
      <c r="X423" s="17" t="s">
        <v>14575</v>
      </c>
      <c r="Y423" t="s">
        <v>4559</v>
      </c>
      <c r="Z423" s="17" t="s">
        <v>14576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14079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14079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14079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14079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14079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14079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14079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493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14079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14079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14079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14079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14079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14079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14079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14079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14079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W439" s="17"/>
      <c r="X439" s="17"/>
      <c r="Y439" s="17"/>
      <c r="Z439" s="17"/>
      <c r="AA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14079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13591</v>
      </c>
      <c r="Y440" t="s">
        <v>4559</v>
      </c>
      <c r="Z440" s="8" t="s">
        <v>13590</v>
      </c>
      <c r="AA440" t="s">
        <v>4728</v>
      </c>
      <c r="AB440" s="17" t="str">
        <f t="shared" si="7"/>
        <v>GPR080510K</v>
      </c>
    </row>
    <row r="441" spans="1:28">
      <c r="A441" s="17" t="s">
        <v>2277</v>
      </c>
      <c r="B441" s="17" t="s">
        <v>2277</v>
      </c>
      <c r="C441" s="17" t="s">
        <v>2278</v>
      </c>
      <c r="D441" s="17" t="s">
        <v>21</v>
      </c>
      <c r="E441" s="24" t="s">
        <v>6449</v>
      </c>
      <c r="F441" s="17" t="s">
        <v>233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1752</v>
      </c>
      <c r="K441" s="17"/>
      <c r="L441" s="17"/>
      <c r="M441" s="21">
        <v>11000</v>
      </c>
      <c r="N441" s="17" t="s">
        <v>14079</v>
      </c>
      <c r="O441" s="17" t="s">
        <v>477</v>
      </c>
      <c r="P441" s="17" t="s">
        <v>2279</v>
      </c>
      <c r="Q441" s="17" t="s">
        <v>25</v>
      </c>
      <c r="R441" s="17" t="s">
        <v>2280</v>
      </c>
      <c r="S441" s="17" t="s">
        <v>477</v>
      </c>
      <c r="T441" s="17" t="s">
        <v>2281</v>
      </c>
      <c r="U441" s="17" t="s">
        <v>25</v>
      </c>
      <c r="V441" s="17" t="s">
        <v>2282</v>
      </c>
      <c r="W441" s="17"/>
      <c r="X441" s="17"/>
      <c r="Y441" s="17"/>
      <c r="Z441" s="17"/>
      <c r="AA441" s="17"/>
      <c r="AB441" s="17" t="str">
        <f t="shared" si="7"/>
        <v>GPR080511K</v>
      </c>
    </row>
    <row r="442" spans="1:28">
      <c r="A442" s="17" t="s">
        <v>2283</v>
      </c>
      <c r="B442" s="17" t="s">
        <v>2283</v>
      </c>
      <c r="C442" s="17" t="s">
        <v>2284</v>
      </c>
      <c r="D442" s="17" t="s">
        <v>21</v>
      </c>
      <c r="E442" s="24" t="s">
        <v>6449</v>
      </c>
      <c r="F442" s="17" t="s">
        <v>235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12000</v>
      </c>
      <c r="N442" s="17" t="s">
        <v>14079</v>
      </c>
      <c r="O442" s="17" t="s">
        <v>477</v>
      </c>
      <c r="P442" s="17" t="s">
        <v>2285</v>
      </c>
      <c r="Q442" s="17" t="s">
        <v>25</v>
      </c>
      <c r="R442" s="17" t="s">
        <v>2286</v>
      </c>
      <c r="S442" s="17" t="s">
        <v>477</v>
      </c>
      <c r="T442" s="17" t="s">
        <v>2287</v>
      </c>
      <c r="U442" s="17" t="s">
        <v>25</v>
      </c>
      <c r="V442" s="17" t="s">
        <v>2288</v>
      </c>
      <c r="W442" s="17"/>
      <c r="X442" s="17"/>
      <c r="Y442" s="17"/>
      <c r="Z442" s="17"/>
      <c r="AA442" s="17"/>
      <c r="AB442" s="17" t="str">
        <f t="shared" si="7"/>
        <v>GPR080512K</v>
      </c>
    </row>
    <row r="443" spans="1:28">
      <c r="A443" s="17" t="s">
        <v>2289</v>
      </c>
      <c r="B443" s="17" t="s">
        <v>2289</v>
      </c>
      <c r="C443" s="17" t="s">
        <v>2290</v>
      </c>
      <c r="D443" s="17" t="s">
        <v>21</v>
      </c>
      <c r="E443" s="24" t="s">
        <v>6449</v>
      </c>
      <c r="F443" s="17" t="s">
        <v>239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13000</v>
      </c>
      <c r="N443" s="17" t="s">
        <v>14079</v>
      </c>
      <c r="O443" s="17" t="s">
        <v>477</v>
      </c>
      <c r="P443" s="17" t="s">
        <v>2291</v>
      </c>
      <c r="Q443" s="17" t="s">
        <v>25</v>
      </c>
      <c r="R443" s="17" t="s">
        <v>2292</v>
      </c>
      <c r="S443" s="17"/>
      <c r="T443" s="17"/>
      <c r="U443" s="17"/>
      <c r="V443" s="17"/>
      <c r="W443" s="17"/>
      <c r="X443" s="17"/>
      <c r="Y443" s="17"/>
      <c r="Z443" s="17"/>
      <c r="AA443" s="17"/>
      <c r="AB443" s="17" t="str">
        <f t="shared" si="7"/>
        <v>GPR080513K</v>
      </c>
    </row>
    <row r="444" spans="1:28">
      <c r="A444" s="17" t="s">
        <v>2293</v>
      </c>
      <c r="B444" s="17" t="s">
        <v>2293</v>
      </c>
      <c r="C444" s="17" t="s">
        <v>2294</v>
      </c>
      <c r="D444" s="17" t="s">
        <v>21</v>
      </c>
      <c r="E444" s="24" t="s">
        <v>6449</v>
      </c>
      <c r="F444" s="17" t="s">
        <v>243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15000</v>
      </c>
      <c r="N444" s="17" t="s">
        <v>14079</v>
      </c>
      <c r="O444" s="17" t="s">
        <v>477</v>
      </c>
      <c r="P444" s="17" t="s">
        <v>2295</v>
      </c>
      <c r="Q444" s="17" t="s">
        <v>25</v>
      </c>
      <c r="R444" s="17" t="s">
        <v>2296</v>
      </c>
      <c r="S444" s="17" t="s">
        <v>477</v>
      </c>
      <c r="T444" s="17" t="s">
        <v>2297</v>
      </c>
      <c r="U444" s="17" t="s">
        <v>25</v>
      </c>
      <c r="V444" s="17" t="s">
        <v>2298</v>
      </c>
      <c r="W444" s="17"/>
      <c r="X444" s="17"/>
      <c r="Y444" s="17"/>
      <c r="Z444" s="17"/>
      <c r="AA444" s="17"/>
      <c r="AB444" s="17" t="str">
        <f t="shared" si="7"/>
        <v>GPR080515K</v>
      </c>
    </row>
    <row r="445" spans="1:28">
      <c r="A445" s="17" t="s">
        <v>2299</v>
      </c>
      <c r="B445" s="17" t="s">
        <v>2299</v>
      </c>
      <c r="C445" s="17" t="s">
        <v>2300</v>
      </c>
      <c r="D445" s="17" t="s">
        <v>21</v>
      </c>
      <c r="E445" s="24" t="s">
        <v>6449</v>
      </c>
      <c r="F445" s="17" t="s">
        <v>247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16000</v>
      </c>
      <c r="N445" s="17" t="s">
        <v>14079</v>
      </c>
      <c r="O445" s="17" t="s">
        <v>477</v>
      </c>
      <c r="P445" s="17" t="s">
        <v>2301</v>
      </c>
      <c r="Q445" s="17" t="s">
        <v>25</v>
      </c>
      <c r="R445" s="17" t="s">
        <v>2302</v>
      </c>
      <c r="S445" s="17"/>
      <c r="T445" s="17"/>
      <c r="U445" s="17"/>
      <c r="V445" s="17"/>
      <c r="W445" s="17"/>
      <c r="X445" s="17"/>
      <c r="Y445" s="17"/>
      <c r="Z445" s="17"/>
      <c r="AA445" s="17"/>
      <c r="AB445" s="17" t="str">
        <f t="shared" si="7"/>
        <v>GPR080516K</v>
      </c>
    </row>
    <row r="446" spans="1:28">
      <c r="A446" s="17" t="s">
        <v>2303</v>
      </c>
      <c r="B446" s="17" t="s">
        <v>2303</v>
      </c>
      <c r="C446" s="17" t="s">
        <v>2304</v>
      </c>
      <c r="D446" s="17" t="s">
        <v>21</v>
      </c>
      <c r="E446" s="24" t="s">
        <v>6449</v>
      </c>
      <c r="F446" s="17" t="s">
        <v>251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18000</v>
      </c>
      <c r="N446" s="17" t="s">
        <v>14079</v>
      </c>
      <c r="O446" s="17" t="s">
        <v>477</v>
      </c>
      <c r="P446" s="17" t="s">
        <v>2305</v>
      </c>
      <c r="Q446" s="17" t="s">
        <v>25</v>
      </c>
      <c r="R446" s="17" t="s">
        <v>2306</v>
      </c>
      <c r="S446" s="17" t="s">
        <v>477</v>
      </c>
      <c r="T446" s="17" t="s">
        <v>2307</v>
      </c>
      <c r="U446" s="17" t="s">
        <v>25</v>
      </c>
      <c r="V446" s="17" t="s">
        <v>2308</v>
      </c>
      <c r="W446" s="17"/>
      <c r="X446" s="17"/>
      <c r="Y446" s="17"/>
      <c r="Z446" s="17"/>
      <c r="AA446" s="17"/>
      <c r="AB446" s="17" t="str">
        <f t="shared" si="7"/>
        <v>GPR080518K</v>
      </c>
    </row>
    <row r="447" spans="1:28">
      <c r="A447" s="17" t="s">
        <v>2309</v>
      </c>
      <c r="B447" s="17" t="s">
        <v>2309</v>
      </c>
      <c r="C447" s="17" t="s">
        <v>2310</v>
      </c>
      <c r="D447" s="17" t="s">
        <v>21</v>
      </c>
      <c r="E447" s="24" t="s">
        <v>6449</v>
      </c>
      <c r="F447" s="17" t="s">
        <v>255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20000</v>
      </c>
      <c r="N447" s="17" t="s">
        <v>14079</v>
      </c>
      <c r="O447" s="17" t="s">
        <v>477</v>
      </c>
      <c r="P447" s="17" t="s">
        <v>2311</v>
      </c>
      <c r="Q447" s="17" t="s">
        <v>25</v>
      </c>
      <c r="R447" s="17" t="s">
        <v>2312</v>
      </c>
      <c r="S447" s="17" t="s">
        <v>477</v>
      </c>
      <c r="T447" s="17" t="s">
        <v>2313</v>
      </c>
      <c r="U447" s="17" t="s">
        <v>25</v>
      </c>
      <c r="V447" s="17" t="s">
        <v>2314</v>
      </c>
      <c r="W447" s="17"/>
      <c r="X447" s="17"/>
      <c r="Y447" s="17"/>
      <c r="Z447" s="17"/>
      <c r="AA447" s="17"/>
      <c r="AB447" s="17" t="str">
        <f t="shared" si="7"/>
        <v>GPR080520K</v>
      </c>
    </row>
    <row r="448" spans="1:28">
      <c r="A448" s="17" t="s">
        <v>2315</v>
      </c>
      <c r="B448" s="17" t="s">
        <v>2315</v>
      </c>
      <c r="C448" s="17" t="s">
        <v>2316</v>
      </c>
      <c r="D448" s="17" t="s">
        <v>21</v>
      </c>
      <c r="E448" s="24" t="s">
        <v>6449</v>
      </c>
      <c r="F448" s="17" t="s">
        <v>257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22000</v>
      </c>
      <c r="N448" s="17" t="s">
        <v>14079</v>
      </c>
      <c r="O448" s="17" t="s">
        <v>477</v>
      </c>
      <c r="P448" s="17" t="s">
        <v>2317</v>
      </c>
      <c r="Q448" s="17" t="s">
        <v>25</v>
      </c>
      <c r="R448" s="17" t="s">
        <v>2318</v>
      </c>
      <c r="S448" s="17" t="s">
        <v>477</v>
      </c>
      <c r="T448" s="17" t="s">
        <v>2319</v>
      </c>
      <c r="U448" s="17" t="s">
        <v>25</v>
      </c>
      <c r="V448" s="17" t="s">
        <v>2320</v>
      </c>
      <c r="W448" s="17"/>
      <c r="X448" s="17"/>
      <c r="Y448" s="17"/>
      <c r="Z448" s="17"/>
      <c r="AA448" s="17"/>
      <c r="AB448" s="17" t="str">
        <f t="shared" si="7"/>
        <v>GPR080522K</v>
      </c>
    </row>
    <row r="449" spans="1:28">
      <c r="A449" s="17" t="s">
        <v>2321</v>
      </c>
      <c r="B449" s="17" t="s">
        <v>2321</v>
      </c>
      <c r="C449" s="17" t="s">
        <v>2322</v>
      </c>
      <c r="D449" s="17" t="s">
        <v>21</v>
      </c>
      <c r="E449" s="24" t="s">
        <v>6449</v>
      </c>
      <c r="F449" s="17" t="s">
        <v>259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24000</v>
      </c>
      <c r="N449" s="17" t="s">
        <v>14079</v>
      </c>
      <c r="O449" s="17" t="s">
        <v>477</v>
      </c>
      <c r="P449" s="17" t="s">
        <v>2323</v>
      </c>
      <c r="Q449" s="17" t="s">
        <v>25</v>
      </c>
      <c r="R449" s="17" t="s">
        <v>2324</v>
      </c>
      <c r="S449" s="17" t="s">
        <v>477</v>
      </c>
      <c r="T449" s="17" t="s">
        <v>2325</v>
      </c>
      <c r="U449" s="17" t="s">
        <v>25</v>
      </c>
      <c r="V449" s="17" t="s">
        <v>2326</v>
      </c>
      <c r="W449" s="17"/>
      <c r="X449" s="17"/>
      <c r="Y449" s="17"/>
      <c r="Z449" s="17"/>
      <c r="AA449" s="17"/>
      <c r="AB449" s="17" t="str">
        <f t="shared" si="7"/>
        <v>GPR080524K</v>
      </c>
    </row>
    <row r="450" spans="1:28">
      <c r="A450" s="17" t="s">
        <v>2327</v>
      </c>
      <c r="B450" s="17" t="s">
        <v>2327</v>
      </c>
      <c r="C450" s="17" t="s">
        <v>2328</v>
      </c>
      <c r="D450" s="17" t="s">
        <v>21</v>
      </c>
      <c r="E450" s="24" t="s">
        <v>6449</v>
      </c>
      <c r="F450" s="17" t="s">
        <v>263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27000</v>
      </c>
      <c r="N450" s="17" t="s">
        <v>14079</v>
      </c>
      <c r="O450" s="17" t="s">
        <v>477</v>
      </c>
      <c r="P450" s="17" t="s">
        <v>2329</v>
      </c>
      <c r="Q450" s="17" t="s">
        <v>25</v>
      </c>
      <c r="R450" s="17" t="s">
        <v>2330</v>
      </c>
      <c r="S450" s="17" t="s">
        <v>477</v>
      </c>
      <c r="T450" s="17" t="s">
        <v>2331</v>
      </c>
      <c r="U450" s="17" t="s">
        <v>25</v>
      </c>
      <c r="V450" s="17" t="s">
        <v>2332</v>
      </c>
      <c r="W450" s="17"/>
      <c r="X450" s="17"/>
      <c r="Y450" s="17"/>
      <c r="Z450" s="17"/>
      <c r="AA450" s="17"/>
      <c r="AB450" s="17" t="str">
        <f t="shared" si="7"/>
        <v>GPR080527K</v>
      </c>
    </row>
    <row r="451" spans="1:28">
      <c r="A451" s="17" t="s">
        <v>2333</v>
      </c>
      <c r="B451" s="17" t="s">
        <v>2333</v>
      </c>
      <c r="C451" s="17" t="s">
        <v>2334</v>
      </c>
      <c r="D451" s="17" t="s">
        <v>21</v>
      </c>
      <c r="E451" s="24" t="s">
        <v>6449</v>
      </c>
      <c r="F451" s="17" t="s">
        <v>265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30000</v>
      </c>
      <c r="N451" s="17" t="s">
        <v>14079</v>
      </c>
      <c r="O451" s="17" t="s">
        <v>477</v>
      </c>
      <c r="P451" s="17" t="s">
        <v>2335</v>
      </c>
      <c r="Q451" s="17" t="s">
        <v>25</v>
      </c>
      <c r="R451" s="17" t="s">
        <v>2336</v>
      </c>
      <c r="S451" s="17" t="s">
        <v>477</v>
      </c>
      <c r="T451" s="17" t="s">
        <v>2337</v>
      </c>
      <c r="U451" s="17" t="s">
        <v>25</v>
      </c>
      <c r="V451" s="17" t="s">
        <v>2338</v>
      </c>
      <c r="W451" s="17"/>
      <c r="X451" s="17"/>
      <c r="Y451" s="17"/>
      <c r="Z451" s="17"/>
      <c r="AA451" s="17"/>
      <c r="AB451" s="17" t="str">
        <f t="shared" si="7"/>
        <v>GPR080530K</v>
      </c>
    </row>
    <row r="452" spans="1:28">
      <c r="A452" s="17" t="s">
        <v>2339</v>
      </c>
      <c r="B452" s="17" t="s">
        <v>2339</v>
      </c>
      <c r="C452" s="17" t="s">
        <v>2340</v>
      </c>
      <c r="D452" s="17" t="s">
        <v>21</v>
      </c>
      <c r="E452" s="24" t="s">
        <v>6449</v>
      </c>
      <c r="F452" s="17" t="s">
        <v>267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33000</v>
      </c>
      <c r="N452" s="17" t="s">
        <v>14079</v>
      </c>
      <c r="O452" s="17" t="s">
        <v>477</v>
      </c>
      <c r="P452" s="17" t="s">
        <v>2341</v>
      </c>
      <c r="Q452" s="17" t="s">
        <v>25</v>
      </c>
      <c r="R452" s="17" t="s">
        <v>2342</v>
      </c>
      <c r="S452" s="17" t="s">
        <v>477</v>
      </c>
      <c r="T452" s="17" t="s">
        <v>2343</v>
      </c>
      <c r="U452" s="17" t="s">
        <v>25</v>
      </c>
      <c r="V452" s="17" t="s">
        <v>2344</v>
      </c>
      <c r="W452" s="17"/>
      <c r="X452" s="17"/>
      <c r="Y452" s="17"/>
      <c r="Z452" s="17"/>
      <c r="AA452" s="17"/>
      <c r="AB452" s="17" t="str">
        <f t="shared" si="7"/>
        <v>GPR080533K</v>
      </c>
    </row>
    <row r="453" spans="1:28">
      <c r="A453" s="17" t="s">
        <v>2345</v>
      </c>
      <c r="B453" s="17" t="s">
        <v>2345</v>
      </c>
      <c r="C453" s="17" t="s">
        <v>2346</v>
      </c>
      <c r="D453" s="17" t="s">
        <v>21</v>
      </c>
      <c r="E453" s="24" t="s">
        <v>6449</v>
      </c>
      <c r="F453" s="17" t="s">
        <v>269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36000</v>
      </c>
      <c r="N453" s="17" t="s">
        <v>14079</v>
      </c>
      <c r="O453" s="17" t="s">
        <v>477</v>
      </c>
      <c r="P453" s="17" t="s">
        <v>2347</v>
      </c>
      <c r="Q453" s="17" t="s">
        <v>25</v>
      </c>
      <c r="R453" s="17" t="s">
        <v>2348</v>
      </c>
      <c r="S453" s="17" t="s">
        <v>477</v>
      </c>
      <c r="T453" s="17" t="s">
        <v>2349</v>
      </c>
      <c r="U453" s="17" t="s">
        <v>25</v>
      </c>
      <c r="V453" s="17" t="s">
        <v>2350</v>
      </c>
      <c r="W453" s="17"/>
      <c r="X453" s="17"/>
      <c r="Y453" s="17"/>
      <c r="Z453" s="17"/>
      <c r="AA453" s="17"/>
      <c r="AB453" s="17" t="str">
        <f t="shared" si="7"/>
        <v>GPR080536K</v>
      </c>
    </row>
    <row r="454" spans="1:28">
      <c r="A454" s="17" t="s">
        <v>2351</v>
      </c>
      <c r="B454" s="17" t="s">
        <v>2351</v>
      </c>
      <c r="C454" s="17" t="s">
        <v>2352</v>
      </c>
      <c r="D454" s="17" t="s">
        <v>21</v>
      </c>
      <c r="E454" s="24" t="s">
        <v>6449</v>
      </c>
      <c r="F454" s="17" t="s">
        <v>273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39000</v>
      </c>
      <c r="N454" s="17" t="s">
        <v>14079</v>
      </c>
      <c r="O454" s="17" t="s">
        <v>477</v>
      </c>
      <c r="P454" s="17" t="s">
        <v>2353</v>
      </c>
      <c r="Q454" s="17" t="s">
        <v>25</v>
      </c>
      <c r="R454" s="17" t="s">
        <v>2354</v>
      </c>
      <c r="S454" s="17" t="s">
        <v>477</v>
      </c>
      <c r="T454" s="17" t="s">
        <v>2355</v>
      </c>
      <c r="U454" s="17" t="s">
        <v>25</v>
      </c>
      <c r="V454" s="17" t="s">
        <v>2356</v>
      </c>
      <c r="W454" s="17"/>
      <c r="X454" s="17"/>
      <c r="Y454" s="17"/>
      <c r="Z454" s="17"/>
      <c r="AA454" s="17"/>
      <c r="AB454" s="17" t="str">
        <f t="shared" si="7"/>
        <v>GPR080539K</v>
      </c>
    </row>
    <row r="455" spans="1:28">
      <c r="A455" s="17" t="s">
        <v>2357</v>
      </c>
      <c r="B455" s="17" t="s">
        <v>2357</v>
      </c>
      <c r="C455" s="17" t="s">
        <v>2358</v>
      </c>
      <c r="D455" s="17" t="s">
        <v>21</v>
      </c>
      <c r="E455" s="24" t="s">
        <v>6449</v>
      </c>
      <c r="F455" s="17" t="s">
        <v>277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43000</v>
      </c>
      <c r="N455" s="17" t="s">
        <v>14079</v>
      </c>
      <c r="O455" s="17" t="s">
        <v>477</v>
      </c>
      <c r="P455" s="17" t="s">
        <v>2359</v>
      </c>
      <c r="Q455" s="17" t="s">
        <v>25</v>
      </c>
      <c r="R455" s="17" t="s">
        <v>2360</v>
      </c>
      <c r="S455" s="17"/>
      <c r="T455" s="17"/>
      <c r="U455" s="17"/>
      <c r="V455" s="17"/>
      <c r="W455" s="17"/>
      <c r="X455" s="17"/>
      <c r="Y455" s="17"/>
      <c r="Z455" s="17"/>
      <c r="AA455" s="17"/>
      <c r="AB455" s="17" t="str">
        <f t="shared" si="7"/>
        <v>GPR080543K</v>
      </c>
    </row>
    <row r="456" spans="1:28">
      <c r="A456" s="17" t="s">
        <v>2361</v>
      </c>
      <c r="B456" s="17" t="s">
        <v>2361</v>
      </c>
      <c r="C456" s="17" t="s">
        <v>2362</v>
      </c>
      <c r="D456" s="17" t="s">
        <v>21</v>
      </c>
      <c r="E456" s="24" t="s">
        <v>6449</v>
      </c>
      <c r="F456" s="17" t="s">
        <v>279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47000</v>
      </c>
      <c r="N456" s="17" t="s">
        <v>14079</v>
      </c>
      <c r="O456" s="17" t="s">
        <v>477</v>
      </c>
      <c r="P456" s="17" t="s">
        <v>2363</v>
      </c>
      <c r="Q456" s="17" t="s">
        <v>25</v>
      </c>
      <c r="R456" s="17" t="s">
        <v>2364</v>
      </c>
      <c r="S456" s="17" t="s">
        <v>477</v>
      </c>
      <c r="T456" s="17" t="s">
        <v>2365</v>
      </c>
      <c r="U456" s="17" t="s">
        <v>25</v>
      </c>
      <c r="V456" s="17" t="s">
        <v>2366</v>
      </c>
      <c r="W456" s="17"/>
      <c r="X456" s="17"/>
      <c r="Y456" s="17"/>
      <c r="Z456" s="17"/>
      <c r="AA456" s="17"/>
      <c r="AB456" s="17" t="str">
        <f t="shared" si="7"/>
        <v>GPR080547K</v>
      </c>
    </row>
    <row r="457" spans="1:28">
      <c r="A457" s="17" t="s">
        <v>2367</v>
      </c>
      <c r="B457" s="17" t="s">
        <v>2367</v>
      </c>
      <c r="C457" s="17" t="s">
        <v>2368</v>
      </c>
      <c r="D457" s="17" t="s">
        <v>21</v>
      </c>
      <c r="E457" s="24" t="s">
        <v>6449</v>
      </c>
      <c r="F457" s="17" t="s">
        <v>283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51000</v>
      </c>
      <c r="N457" s="17" t="s">
        <v>14079</v>
      </c>
      <c r="O457" s="17" t="s">
        <v>477</v>
      </c>
      <c r="P457" s="17" t="s">
        <v>2369</v>
      </c>
      <c r="Q457" s="17" t="s">
        <v>25</v>
      </c>
      <c r="R457" s="17" t="s">
        <v>2370</v>
      </c>
      <c r="S457" s="17" t="s">
        <v>477</v>
      </c>
      <c r="T457" s="17" t="s">
        <v>2371</v>
      </c>
      <c r="U457" s="17" t="s">
        <v>25</v>
      </c>
      <c r="V457" s="17" t="s">
        <v>2372</v>
      </c>
      <c r="W457" s="17"/>
      <c r="X457" s="17"/>
      <c r="Y457" s="17"/>
      <c r="Z457" s="17"/>
      <c r="AA457" s="17"/>
      <c r="AB457" s="17" t="str">
        <f t="shared" si="7"/>
        <v>GPR080551K</v>
      </c>
    </row>
    <row r="458" spans="1:28">
      <c r="A458" s="17" t="s">
        <v>2373</v>
      </c>
      <c r="B458" s="17" t="s">
        <v>2373</v>
      </c>
      <c r="C458" s="17" t="s">
        <v>2374</v>
      </c>
      <c r="D458" s="17" t="s">
        <v>21</v>
      </c>
      <c r="E458" s="24" t="s">
        <v>6449</v>
      </c>
      <c r="F458" s="17" t="s">
        <v>287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56000</v>
      </c>
      <c r="N458" s="17" t="s">
        <v>14079</v>
      </c>
      <c r="O458" s="17" t="s">
        <v>477</v>
      </c>
      <c r="P458" s="17" t="s">
        <v>2375</v>
      </c>
      <c r="Q458" s="17" t="s">
        <v>25</v>
      </c>
      <c r="R458" s="17" t="s">
        <v>2376</v>
      </c>
      <c r="S458" s="17" t="s">
        <v>477</v>
      </c>
      <c r="T458" s="17" t="s">
        <v>2377</v>
      </c>
      <c r="U458" s="17" t="s">
        <v>25</v>
      </c>
      <c r="V458" s="17" t="s">
        <v>2378</v>
      </c>
      <c r="W458" s="17"/>
      <c r="X458" s="17"/>
      <c r="Y458" s="17"/>
      <c r="Z458" s="17"/>
      <c r="AA458" s="17"/>
      <c r="AB458" s="17" t="str">
        <f t="shared" si="7"/>
        <v>GPR080556K</v>
      </c>
    </row>
    <row r="459" spans="1:28">
      <c r="A459" s="17" t="s">
        <v>2379</v>
      </c>
      <c r="B459" s="17" t="s">
        <v>2379</v>
      </c>
      <c r="C459" s="17" t="s">
        <v>2380</v>
      </c>
      <c r="D459" s="17" t="s">
        <v>21</v>
      </c>
      <c r="E459" s="24" t="s">
        <v>6449</v>
      </c>
      <c r="F459" s="17" t="s">
        <v>291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62000</v>
      </c>
      <c r="N459" s="17" t="s">
        <v>14079</v>
      </c>
      <c r="O459" s="17" t="s">
        <v>477</v>
      </c>
      <c r="P459" s="17" t="s">
        <v>2381</v>
      </c>
      <c r="Q459" s="17" t="s">
        <v>25</v>
      </c>
      <c r="R459" s="17" t="s">
        <v>2382</v>
      </c>
      <c r="S459" s="17"/>
      <c r="T459" s="17"/>
      <c r="U459" s="17"/>
      <c r="V459" s="17"/>
      <c r="W459" s="17"/>
      <c r="X459" s="17"/>
      <c r="Y459" s="17"/>
      <c r="Z459" s="17"/>
      <c r="AA459" s="17"/>
      <c r="AB459" s="17" t="str">
        <f t="shared" si="7"/>
        <v>GPR080562K</v>
      </c>
    </row>
    <row r="460" spans="1:28">
      <c r="A460" s="17" t="s">
        <v>2383</v>
      </c>
      <c r="B460" s="17" t="s">
        <v>2383</v>
      </c>
      <c r="C460" s="17" t="s">
        <v>2384</v>
      </c>
      <c r="D460" s="17" t="s">
        <v>21</v>
      </c>
      <c r="E460" s="24" t="s">
        <v>6449</v>
      </c>
      <c r="F460" s="17" t="s">
        <v>295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68000</v>
      </c>
      <c r="N460" s="17" t="s">
        <v>14079</v>
      </c>
      <c r="O460" s="17" t="s">
        <v>477</v>
      </c>
      <c r="P460" s="17" t="s">
        <v>2385</v>
      </c>
      <c r="Q460" s="17" t="s">
        <v>25</v>
      </c>
      <c r="R460" s="17" t="s">
        <v>2386</v>
      </c>
      <c r="S460" s="17" t="s">
        <v>477</v>
      </c>
      <c r="T460" s="17" t="s">
        <v>2387</v>
      </c>
      <c r="U460" s="17" t="s">
        <v>25</v>
      </c>
      <c r="V460" s="17" t="s">
        <v>2388</v>
      </c>
      <c r="W460" s="17"/>
      <c r="X460" s="17"/>
      <c r="Y460" s="17"/>
      <c r="Z460" s="17"/>
      <c r="AA460" s="17"/>
      <c r="AB460" s="17" t="str">
        <f t="shared" si="7"/>
        <v>GPR080568K</v>
      </c>
    </row>
    <row r="461" spans="1:28">
      <c r="A461" s="17" t="s">
        <v>2389</v>
      </c>
      <c r="B461" s="17" t="s">
        <v>2389</v>
      </c>
      <c r="C461" s="17" t="s">
        <v>2390</v>
      </c>
      <c r="D461" s="17" t="s">
        <v>21</v>
      </c>
      <c r="E461" s="24" t="s">
        <v>6449</v>
      </c>
      <c r="F461" s="17" t="s">
        <v>299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75000</v>
      </c>
      <c r="N461" s="17" t="s">
        <v>14079</v>
      </c>
      <c r="O461" s="17" t="s">
        <v>477</v>
      </c>
      <c r="P461" s="17" t="s">
        <v>2391</v>
      </c>
      <c r="Q461" s="17" t="s">
        <v>25</v>
      </c>
      <c r="R461" s="17" t="s">
        <v>2392</v>
      </c>
      <c r="S461" s="17" t="s">
        <v>477</v>
      </c>
      <c r="T461" s="17" t="s">
        <v>2393</v>
      </c>
      <c r="U461" s="17" t="s">
        <v>25</v>
      </c>
      <c r="V461" s="17" t="s">
        <v>2394</v>
      </c>
      <c r="W461" s="17"/>
      <c r="X461" s="17"/>
      <c r="Y461" s="17"/>
      <c r="Z461" s="17"/>
      <c r="AA461" s="17"/>
      <c r="AB461" s="17" t="str">
        <f t="shared" si="7"/>
        <v>GPR080575K</v>
      </c>
    </row>
    <row r="462" spans="1:28">
      <c r="A462" s="17" t="s">
        <v>2395</v>
      </c>
      <c r="B462" s="17" t="s">
        <v>2395</v>
      </c>
      <c r="C462" s="17" t="s">
        <v>2396</v>
      </c>
      <c r="D462" s="17" t="s">
        <v>21</v>
      </c>
      <c r="E462" s="24" t="s">
        <v>6449</v>
      </c>
      <c r="F462" s="17" t="s">
        <v>301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82000</v>
      </c>
      <c r="N462" s="17" t="s">
        <v>14079</v>
      </c>
      <c r="O462" s="17" t="s">
        <v>477</v>
      </c>
      <c r="P462" s="17" t="s">
        <v>2397</v>
      </c>
      <c r="Q462" s="17" t="s">
        <v>25</v>
      </c>
      <c r="R462" s="17" t="s">
        <v>2398</v>
      </c>
      <c r="S462" s="17" t="s">
        <v>477</v>
      </c>
      <c r="T462" s="17" t="s">
        <v>2399</v>
      </c>
      <c r="U462" s="17" t="s">
        <v>25</v>
      </c>
      <c r="V462" s="17" t="s">
        <v>2400</v>
      </c>
      <c r="W462" s="17"/>
      <c r="X462" s="17"/>
      <c r="Y462" s="17"/>
      <c r="Z462" s="17"/>
      <c r="AA462" s="17"/>
      <c r="AB462" s="17" t="str">
        <f t="shared" si="7"/>
        <v>GPR080582K</v>
      </c>
    </row>
    <row r="463" spans="1:28">
      <c r="A463" s="17" t="s">
        <v>2401</v>
      </c>
      <c r="B463" s="17" t="s">
        <v>2401</v>
      </c>
      <c r="C463" s="17" t="s">
        <v>2402</v>
      </c>
      <c r="D463" s="17" t="s">
        <v>21</v>
      </c>
      <c r="E463" s="24" t="s">
        <v>6449</v>
      </c>
      <c r="F463" s="17" t="s">
        <v>303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1752</v>
      </c>
      <c r="K463" s="17"/>
      <c r="L463" s="17"/>
      <c r="M463" s="21">
        <v>91000</v>
      </c>
      <c r="N463" s="17" t="s">
        <v>14079</v>
      </c>
      <c r="O463" s="17" t="s">
        <v>477</v>
      </c>
      <c r="P463" s="17" t="s">
        <v>2403</v>
      </c>
      <c r="Q463" s="17" t="s">
        <v>25</v>
      </c>
      <c r="R463" s="17" t="s">
        <v>2404</v>
      </c>
      <c r="S463" s="17"/>
      <c r="T463" s="17"/>
      <c r="U463" s="17"/>
      <c r="V463" s="17"/>
      <c r="W463" s="17"/>
      <c r="X463" s="17"/>
      <c r="Y463" s="17"/>
      <c r="Z463" s="17"/>
      <c r="AA463" s="17"/>
      <c r="AB463" s="17" t="str">
        <f t="shared" si="7"/>
        <v>GPR080591K</v>
      </c>
    </row>
    <row r="464" spans="1:28">
      <c r="A464" s="17" t="s">
        <v>2405</v>
      </c>
      <c r="B464" s="17" t="s">
        <v>2405</v>
      </c>
      <c r="C464" s="17" t="s">
        <v>2406</v>
      </c>
      <c r="D464" s="17" t="s">
        <v>21</v>
      </c>
      <c r="E464" s="24" t="s">
        <v>6449</v>
      </c>
      <c r="F464" s="17" t="s">
        <v>305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100000</v>
      </c>
      <c r="N464" s="17" t="s">
        <v>14079</v>
      </c>
      <c r="O464" s="17" t="s">
        <v>477</v>
      </c>
      <c r="P464" s="17" t="s">
        <v>2407</v>
      </c>
      <c r="Q464" s="17" t="s">
        <v>25</v>
      </c>
      <c r="R464" s="17" t="s">
        <v>2408</v>
      </c>
      <c r="S464" s="17" t="s">
        <v>477</v>
      </c>
      <c r="T464" s="17" t="s">
        <v>2409</v>
      </c>
      <c r="U464" s="17" t="s">
        <v>25</v>
      </c>
      <c r="V464" s="17" t="s">
        <v>2410</v>
      </c>
      <c r="W464" s="17"/>
      <c r="X464" s="17"/>
      <c r="Y464" s="17"/>
      <c r="Z464" s="17"/>
      <c r="AA464" s="17"/>
      <c r="AB464" s="17" t="str">
        <f t="shared" si="7"/>
        <v>GPR0805100K</v>
      </c>
    </row>
    <row r="465" spans="1:28">
      <c r="A465" s="17" t="s">
        <v>2411</v>
      </c>
      <c r="B465" s="17" t="s">
        <v>2411</v>
      </c>
      <c r="C465" s="17" t="s">
        <v>2412</v>
      </c>
      <c r="D465" s="17" t="s">
        <v>21</v>
      </c>
      <c r="E465" s="24" t="s">
        <v>6449</v>
      </c>
      <c r="F465" s="17" t="s">
        <v>309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110000</v>
      </c>
      <c r="N465" s="17" t="s">
        <v>14079</v>
      </c>
      <c r="O465" s="17" t="s">
        <v>477</v>
      </c>
      <c r="P465" s="17" t="s">
        <v>2413</v>
      </c>
      <c r="Q465" s="17" t="s">
        <v>25</v>
      </c>
      <c r="R465" s="17" t="s">
        <v>2414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GPR0805110K</v>
      </c>
    </row>
    <row r="466" spans="1:28">
      <c r="A466" s="17" t="s">
        <v>2415</v>
      </c>
      <c r="B466" s="17" t="s">
        <v>2415</v>
      </c>
      <c r="C466" s="17" t="s">
        <v>2416</v>
      </c>
      <c r="D466" s="17" t="s">
        <v>21</v>
      </c>
      <c r="E466" s="24" t="s">
        <v>6449</v>
      </c>
      <c r="F466" s="17" t="s">
        <v>313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120000</v>
      </c>
      <c r="N466" s="17" t="s">
        <v>14079</v>
      </c>
      <c r="O466" s="17" t="s">
        <v>477</v>
      </c>
      <c r="P466" s="17" t="s">
        <v>2417</v>
      </c>
      <c r="Q466" s="17" t="s">
        <v>25</v>
      </c>
      <c r="R466" s="17" t="s">
        <v>2418</v>
      </c>
      <c r="S466" s="17" t="s">
        <v>477</v>
      </c>
      <c r="T466" s="17" t="s">
        <v>2419</v>
      </c>
      <c r="U466" s="17" t="s">
        <v>25</v>
      </c>
      <c r="V466" s="17" t="s">
        <v>2420</v>
      </c>
      <c r="W466" s="17"/>
      <c r="X466" s="17"/>
      <c r="Y466" s="17"/>
      <c r="Z466" s="17"/>
      <c r="AA466" s="17"/>
      <c r="AB466" s="17" t="str">
        <f t="shared" si="7"/>
        <v>GPR0805120K</v>
      </c>
    </row>
    <row r="467" spans="1:28">
      <c r="A467" s="17" t="s">
        <v>2421</v>
      </c>
      <c r="B467" s="17" t="s">
        <v>2421</v>
      </c>
      <c r="C467" s="17" t="s">
        <v>2422</v>
      </c>
      <c r="D467" s="17" t="s">
        <v>21</v>
      </c>
      <c r="E467" s="24" t="s">
        <v>6449</v>
      </c>
      <c r="F467" s="17" t="s">
        <v>317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1752</v>
      </c>
      <c r="K467" s="17"/>
      <c r="L467" s="17"/>
      <c r="M467" s="21">
        <v>130000</v>
      </c>
      <c r="N467" s="17" t="s">
        <v>14079</v>
      </c>
      <c r="O467" s="17" t="s">
        <v>477</v>
      </c>
      <c r="P467" s="17" t="s">
        <v>2423</v>
      </c>
      <c r="Q467" s="17" t="s">
        <v>25</v>
      </c>
      <c r="R467" s="17" t="s">
        <v>2424</v>
      </c>
      <c r="S467" s="17" t="s">
        <v>477</v>
      </c>
      <c r="T467" s="17" t="s">
        <v>2425</v>
      </c>
      <c r="U467" s="17" t="s">
        <v>25</v>
      </c>
      <c r="V467" s="17" t="s">
        <v>2426</v>
      </c>
      <c r="W467" s="17"/>
      <c r="X467" s="17"/>
      <c r="Y467" s="17"/>
      <c r="Z467" s="17"/>
      <c r="AA467" s="17"/>
      <c r="AB467" s="17" t="str">
        <f t="shared" si="7"/>
        <v>GPR0805130K</v>
      </c>
    </row>
    <row r="468" spans="1:28">
      <c r="A468" s="17" t="s">
        <v>2427</v>
      </c>
      <c r="B468" s="17" t="s">
        <v>2427</v>
      </c>
      <c r="C468" s="17" t="s">
        <v>2428</v>
      </c>
      <c r="D468" s="17" t="s">
        <v>21</v>
      </c>
      <c r="E468" s="24" t="s">
        <v>6449</v>
      </c>
      <c r="F468" s="17" t="s">
        <v>321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150000</v>
      </c>
      <c r="N468" s="17" t="s">
        <v>14079</v>
      </c>
      <c r="O468" s="17" t="s">
        <v>477</v>
      </c>
      <c r="P468" s="17" t="s">
        <v>2429</v>
      </c>
      <c r="Q468" s="17" t="s">
        <v>25</v>
      </c>
      <c r="R468" s="17" t="s">
        <v>2430</v>
      </c>
      <c r="S468" s="17" t="s">
        <v>477</v>
      </c>
      <c r="T468" s="17" t="s">
        <v>2431</v>
      </c>
      <c r="U468" s="17" t="s">
        <v>25</v>
      </c>
      <c r="V468" s="17" t="s">
        <v>2432</v>
      </c>
      <c r="W468" s="17"/>
      <c r="X468" s="17"/>
      <c r="Y468" s="17"/>
      <c r="Z468" s="17"/>
      <c r="AA468" s="17"/>
      <c r="AB468" s="17" t="str">
        <f t="shared" si="7"/>
        <v>GPR0805150K</v>
      </c>
    </row>
    <row r="469" spans="1:28">
      <c r="A469" s="17" t="s">
        <v>2433</v>
      </c>
      <c r="B469" s="17" t="s">
        <v>2433</v>
      </c>
      <c r="C469" s="17" t="s">
        <v>2434</v>
      </c>
      <c r="D469" s="17" t="s">
        <v>21</v>
      </c>
      <c r="E469" s="24" t="s">
        <v>6449</v>
      </c>
      <c r="F469" s="17" t="s">
        <v>323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160000</v>
      </c>
      <c r="N469" s="17" t="s">
        <v>14079</v>
      </c>
      <c r="O469" s="17" t="s">
        <v>477</v>
      </c>
      <c r="P469" s="17" t="s">
        <v>2435</v>
      </c>
      <c r="Q469" s="17" t="s">
        <v>25</v>
      </c>
      <c r="R469" s="17" t="s">
        <v>2436</v>
      </c>
      <c r="S469" s="17"/>
      <c r="T469" s="17"/>
      <c r="U469" s="17"/>
      <c r="V469" s="17"/>
      <c r="W469" s="17"/>
      <c r="X469" s="17"/>
      <c r="Y469" s="17"/>
      <c r="Z469" s="17"/>
      <c r="AA469" s="17"/>
      <c r="AB469" s="17" t="str">
        <f t="shared" si="7"/>
        <v>GPR0805160K</v>
      </c>
    </row>
    <row r="470" spans="1:28">
      <c r="A470" s="17" t="s">
        <v>2437</v>
      </c>
      <c r="B470" s="17" t="s">
        <v>2437</v>
      </c>
      <c r="C470" s="17" t="s">
        <v>2438</v>
      </c>
      <c r="D470" s="17" t="s">
        <v>21</v>
      </c>
      <c r="E470" s="24" t="s">
        <v>6449</v>
      </c>
      <c r="F470" s="17" t="s">
        <v>327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180000</v>
      </c>
      <c r="N470" s="17" t="s">
        <v>14079</v>
      </c>
      <c r="O470" s="17" t="s">
        <v>477</v>
      </c>
      <c r="P470" s="17" t="s">
        <v>2439</v>
      </c>
      <c r="Q470" s="17" t="s">
        <v>25</v>
      </c>
      <c r="R470" s="17" t="s">
        <v>2440</v>
      </c>
      <c r="S470" s="17" t="s">
        <v>477</v>
      </c>
      <c r="T470" s="17" t="s">
        <v>2441</v>
      </c>
      <c r="U470" s="17" t="s">
        <v>25</v>
      </c>
      <c r="V470" s="17" t="s">
        <v>2442</v>
      </c>
      <c r="W470" s="17"/>
      <c r="X470" s="17"/>
      <c r="Y470" s="17"/>
      <c r="Z470" s="17"/>
      <c r="AA470" s="17"/>
      <c r="AB470" s="17" t="str">
        <f t="shared" si="7"/>
        <v>GPR0805180K</v>
      </c>
    </row>
    <row r="471" spans="1:28">
      <c r="A471" s="17" t="s">
        <v>2443</v>
      </c>
      <c r="B471" s="17" t="s">
        <v>2443</v>
      </c>
      <c r="C471" s="17" t="s">
        <v>2444</v>
      </c>
      <c r="D471" s="17" t="s">
        <v>21</v>
      </c>
      <c r="E471" s="24" t="s">
        <v>6449</v>
      </c>
      <c r="F471" s="17" t="s">
        <v>331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200000</v>
      </c>
      <c r="N471" s="17" t="s">
        <v>14079</v>
      </c>
      <c r="O471" s="17" t="s">
        <v>477</v>
      </c>
      <c r="P471" s="17" t="s">
        <v>2445</v>
      </c>
      <c r="Q471" s="17" t="s">
        <v>25</v>
      </c>
      <c r="R471" s="17" t="s">
        <v>2446</v>
      </c>
      <c r="S471" s="17" t="s">
        <v>477</v>
      </c>
      <c r="T471" s="17" t="s">
        <v>2447</v>
      </c>
      <c r="U471" s="17" t="s">
        <v>25</v>
      </c>
      <c r="V471" s="17" t="s">
        <v>2448</v>
      </c>
      <c r="W471" s="17"/>
      <c r="X471" s="17"/>
      <c r="Y471" s="17"/>
      <c r="Z471" s="17"/>
      <c r="AA471" s="17"/>
      <c r="AB471" s="17" t="str">
        <f t="shared" si="7"/>
        <v>GPR0805200K</v>
      </c>
    </row>
    <row r="472" spans="1:28">
      <c r="A472" s="17" t="s">
        <v>2449</v>
      </c>
      <c r="B472" s="17" t="s">
        <v>2449</v>
      </c>
      <c r="C472" s="17" t="s">
        <v>2450</v>
      </c>
      <c r="D472" s="17" t="s">
        <v>21</v>
      </c>
      <c r="E472" s="24" t="s">
        <v>6449</v>
      </c>
      <c r="F472" s="17" t="s">
        <v>333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220000</v>
      </c>
      <c r="N472" s="17" t="s">
        <v>14079</v>
      </c>
      <c r="O472" s="17" t="s">
        <v>477</v>
      </c>
      <c r="P472" s="17" t="s">
        <v>2451</v>
      </c>
      <c r="Q472" s="17" t="s">
        <v>25</v>
      </c>
      <c r="R472" s="17" t="s">
        <v>2452</v>
      </c>
      <c r="S472" s="17" t="s">
        <v>477</v>
      </c>
      <c r="T472" s="17" t="s">
        <v>2453</v>
      </c>
      <c r="U472" s="17" t="s">
        <v>25</v>
      </c>
      <c r="V472" s="17" t="s">
        <v>2454</v>
      </c>
      <c r="W472" s="17"/>
      <c r="X472" s="17"/>
      <c r="Y472" s="17"/>
      <c r="Z472" s="17"/>
      <c r="AA472" s="17"/>
      <c r="AB472" s="17" t="str">
        <f t="shared" si="7"/>
        <v>GPR0805220K</v>
      </c>
    </row>
    <row r="473" spans="1:28" ht="15.75">
      <c r="A473" s="17" t="s">
        <v>2455</v>
      </c>
      <c r="B473" s="17" t="s">
        <v>2455</v>
      </c>
      <c r="C473" s="17" t="s">
        <v>2456</v>
      </c>
      <c r="D473" s="17" t="s">
        <v>21</v>
      </c>
      <c r="E473" s="24" t="s">
        <v>6449</v>
      </c>
      <c r="F473" s="17" t="s">
        <v>335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240000</v>
      </c>
      <c r="N473" s="17" t="s">
        <v>14079</v>
      </c>
      <c r="O473" s="17" t="s">
        <v>477</v>
      </c>
      <c r="P473" s="17" t="s">
        <v>2457</v>
      </c>
      <c r="Q473" s="17" t="s">
        <v>25</v>
      </c>
      <c r="R473" s="17" t="s">
        <v>2458</v>
      </c>
      <c r="S473" s="17" t="s">
        <v>477</v>
      </c>
      <c r="T473" s="17" t="s">
        <v>2459</v>
      </c>
      <c r="U473" s="17" t="s">
        <v>25</v>
      </c>
      <c r="V473" s="17" t="s">
        <v>2460</v>
      </c>
      <c r="W473" s="8" t="s">
        <v>6382</v>
      </c>
      <c r="X473" s="8" t="s">
        <v>13554</v>
      </c>
      <c r="Y473" t="s">
        <v>4559</v>
      </c>
      <c r="Z473" s="8" t="s">
        <v>13555</v>
      </c>
      <c r="AA473" s="17" t="s">
        <v>4727</v>
      </c>
      <c r="AB473" s="17" t="str">
        <f t="shared" si="7"/>
        <v>GPR0805240K</v>
      </c>
    </row>
    <row r="474" spans="1:28">
      <c r="A474" s="17" t="s">
        <v>2461</v>
      </c>
      <c r="B474" s="17" t="s">
        <v>2461</v>
      </c>
      <c r="C474" s="17" t="s">
        <v>2462</v>
      </c>
      <c r="D474" s="17" t="s">
        <v>21</v>
      </c>
      <c r="E474" s="24" t="s">
        <v>6449</v>
      </c>
      <c r="F474" s="17" t="s">
        <v>337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270000</v>
      </c>
      <c r="N474" s="17" t="s">
        <v>14079</v>
      </c>
      <c r="O474" s="17" t="s">
        <v>477</v>
      </c>
      <c r="P474" s="17" t="s">
        <v>2463</v>
      </c>
      <c r="Q474" s="17" t="s">
        <v>25</v>
      </c>
      <c r="R474" s="17" t="s">
        <v>2464</v>
      </c>
      <c r="S474" s="17" t="s">
        <v>477</v>
      </c>
      <c r="T474" s="17" t="s">
        <v>2465</v>
      </c>
      <c r="U474" s="17" t="s">
        <v>25</v>
      </c>
      <c r="V474" s="17" t="s">
        <v>2466</v>
      </c>
      <c r="W474" s="17"/>
      <c r="X474" s="17"/>
      <c r="Y474" s="17"/>
      <c r="Z474" s="17"/>
      <c r="AA474" s="17"/>
      <c r="AB474" s="17" t="str">
        <f t="shared" si="7"/>
        <v>GPR0805270K</v>
      </c>
    </row>
    <row r="475" spans="1:28">
      <c r="A475" s="17" t="s">
        <v>2467</v>
      </c>
      <c r="B475" s="17" t="s">
        <v>2467</v>
      </c>
      <c r="C475" s="17" t="s">
        <v>2468</v>
      </c>
      <c r="D475" s="17" t="s">
        <v>21</v>
      </c>
      <c r="E475" s="24" t="s">
        <v>6449</v>
      </c>
      <c r="F475" s="17" t="s">
        <v>339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300000</v>
      </c>
      <c r="N475" s="17" t="s">
        <v>14079</v>
      </c>
      <c r="O475" s="17" t="s">
        <v>477</v>
      </c>
      <c r="P475" s="17" t="s">
        <v>2469</v>
      </c>
      <c r="Q475" s="17" t="s">
        <v>25</v>
      </c>
      <c r="R475" s="17" t="s">
        <v>2470</v>
      </c>
      <c r="S475" s="17"/>
      <c r="T475" s="17"/>
      <c r="U475" s="17"/>
      <c r="V475" s="17"/>
      <c r="W475" s="17"/>
      <c r="X475" s="17"/>
      <c r="Y475" s="17"/>
      <c r="Z475" s="17"/>
      <c r="AA475" s="17"/>
      <c r="AB475" s="17" t="str">
        <f t="shared" si="7"/>
        <v>GPR0805300K</v>
      </c>
    </row>
    <row r="476" spans="1:28">
      <c r="A476" s="17" t="s">
        <v>2471</v>
      </c>
      <c r="B476" s="17" t="s">
        <v>2471</v>
      </c>
      <c r="C476" s="17" t="s">
        <v>2472</v>
      </c>
      <c r="D476" s="17" t="s">
        <v>21</v>
      </c>
      <c r="E476" s="24" t="s">
        <v>6449</v>
      </c>
      <c r="F476" s="17" t="s">
        <v>341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1752</v>
      </c>
      <c r="K476" s="17"/>
      <c r="L476" s="17"/>
      <c r="M476" s="21">
        <v>330000</v>
      </c>
      <c r="N476" s="17" t="s">
        <v>14079</v>
      </c>
      <c r="O476" s="17" t="s">
        <v>477</v>
      </c>
      <c r="P476" s="17" t="s">
        <v>2473</v>
      </c>
      <c r="Q476" s="17" t="s">
        <v>25</v>
      </c>
      <c r="R476" s="17" t="s">
        <v>2474</v>
      </c>
      <c r="S476" s="17" t="s">
        <v>477</v>
      </c>
      <c r="T476" s="17" t="s">
        <v>2475</v>
      </c>
      <c r="U476" s="17" t="s">
        <v>25</v>
      </c>
      <c r="V476" s="17" t="s">
        <v>2476</v>
      </c>
      <c r="W476" s="17"/>
      <c r="X476" s="17"/>
      <c r="Y476" s="17"/>
      <c r="Z476" s="17"/>
      <c r="AA476" s="17"/>
      <c r="AB476" s="17" t="str">
        <f t="shared" si="7"/>
        <v>GPR0805330K</v>
      </c>
    </row>
    <row r="477" spans="1:28">
      <c r="A477" s="17" t="s">
        <v>2477</v>
      </c>
      <c r="B477" s="17" t="s">
        <v>2477</v>
      </c>
      <c r="C477" s="17" t="s">
        <v>2478</v>
      </c>
      <c r="D477" s="17" t="s">
        <v>21</v>
      </c>
      <c r="E477" s="24" t="s">
        <v>6449</v>
      </c>
      <c r="F477" s="17" t="s">
        <v>345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360000</v>
      </c>
      <c r="N477" s="17" t="s">
        <v>14079</v>
      </c>
      <c r="O477" s="17" t="s">
        <v>477</v>
      </c>
      <c r="P477" s="17" t="s">
        <v>2479</v>
      </c>
      <c r="Q477" s="17" t="s">
        <v>25</v>
      </c>
      <c r="R477" s="17" t="s">
        <v>2480</v>
      </c>
      <c r="S477" s="17" t="s">
        <v>477</v>
      </c>
      <c r="T477" s="17" t="s">
        <v>2481</v>
      </c>
      <c r="U477" s="17" t="s">
        <v>25</v>
      </c>
      <c r="V477" s="17" t="s">
        <v>2482</v>
      </c>
      <c r="W477" s="17"/>
      <c r="X477" s="17"/>
      <c r="Y477" s="17"/>
      <c r="Z477" s="17"/>
      <c r="AA477" s="17"/>
      <c r="AB477" s="17" t="str">
        <f t="shared" si="7"/>
        <v>GPR0805360K</v>
      </c>
    </row>
    <row r="478" spans="1:28">
      <c r="A478" s="17" t="s">
        <v>2483</v>
      </c>
      <c r="B478" s="17" t="s">
        <v>2483</v>
      </c>
      <c r="C478" s="17" t="s">
        <v>2484</v>
      </c>
      <c r="D478" s="17" t="s">
        <v>21</v>
      </c>
      <c r="E478" s="24" t="s">
        <v>6449</v>
      </c>
      <c r="F478" s="17" t="s">
        <v>349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1752</v>
      </c>
      <c r="K478" s="17"/>
      <c r="L478" s="17"/>
      <c r="M478" s="21">
        <v>390000</v>
      </c>
      <c r="N478" s="17" t="s">
        <v>14079</v>
      </c>
      <c r="O478" s="17" t="s">
        <v>477</v>
      </c>
      <c r="P478" s="17" t="s">
        <v>2485</v>
      </c>
      <c r="Q478" s="17" t="s">
        <v>25</v>
      </c>
      <c r="R478" s="17" t="s">
        <v>2486</v>
      </c>
      <c r="S478" s="17" t="s">
        <v>477</v>
      </c>
      <c r="T478" s="17" t="s">
        <v>2487</v>
      </c>
      <c r="U478" s="17" t="s">
        <v>25</v>
      </c>
      <c r="V478" s="17" t="s">
        <v>2488</v>
      </c>
      <c r="W478" s="17"/>
      <c r="X478" s="17"/>
      <c r="Y478" s="17"/>
      <c r="Z478" s="17"/>
      <c r="AA478" s="17"/>
      <c r="AB478" s="17" t="str">
        <f t="shared" si="7"/>
        <v>GPR0805390K</v>
      </c>
    </row>
    <row r="479" spans="1:28">
      <c r="A479" s="17" t="s">
        <v>2489</v>
      </c>
      <c r="B479" s="17" t="s">
        <v>2489</v>
      </c>
      <c r="C479" s="17" t="s">
        <v>2490</v>
      </c>
      <c r="D479" s="17" t="s">
        <v>21</v>
      </c>
      <c r="E479" s="24" t="s">
        <v>6449</v>
      </c>
      <c r="F479" s="17" t="s">
        <v>351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430000</v>
      </c>
      <c r="N479" s="17" t="s">
        <v>14079</v>
      </c>
      <c r="O479" s="17" t="s">
        <v>477</v>
      </c>
      <c r="P479" s="17" t="s">
        <v>2491</v>
      </c>
      <c r="Q479" s="17" t="s">
        <v>25</v>
      </c>
      <c r="R479" s="17" t="s">
        <v>2492</v>
      </c>
      <c r="S479" s="17" t="s">
        <v>477</v>
      </c>
      <c r="T479" s="17" t="s">
        <v>2493</v>
      </c>
      <c r="U479" s="17" t="s">
        <v>25</v>
      </c>
      <c r="V479" s="17" t="s">
        <v>2494</v>
      </c>
      <c r="W479" s="17"/>
      <c r="X479" s="17"/>
      <c r="Y479" s="17"/>
      <c r="Z479" s="17"/>
      <c r="AA479" s="17"/>
      <c r="AB479" s="17" t="str">
        <f t="shared" si="7"/>
        <v>GPR0805430K</v>
      </c>
    </row>
    <row r="480" spans="1:28">
      <c r="A480" s="17" t="s">
        <v>2495</v>
      </c>
      <c r="B480" s="17" t="s">
        <v>2495</v>
      </c>
      <c r="C480" s="17" t="s">
        <v>2496</v>
      </c>
      <c r="D480" s="17" t="s">
        <v>21</v>
      </c>
      <c r="E480" s="24" t="s">
        <v>6449</v>
      </c>
      <c r="F480" s="17" t="s">
        <v>353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1752</v>
      </c>
      <c r="K480" s="17"/>
      <c r="L480" s="17"/>
      <c r="M480" s="21">
        <v>470000</v>
      </c>
      <c r="N480" s="17" t="s">
        <v>14079</v>
      </c>
      <c r="O480" s="17" t="s">
        <v>477</v>
      </c>
      <c r="P480" s="17" t="s">
        <v>2497</v>
      </c>
      <c r="Q480" s="17" t="s">
        <v>25</v>
      </c>
      <c r="R480" s="17" t="s">
        <v>2498</v>
      </c>
      <c r="S480" s="17" t="s">
        <v>477</v>
      </c>
      <c r="T480" s="17" t="s">
        <v>2499</v>
      </c>
      <c r="U480" s="17" t="s">
        <v>25</v>
      </c>
      <c r="V480" s="17" t="s">
        <v>2500</v>
      </c>
      <c r="W480" s="17"/>
      <c r="X480" s="17"/>
      <c r="Y480" s="17"/>
      <c r="Z480" s="17"/>
      <c r="AA480" s="17"/>
      <c r="AB480" s="17" t="str">
        <f t="shared" si="7"/>
        <v>GPR0805470K</v>
      </c>
    </row>
    <row r="481" spans="1:28">
      <c r="A481" s="17" t="s">
        <v>2501</v>
      </c>
      <c r="B481" s="17" t="s">
        <v>2501</v>
      </c>
      <c r="C481" s="17" t="s">
        <v>2502</v>
      </c>
      <c r="D481" s="17" t="s">
        <v>21</v>
      </c>
      <c r="E481" s="24" t="s">
        <v>6449</v>
      </c>
      <c r="F481" s="17" t="s">
        <v>355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510000</v>
      </c>
      <c r="N481" s="17" t="s">
        <v>14079</v>
      </c>
      <c r="O481" s="17" t="s">
        <v>477</v>
      </c>
      <c r="P481" s="17" t="s">
        <v>2503</v>
      </c>
      <c r="Q481" s="17" t="s">
        <v>25</v>
      </c>
      <c r="R481" s="17" t="s">
        <v>2504</v>
      </c>
      <c r="S481" s="17" t="s">
        <v>477</v>
      </c>
      <c r="T481" s="17" t="s">
        <v>2505</v>
      </c>
      <c r="U481" s="17" t="s">
        <v>25</v>
      </c>
      <c r="V481" s="17" t="s">
        <v>2506</v>
      </c>
      <c r="W481" s="17"/>
      <c r="X481" s="17"/>
      <c r="Y481" s="17"/>
      <c r="Z481" s="17"/>
      <c r="AA481" s="17"/>
      <c r="AB481" s="17" t="str">
        <f t="shared" si="7"/>
        <v>GPR0805510K</v>
      </c>
    </row>
    <row r="482" spans="1:28">
      <c r="A482" s="17" t="s">
        <v>2507</v>
      </c>
      <c r="B482" s="17" t="s">
        <v>2507</v>
      </c>
      <c r="C482" s="17" t="s">
        <v>2508</v>
      </c>
      <c r="D482" s="17" t="s">
        <v>21</v>
      </c>
      <c r="E482" s="24" t="s">
        <v>6449</v>
      </c>
      <c r="F482" s="17" t="s">
        <v>357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560000</v>
      </c>
      <c r="N482" s="17" t="s">
        <v>14079</v>
      </c>
      <c r="O482" s="17" t="s">
        <v>477</v>
      </c>
      <c r="P482" s="17" t="s">
        <v>2509</v>
      </c>
      <c r="Q482" s="17" t="s">
        <v>25</v>
      </c>
      <c r="R482" s="17" t="s">
        <v>2510</v>
      </c>
      <c r="S482" s="17"/>
      <c r="T482" s="17"/>
      <c r="U482" s="17"/>
      <c r="V482" s="17"/>
      <c r="W482" s="17"/>
      <c r="X482" s="17"/>
      <c r="Y482" s="17"/>
      <c r="Z482" s="17"/>
      <c r="AA482" s="17"/>
      <c r="AB482" s="17" t="str">
        <f t="shared" si="7"/>
        <v>GPR0805560K</v>
      </c>
    </row>
    <row r="483" spans="1:28">
      <c r="A483" s="17" t="s">
        <v>2511</v>
      </c>
      <c r="B483" s="17" t="s">
        <v>2511</v>
      </c>
      <c r="C483" s="17" t="s">
        <v>2512</v>
      </c>
      <c r="D483" s="17" t="s">
        <v>21</v>
      </c>
      <c r="E483" s="24" t="s">
        <v>6449</v>
      </c>
      <c r="F483" s="17" t="s">
        <v>359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620000</v>
      </c>
      <c r="N483" s="17" t="s">
        <v>14079</v>
      </c>
      <c r="O483" s="17" t="s">
        <v>477</v>
      </c>
      <c r="P483" s="17" t="s">
        <v>2513</v>
      </c>
      <c r="Q483" s="17" t="s">
        <v>25</v>
      </c>
      <c r="R483" s="17" t="s">
        <v>2514</v>
      </c>
      <c r="S483" s="17"/>
      <c r="T483" s="17"/>
      <c r="U483" s="17"/>
      <c r="V483" s="17"/>
      <c r="W483" s="17"/>
      <c r="X483" s="17"/>
      <c r="Y483" s="17"/>
      <c r="Z483" s="17"/>
      <c r="AA483" s="17"/>
      <c r="AB483" s="17" t="str">
        <f t="shared" si="7"/>
        <v>GPR0805620K</v>
      </c>
    </row>
    <row r="484" spans="1:28">
      <c r="A484" s="17" t="s">
        <v>2515</v>
      </c>
      <c r="B484" s="17" t="s">
        <v>2515</v>
      </c>
      <c r="C484" s="17" t="s">
        <v>2516</v>
      </c>
      <c r="D484" s="17" t="s">
        <v>21</v>
      </c>
      <c r="E484" s="24" t="s">
        <v>6449</v>
      </c>
      <c r="F484" s="17" t="s">
        <v>361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1752</v>
      </c>
      <c r="K484" s="17"/>
      <c r="L484" s="17"/>
      <c r="M484" s="21">
        <v>680000</v>
      </c>
      <c r="N484" s="17" t="s">
        <v>14079</v>
      </c>
      <c r="O484" s="17" t="s">
        <v>477</v>
      </c>
      <c r="P484" s="17" t="s">
        <v>2517</v>
      </c>
      <c r="Q484" s="17" t="s">
        <v>25</v>
      </c>
      <c r="R484" s="17" t="s">
        <v>2518</v>
      </c>
      <c r="S484" s="17"/>
      <c r="T484" s="17"/>
      <c r="U484" s="17"/>
      <c r="V484" s="17"/>
      <c r="W484" s="17"/>
      <c r="X484" s="17"/>
      <c r="Y484" s="17"/>
      <c r="Z484" s="17"/>
      <c r="AA484" s="17"/>
      <c r="AB484" s="17" t="str">
        <f t="shared" si="7"/>
        <v>GPR0805680K</v>
      </c>
    </row>
    <row r="485" spans="1:28">
      <c r="A485" s="17" t="s">
        <v>2519</v>
      </c>
      <c r="B485" s="17" t="s">
        <v>2519</v>
      </c>
      <c r="C485" s="17" t="s">
        <v>2520</v>
      </c>
      <c r="D485" s="17" t="s">
        <v>21</v>
      </c>
      <c r="E485" s="24" t="s">
        <v>6449</v>
      </c>
      <c r="F485" s="17" t="s">
        <v>363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750000</v>
      </c>
      <c r="N485" s="17" t="s">
        <v>14079</v>
      </c>
      <c r="O485" s="17" t="s">
        <v>477</v>
      </c>
      <c r="P485" s="17" t="s">
        <v>2521</v>
      </c>
      <c r="Q485" s="17" t="s">
        <v>25</v>
      </c>
      <c r="R485" s="17" t="s">
        <v>2522</v>
      </c>
      <c r="S485" s="17"/>
      <c r="T485" s="17"/>
      <c r="U485" s="17"/>
      <c r="V485" s="17"/>
      <c r="W485" s="17"/>
      <c r="X485" s="17"/>
      <c r="Y485" s="17"/>
      <c r="Z485" s="17"/>
      <c r="AA485" s="17"/>
      <c r="AB485" s="17" t="str">
        <f t="shared" si="7"/>
        <v>GPR0805750K</v>
      </c>
    </row>
    <row r="486" spans="1:28">
      <c r="A486" s="17" t="s">
        <v>2523</v>
      </c>
      <c r="B486" s="17" t="s">
        <v>2523</v>
      </c>
      <c r="C486" s="17" t="s">
        <v>2524</v>
      </c>
      <c r="D486" s="17" t="s">
        <v>21</v>
      </c>
      <c r="E486" s="24" t="s">
        <v>6449</v>
      </c>
      <c r="F486" s="17" t="s">
        <v>365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820000</v>
      </c>
      <c r="N486" s="17" t="s">
        <v>14079</v>
      </c>
      <c r="O486" s="17" t="s">
        <v>477</v>
      </c>
      <c r="P486" s="17" t="s">
        <v>2525</v>
      </c>
      <c r="Q486" s="17" t="s">
        <v>25</v>
      </c>
      <c r="R486" s="17" t="s">
        <v>2526</v>
      </c>
      <c r="S486" s="17"/>
      <c r="T486" s="17"/>
      <c r="U486" s="17"/>
      <c r="V486" s="17"/>
      <c r="W486" s="17"/>
      <c r="X486" s="17"/>
      <c r="Y486" s="17"/>
      <c r="Z486" s="17"/>
      <c r="AA486" s="17"/>
      <c r="AB486" s="17" t="str">
        <f t="shared" si="7"/>
        <v>GPR0805820K</v>
      </c>
    </row>
    <row r="487" spans="1:28">
      <c r="A487" s="17" t="s">
        <v>2527</v>
      </c>
      <c r="B487" s="17" t="s">
        <v>2527</v>
      </c>
      <c r="C487" s="17" t="s">
        <v>2528</v>
      </c>
      <c r="D487" s="17" t="s">
        <v>21</v>
      </c>
      <c r="E487" s="24" t="s">
        <v>6449</v>
      </c>
      <c r="F487" s="17" t="s">
        <v>367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910000</v>
      </c>
      <c r="N487" s="17" t="s">
        <v>14079</v>
      </c>
      <c r="O487" s="17" t="s">
        <v>477</v>
      </c>
      <c r="P487" s="17" t="s">
        <v>2529</v>
      </c>
      <c r="Q487" s="17" t="s">
        <v>25</v>
      </c>
      <c r="R487" s="17" t="s">
        <v>2530</v>
      </c>
      <c r="S487" s="17"/>
      <c r="T487" s="17"/>
      <c r="U487" s="17"/>
      <c r="V487" s="17"/>
      <c r="W487" s="17"/>
      <c r="X487" s="17"/>
      <c r="Y487" s="17"/>
      <c r="Z487" s="17"/>
      <c r="AA487" s="17"/>
      <c r="AB487" s="17" t="str">
        <f t="shared" si="7"/>
        <v>GPR0805910K</v>
      </c>
    </row>
    <row r="488" spans="1:28" ht="15.75">
      <c r="A488" s="17" t="s">
        <v>2531</v>
      </c>
      <c r="B488" s="17" t="s">
        <v>2531</v>
      </c>
      <c r="C488" s="17" t="s">
        <v>2532</v>
      </c>
      <c r="D488" s="17" t="s">
        <v>21</v>
      </c>
      <c r="E488" s="24" t="s">
        <v>6449</v>
      </c>
      <c r="F488" s="17" t="s">
        <v>369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1000000</v>
      </c>
      <c r="N488" s="17" t="s">
        <v>14079</v>
      </c>
      <c r="O488" s="17" t="s">
        <v>477</v>
      </c>
      <c r="P488" s="17" t="s">
        <v>2533</v>
      </c>
      <c r="Q488" s="17" t="s">
        <v>25</v>
      </c>
      <c r="R488" s="17" t="s">
        <v>2534</v>
      </c>
      <c r="S488" s="17" t="s">
        <v>477</v>
      </c>
      <c r="T488" s="17" t="s">
        <v>2535</v>
      </c>
      <c r="U488" s="17" t="s">
        <v>25</v>
      </c>
      <c r="V488" s="17" t="s">
        <v>2536</v>
      </c>
      <c r="W488" s="42" t="s">
        <v>4729</v>
      </c>
      <c r="X488" s="8" t="s">
        <v>13565</v>
      </c>
      <c r="Y488" t="s">
        <v>4559</v>
      </c>
      <c r="Z488" s="8" t="s">
        <v>13564</v>
      </c>
      <c r="AA488" s="17" t="s">
        <v>4728</v>
      </c>
      <c r="AB488" s="17" t="str">
        <f t="shared" si="7"/>
        <v>GPR08051M</v>
      </c>
    </row>
    <row r="489" spans="1:28">
      <c r="A489" s="17" t="s">
        <v>2537</v>
      </c>
      <c r="B489" s="17" t="s">
        <v>2537</v>
      </c>
      <c r="C489" s="17" t="s">
        <v>2538</v>
      </c>
      <c r="D489" s="17" t="s">
        <v>21</v>
      </c>
      <c r="E489" s="24" t="s">
        <v>6449</v>
      </c>
      <c r="F489" s="17" t="s">
        <v>371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1100000</v>
      </c>
      <c r="N489" s="17" t="s">
        <v>14079</v>
      </c>
      <c r="O489" s="17" t="s">
        <v>477</v>
      </c>
      <c r="P489" s="17" t="s">
        <v>2539</v>
      </c>
      <c r="Q489" s="17" t="s">
        <v>25</v>
      </c>
      <c r="R489" s="17" t="s">
        <v>2540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GPR08051M1</v>
      </c>
    </row>
    <row r="490" spans="1:28">
      <c r="A490" s="17" t="s">
        <v>2541</v>
      </c>
      <c r="B490" s="17" t="s">
        <v>2541</v>
      </c>
      <c r="C490" s="17" t="s">
        <v>2542</v>
      </c>
      <c r="D490" s="17" t="s">
        <v>21</v>
      </c>
      <c r="E490" s="24" t="s">
        <v>6449</v>
      </c>
      <c r="F490" s="17" t="s">
        <v>373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1200000</v>
      </c>
      <c r="N490" s="17" t="s">
        <v>14079</v>
      </c>
      <c r="O490" s="17" t="s">
        <v>477</v>
      </c>
      <c r="P490" s="17" t="s">
        <v>2543</v>
      </c>
      <c r="Q490" s="17" t="s">
        <v>25</v>
      </c>
      <c r="R490" s="17" t="s">
        <v>2544</v>
      </c>
      <c r="S490" s="17" t="s">
        <v>477</v>
      </c>
      <c r="T490" s="17" t="s">
        <v>2545</v>
      </c>
      <c r="U490" s="17" t="s">
        <v>25</v>
      </c>
      <c r="V490" s="17" t="s">
        <v>2546</v>
      </c>
      <c r="W490" s="17"/>
      <c r="X490" s="17"/>
      <c r="Y490" s="17"/>
      <c r="Z490" s="17"/>
      <c r="AA490" s="17"/>
      <c r="AB490" s="17" t="str">
        <f t="shared" si="7"/>
        <v>GPR08051M2</v>
      </c>
    </row>
    <row r="491" spans="1:28">
      <c r="A491" s="17" t="s">
        <v>2547</v>
      </c>
      <c r="B491" s="17" t="s">
        <v>2547</v>
      </c>
      <c r="C491" s="17" t="s">
        <v>2548</v>
      </c>
      <c r="D491" s="17" t="s">
        <v>21</v>
      </c>
      <c r="E491" s="24" t="s">
        <v>6449</v>
      </c>
      <c r="F491" s="17" t="s">
        <v>375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1300000</v>
      </c>
      <c r="N491" s="17" t="s">
        <v>14079</v>
      </c>
      <c r="O491" s="17" t="s">
        <v>477</v>
      </c>
      <c r="P491" s="17" t="s">
        <v>2549</v>
      </c>
      <c r="Q491" s="17" t="s">
        <v>25</v>
      </c>
      <c r="R491" s="17" t="s">
        <v>2550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GPR08051M3</v>
      </c>
    </row>
    <row r="492" spans="1:28">
      <c r="A492" s="17" t="s">
        <v>2551</v>
      </c>
      <c r="B492" s="17" t="s">
        <v>2551</v>
      </c>
      <c r="C492" s="17" t="s">
        <v>2552</v>
      </c>
      <c r="D492" s="17" t="s">
        <v>21</v>
      </c>
      <c r="E492" s="24" t="s">
        <v>6449</v>
      </c>
      <c r="F492" s="17" t="s">
        <v>377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1752</v>
      </c>
      <c r="K492" s="17"/>
      <c r="L492" s="17"/>
      <c r="M492" s="21">
        <v>1500000</v>
      </c>
      <c r="N492" s="17" t="s">
        <v>14079</v>
      </c>
      <c r="O492" s="17" t="s">
        <v>477</v>
      </c>
      <c r="P492" s="17" t="s">
        <v>2553</v>
      </c>
      <c r="Q492" s="17" t="s">
        <v>25</v>
      </c>
      <c r="R492" s="17" t="s">
        <v>2554</v>
      </c>
      <c r="S492" s="17" t="s">
        <v>477</v>
      </c>
      <c r="T492" s="17" t="s">
        <v>2555</v>
      </c>
      <c r="U492" s="17" t="s">
        <v>25</v>
      </c>
      <c r="V492" s="17" t="s">
        <v>2556</v>
      </c>
      <c r="W492" s="17"/>
      <c r="X492" s="17"/>
      <c r="Y492" s="17"/>
      <c r="Z492" s="17"/>
      <c r="AA492" s="17"/>
      <c r="AB492" s="17" t="str">
        <f t="shared" si="7"/>
        <v>GPR08051M5</v>
      </c>
    </row>
    <row r="493" spans="1:28">
      <c r="A493" s="17" t="s">
        <v>2557</v>
      </c>
      <c r="B493" s="17" t="s">
        <v>2557</v>
      </c>
      <c r="C493" s="17" t="s">
        <v>2558</v>
      </c>
      <c r="D493" s="17" t="s">
        <v>21</v>
      </c>
      <c r="E493" s="24" t="s">
        <v>6449</v>
      </c>
      <c r="F493" s="17" t="s">
        <v>379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1600000</v>
      </c>
      <c r="N493" s="17" t="s">
        <v>14079</v>
      </c>
      <c r="O493" s="17" t="s">
        <v>477</v>
      </c>
      <c r="P493" s="17" t="s">
        <v>2559</v>
      </c>
      <c r="Q493" s="17" t="s">
        <v>25</v>
      </c>
      <c r="R493" s="17" t="s">
        <v>2560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GPR08051M6</v>
      </c>
    </row>
    <row r="494" spans="1:28" ht="15.75">
      <c r="A494" s="17" t="s">
        <v>2561</v>
      </c>
      <c r="B494" s="17" t="s">
        <v>2561</v>
      </c>
      <c r="C494" s="17" t="s">
        <v>2562</v>
      </c>
      <c r="D494" s="17" t="s">
        <v>21</v>
      </c>
      <c r="E494" s="24" t="s">
        <v>6449</v>
      </c>
      <c r="F494" s="17" t="s">
        <v>381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1752</v>
      </c>
      <c r="K494" s="17"/>
      <c r="L494" s="17"/>
      <c r="M494" s="21">
        <v>1800000</v>
      </c>
      <c r="N494" s="17" t="s">
        <v>14079</v>
      </c>
      <c r="O494" s="17" t="s">
        <v>477</v>
      </c>
      <c r="P494" s="17" t="s">
        <v>2563</v>
      </c>
      <c r="Q494" s="17" t="s">
        <v>25</v>
      </c>
      <c r="R494" s="17" t="s">
        <v>2564</v>
      </c>
      <c r="S494" s="17" t="s">
        <v>477</v>
      </c>
      <c r="T494" s="17" t="s">
        <v>2565</v>
      </c>
      <c r="U494" s="17" t="s">
        <v>25</v>
      </c>
      <c r="V494" s="17" t="s">
        <v>2566</v>
      </c>
      <c r="W494" s="8" t="s">
        <v>6382</v>
      </c>
      <c r="X494" s="8" t="s">
        <v>13542</v>
      </c>
      <c r="Y494" t="s">
        <v>4559</v>
      </c>
      <c r="Z494" s="8" t="s">
        <v>13541</v>
      </c>
      <c r="AA494" s="8" t="s">
        <v>4727</v>
      </c>
      <c r="AB494" s="17" t="str">
        <f t="shared" ref="AB494:AB513" si="8">"GPR"&amp;E494&amp;F494</f>
        <v>GPR08051M8</v>
      </c>
    </row>
    <row r="495" spans="1:28">
      <c r="A495" s="17" t="s">
        <v>2567</v>
      </c>
      <c r="B495" s="17" t="s">
        <v>2567</v>
      </c>
      <c r="C495" s="17" t="s">
        <v>2568</v>
      </c>
      <c r="D495" s="17" t="s">
        <v>21</v>
      </c>
      <c r="E495" s="24" t="s">
        <v>6449</v>
      </c>
      <c r="F495" s="17" t="s">
        <v>383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2000000</v>
      </c>
      <c r="N495" s="17" t="s">
        <v>14079</v>
      </c>
      <c r="O495" s="17" t="s">
        <v>477</v>
      </c>
      <c r="P495" s="17" t="s">
        <v>2569</v>
      </c>
      <c r="Q495" s="17" t="s">
        <v>25</v>
      </c>
      <c r="R495" s="17" t="s">
        <v>2570</v>
      </c>
      <c r="S495" s="17"/>
      <c r="T495" s="17"/>
      <c r="U495" s="17"/>
      <c r="V495" s="17"/>
      <c r="W495" s="17" t="s">
        <v>477</v>
      </c>
      <c r="X495" s="17" t="s">
        <v>2569</v>
      </c>
      <c r="Y495" s="17" t="s">
        <v>4559</v>
      </c>
      <c r="Z495" s="17" t="s">
        <v>14577</v>
      </c>
      <c r="AA495" t="s">
        <v>4727</v>
      </c>
      <c r="AB495" s="17" t="str">
        <f t="shared" si="8"/>
        <v>GPR08052M</v>
      </c>
    </row>
    <row r="496" spans="1:28">
      <c r="A496" s="17" t="s">
        <v>2571</v>
      </c>
      <c r="B496" s="17" t="s">
        <v>2571</v>
      </c>
      <c r="C496" s="17" t="s">
        <v>2572</v>
      </c>
      <c r="D496" s="17" t="s">
        <v>21</v>
      </c>
      <c r="E496" s="24" t="s">
        <v>6449</v>
      </c>
      <c r="F496" s="17" t="s">
        <v>385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2200000</v>
      </c>
      <c r="N496" s="17" t="s">
        <v>14079</v>
      </c>
      <c r="O496" s="17" t="s">
        <v>477</v>
      </c>
      <c r="P496" s="17" t="s">
        <v>2573</v>
      </c>
      <c r="Q496" s="17" t="s">
        <v>25</v>
      </c>
      <c r="R496" s="17" t="s">
        <v>2574</v>
      </c>
      <c r="S496" s="17" t="s">
        <v>477</v>
      </c>
      <c r="T496" s="17" t="s">
        <v>2575</v>
      </c>
      <c r="U496" s="17" t="s">
        <v>25</v>
      </c>
      <c r="V496" s="17" t="s">
        <v>2576</v>
      </c>
      <c r="W496" s="17"/>
      <c r="X496" s="17"/>
      <c r="Y496" s="17"/>
      <c r="Z496" s="17"/>
      <c r="AA496" s="17"/>
      <c r="AB496" s="17" t="str">
        <f t="shared" si="8"/>
        <v>GPR08052M2</v>
      </c>
    </row>
    <row r="497" spans="1:28">
      <c r="A497" s="17" t="s">
        <v>2577</v>
      </c>
      <c r="B497" s="17" t="s">
        <v>2577</v>
      </c>
      <c r="C497" s="17" t="s">
        <v>2578</v>
      </c>
      <c r="D497" s="17" t="s">
        <v>21</v>
      </c>
      <c r="E497" s="24" t="s">
        <v>6449</v>
      </c>
      <c r="F497" s="17" t="s">
        <v>387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2400000</v>
      </c>
      <c r="N497" s="17" t="s">
        <v>14079</v>
      </c>
      <c r="O497" s="17" t="s">
        <v>477</v>
      </c>
      <c r="P497" s="17" t="s">
        <v>2579</v>
      </c>
      <c r="Q497" s="17" t="s">
        <v>25</v>
      </c>
      <c r="R497" s="17" t="s">
        <v>2580</v>
      </c>
      <c r="S497" s="17"/>
      <c r="T497" s="17"/>
      <c r="U497" s="17"/>
      <c r="V497" s="17"/>
      <c r="W497" s="17"/>
      <c r="X497" s="17"/>
      <c r="Y497" s="17"/>
      <c r="Z497" s="17"/>
      <c r="AA497" s="17"/>
      <c r="AB497" s="17" t="str">
        <f t="shared" si="8"/>
        <v>GPR08052M4</v>
      </c>
    </row>
    <row r="498" spans="1:28">
      <c r="A498" s="17" t="s">
        <v>2581</v>
      </c>
      <c r="B498" s="17" t="s">
        <v>2581</v>
      </c>
      <c r="C498" s="17" t="s">
        <v>2582</v>
      </c>
      <c r="D498" s="17" t="s">
        <v>21</v>
      </c>
      <c r="E498" s="24" t="s">
        <v>6449</v>
      </c>
      <c r="F498" s="17" t="s">
        <v>389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1752</v>
      </c>
      <c r="K498" s="17"/>
      <c r="L498" s="17"/>
      <c r="M498" s="21">
        <v>2700000</v>
      </c>
      <c r="N498" s="17" t="s">
        <v>14079</v>
      </c>
      <c r="O498" s="17" t="s">
        <v>477</v>
      </c>
      <c r="P498" s="17" t="s">
        <v>2583</v>
      </c>
      <c r="Q498" s="17" t="s">
        <v>25</v>
      </c>
      <c r="R498" s="17" t="s">
        <v>2584</v>
      </c>
      <c r="S498" s="17"/>
      <c r="T498" s="17"/>
      <c r="U498" s="17"/>
      <c r="V498" s="17"/>
      <c r="W498" s="17"/>
      <c r="X498" s="17"/>
      <c r="Y498" s="17"/>
      <c r="Z498" s="17"/>
      <c r="AA498" s="17"/>
      <c r="AB498" s="17" t="str">
        <f t="shared" si="8"/>
        <v>GPR08052M7</v>
      </c>
    </row>
    <row r="499" spans="1:28">
      <c r="A499" s="17" t="s">
        <v>2585</v>
      </c>
      <c r="B499" s="17" t="s">
        <v>2585</v>
      </c>
      <c r="C499" s="17" t="s">
        <v>2586</v>
      </c>
      <c r="D499" s="17" t="s">
        <v>21</v>
      </c>
      <c r="E499" s="24" t="s">
        <v>6449</v>
      </c>
      <c r="F499" s="17" t="s">
        <v>391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3000000</v>
      </c>
      <c r="N499" s="17" t="s">
        <v>14079</v>
      </c>
      <c r="O499" s="17" t="s">
        <v>477</v>
      </c>
      <c r="P499" s="17" t="s">
        <v>2587</v>
      </c>
      <c r="Q499" s="17" t="s">
        <v>25</v>
      </c>
      <c r="R499" s="17" t="s">
        <v>2588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8"/>
        <v>GPR08053M</v>
      </c>
    </row>
    <row r="500" spans="1:28">
      <c r="A500" s="17" t="s">
        <v>2589</v>
      </c>
      <c r="B500" s="17" t="s">
        <v>2589</v>
      </c>
      <c r="C500" s="17" t="s">
        <v>2590</v>
      </c>
      <c r="D500" s="17" t="s">
        <v>21</v>
      </c>
      <c r="E500" s="24" t="s">
        <v>6449</v>
      </c>
      <c r="F500" s="17" t="s">
        <v>393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3300000</v>
      </c>
      <c r="N500" s="17" t="s">
        <v>14079</v>
      </c>
      <c r="O500" s="17" t="s">
        <v>477</v>
      </c>
      <c r="P500" s="17" t="s">
        <v>2591</v>
      </c>
      <c r="Q500" s="17" t="s">
        <v>25</v>
      </c>
      <c r="R500" s="17" t="s">
        <v>2592</v>
      </c>
      <c r="S500" s="17"/>
      <c r="T500" s="17"/>
      <c r="U500" s="17"/>
      <c r="V500" s="17"/>
      <c r="W500" s="17"/>
      <c r="X500" s="17"/>
      <c r="Y500" s="17"/>
      <c r="Z500" s="17"/>
      <c r="AA500" s="17"/>
      <c r="AB500" s="17" t="str">
        <f t="shared" si="8"/>
        <v>GPR08053M3</v>
      </c>
    </row>
    <row r="501" spans="1:28">
      <c r="A501" s="17" t="s">
        <v>2593</v>
      </c>
      <c r="B501" s="17" t="s">
        <v>2593</v>
      </c>
      <c r="C501" s="17" t="s">
        <v>2594</v>
      </c>
      <c r="D501" s="17" t="s">
        <v>21</v>
      </c>
      <c r="E501" s="24" t="s">
        <v>6449</v>
      </c>
      <c r="F501" s="17" t="s">
        <v>395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3600000</v>
      </c>
      <c r="N501" s="17" t="s">
        <v>14079</v>
      </c>
      <c r="O501" s="17" t="s">
        <v>477</v>
      </c>
      <c r="P501" s="17" t="s">
        <v>2595</v>
      </c>
      <c r="Q501" s="17" t="s">
        <v>25</v>
      </c>
      <c r="R501" s="17" t="s">
        <v>2596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8"/>
        <v>GPR08053M6</v>
      </c>
    </row>
    <row r="502" spans="1:28">
      <c r="A502" s="17" t="s">
        <v>2597</v>
      </c>
      <c r="B502" s="17" t="s">
        <v>2597</v>
      </c>
      <c r="C502" s="17" t="s">
        <v>2598</v>
      </c>
      <c r="D502" s="17" t="s">
        <v>21</v>
      </c>
      <c r="E502" s="24" t="s">
        <v>6449</v>
      </c>
      <c r="F502" s="17" t="s">
        <v>397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1752</v>
      </c>
      <c r="K502" s="17"/>
      <c r="L502" s="17"/>
      <c r="M502" s="21">
        <v>3900000</v>
      </c>
      <c r="N502" s="17" t="s">
        <v>14079</v>
      </c>
      <c r="O502" s="17" t="s">
        <v>477</v>
      </c>
      <c r="P502" s="17" t="s">
        <v>2599</v>
      </c>
      <c r="Q502" s="17" t="s">
        <v>25</v>
      </c>
      <c r="R502" s="17" t="s">
        <v>2600</v>
      </c>
      <c r="S502" s="17"/>
      <c r="T502" s="17"/>
      <c r="U502" s="17"/>
      <c r="V502" s="17"/>
      <c r="W502" s="17"/>
      <c r="X502" s="17"/>
      <c r="Y502" s="17"/>
      <c r="Z502" s="17"/>
      <c r="AA502" s="17"/>
      <c r="AB502" s="17" t="str">
        <f t="shared" si="8"/>
        <v>GPR08053M9</v>
      </c>
    </row>
    <row r="503" spans="1:28">
      <c r="A503" s="17" t="s">
        <v>2601</v>
      </c>
      <c r="B503" s="17" t="s">
        <v>2601</v>
      </c>
      <c r="C503" s="17" t="s">
        <v>2602</v>
      </c>
      <c r="D503" s="17" t="s">
        <v>21</v>
      </c>
      <c r="E503" s="24" t="s">
        <v>6449</v>
      </c>
      <c r="F503" s="17" t="s">
        <v>399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4300000</v>
      </c>
      <c r="N503" s="17" t="s">
        <v>14079</v>
      </c>
      <c r="O503" s="17" t="s">
        <v>477</v>
      </c>
      <c r="P503" s="17" t="s">
        <v>2603</v>
      </c>
      <c r="Q503" s="17" t="s">
        <v>25</v>
      </c>
      <c r="R503" s="17" t="s">
        <v>2604</v>
      </c>
      <c r="S503" s="17"/>
      <c r="T503" s="17"/>
      <c r="U503" s="17"/>
      <c r="V503" s="17"/>
      <c r="W503" s="17"/>
      <c r="X503" s="17"/>
      <c r="Y503" s="17"/>
      <c r="Z503" s="17"/>
      <c r="AA503" s="17"/>
      <c r="AB503" s="17" t="str">
        <f t="shared" si="8"/>
        <v>GPR08054M3</v>
      </c>
    </row>
    <row r="504" spans="1:28">
      <c r="A504" s="17" t="s">
        <v>2605</v>
      </c>
      <c r="B504" s="17" t="s">
        <v>2605</v>
      </c>
      <c r="C504" s="17" t="s">
        <v>2606</v>
      </c>
      <c r="D504" s="17" t="s">
        <v>21</v>
      </c>
      <c r="E504" s="24" t="s">
        <v>6449</v>
      </c>
      <c r="F504" s="17" t="s">
        <v>401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1752</v>
      </c>
      <c r="K504" s="17"/>
      <c r="L504" s="17"/>
      <c r="M504" s="21">
        <v>4700000</v>
      </c>
      <c r="N504" s="17" t="s">
        <v>14079</v>
      </c>
      <c r="O504" s="17" t="s">
        <v>477</v>
      </c>
      <c r="P504" s="17" t="s">
        <v>2607</v>
      </c>
      <c r="Q504" s="17" t="s">
        <v>25</v>
      </c>
      <c r="R504" s="17" t="s">
        <v>2608</v>
      </c>
      <c r="S504" s="17" t="s">
        <v>477</v>
      </c>
      <c r="T504" s="17" t="s">
        <v>2609</v>
      </c>
      <c r="U504" s="17" t="s">
        <v>25</v>
      </c>
      <c r="V504" s="17" t="s">
        <v>2610</v>
      </c>
      <c r="W504" s="17"/>
      <c r="X504" s="17"/>
      <c r="Y504" s="17"/>
      <c r="Z504" s="17"/>
      <c r="AA504" s="17"/>
      <c r="AB504" s="17" t="str">
        <f t="shared" si="8"/>
        <v>GPR08054M7</v>
      </c>
    </row>
    <row r="505" spans="1:28">
      <c r="A505" s="17" t="s">
        <v>2611</v>
      </c>
      <c r="B505" s="17" t="s">
        <v>2611</v>
      </c>
      <c r="C505" s="17" t="s">
        <v>2612</v>
      </c>
      <c r="D505" s="17" t="s">
        <v>21</v>
      </c>
      <c r="E505" s="24" t="s">
        <v>6449</v>
      </c>
      <c r="F505" s="17" t="s">
        <v>403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5100000</v>
      </c>
      <c r="N505" s="17" t="s">
        <v>14079</v>
      </c>
      <c r="O505" s="17" t="s">
        <v>477</v>
      </c>
      <c r="P505" s="17" t="s">
        <v>2613</v>
      </c>
      <c r="Q505" s="17" t="s">
        <v>25</v>
      </c>
      <c r="R505" s="17" t="s">
        <v>2614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8"/>
        <v>GPR08055M1</v>
      </c>
    </row>
    <row r="506" spans="1:28">
      <c r="A506" s="17" t="s">
        <v>2615</v>
      </c>
      <c r="B506" s="17" t="s">
        <v>2615</v>
      </c>
      <c r="C506" s="17" t="s">
        <v>2616</v>
      </c>
      <c r="D506" s="17" t="s">
        <v>21</v>
      </c>
      <c r="E506" s="24" t="s">
        <v>6449</v>
      </c>
      <c r="F506" s="17" t="s">
        <v>405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5600000</v>
      </c>
      <c r="N506" s="17" t="s">
        <v>14079</v>
      </c>
      <c r="O506" s="17" t="s">
        <v>477</v>
      </c>
      <c r="P506" s="17" t="s">
        <v>2617</v>
      </c>
      <c r="Q506" s="17" t="s">
        <v>25</v>
      </c>
      <c r="R506" s="17" t="s">
        <v>2618</v>
      </c>
      <c r="S506" s="17"/>
      <c r="T506" s="17"/>
      <c r="U506" s="17"/>
      <c r="V506" s="17"/>
      <c r="W506" s="17"/>
      <c r="X506" s="17"/>
      <c r="Y506" s="17"/>
      <c r="Z506" s="17"/>
      <c r="AA506" s="17"/>
      <c r="AB506" s="17" t="str">
        <f t="shared" si="8"/>
        <v>GPR08055M6</v>
      </c>
    </row>
    <row r="507" spans="1:28">
      <c r="A507" s="17" t="s">
        <v>2619</v>
      </c>
      <c r="B507" s="17" t="s">
        <v>2619</v>
      </c>
      <c r="C507" s="17" t="s">
        <v>2620</v>
      </c>
      <c r="D507" s="17" t="s">
        <v>21</v>
      </c>
      <c r="E507" s="24" t="s">
        <v>6449</v>
      </c>
      <c r="F507" s="17" t="s">
        <v>407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6200000</v>
      </c>
      <c r="N507" s="17" t="s">
        <v>14079</v>
      </c>
      <c r="O507" s="17" t="s">
        <v>477</v>
      </c>
      <c r="P507" s="17" t="s">
        <v>2621</v>
      </c>
      <c r="Q507" s="17" t="s">
        <v>25</v>
      </c>
      <c r="R507" s="17" t="s">
        <v>2622</v>
      </c>
      <c r="S507" s="17"/>
      <c r="T507" s="17"/>
      <c r="U507" s="17"/>
      <c r="V507" s="17"/>
      <c r="W507" s="17"/>
      <c r="X507" s="17"/>
      <c r="Y507" s="17"/>
      <c r="Z507" s="17"/>
      <c r="AA507" s="17"/>
      <c r="AB507" s="17" t="str">
        <f t="shared" si="8"/>
        <v>GPR08056M2</v>
      </c>
    </row>
    <row r="508" spans="1:28">
      <c r="A508" s="17" t="s">
        <v>2623</v>
      </c>
      <c r="B508" s="17" t="s">
        <v>2623</v>
      </c>
      <c r="C508" s="17" t="s">
        <v>2624</v>
      </c>
      <c r="D508" s="17" t="s">
        <v>21</v>
      </c>
      <c r="E508" s="24" t="s">
        <v>6449</v>
      </c>
      <c r="F508" s="17" t="s">
        <v>409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1752</v>
      </c>
      <c r="K508" s="17"/>
      <c r="L508" s="17"/>
      <c r="M508" s="21">
        <v>6800000</v>
      </c>
      <c r="N508" s="17" t="s">
        <v>14079</v>
      </c>
      <c r="O508" s="17" t="s">
        <v>477</v>
      </c>
      <c r="P508" s="17" t="s">
        <v>2625</v>
      </c>
      <c r="Q508" s="17" t="s">
        <v>25</v>
      </c>
      <c r="R508" s="17" t="s">
        <v>2626</v>
      </c>
      <c r="S508" s="17"/>
      <c r="T508" s="17"/>
      <c r="U508" s="17"/>
      <c r="V508" s="17"/>
      <c r="W508" s="17"/>
      <c r="X508" s="17"/>
      <c r="Y508" s="17"/>
      <c r="Z508" s="17"/>
      <c r="AA508" s="17"/>
      <c r="AB508" s="17" t="str">
        <f t="shared" si="8"/>
        <v>GPR08056M8</v>
      </c>
    </row>
    <row r="509" spans="1:28">
      <c r="A509" s="17" t="s">
        <v>2627</v>
      </c>
      <c r="B509" s="17" t="s">
        <v>2627</v>
      </c>
      <c r="C509" s="17" t="s">
        <v>2628</v>
      </c>
      <c r="D509" s="17" t="s">
        <v>21</v>
      </c>
      <c r="E509" s="24" t="s">
        <v>6449</v>
      </c>
      <c r="F509" s="17" t="s">
        <v>411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7500000</v>
      </c>
      <c r="N509" s="17" t="s">
        <v>14079</v>
      </c>
      <c r="O509" s="17" t="s">
        <v>477</v>
      </c>
      <c r="P509" s="17" t="s">
        <v>2629</v>
      </c>
      <c r="Q509" s="17" t="s">
        <v>25</v>
      </c>
      <c r="R509" s="17" t="s">
        <v>2630</v>
      </c>
      <c r="S509" s="17"/>
      <c r="T509" s="17"/>
      <c r="U509" s="17"/>
      <c r="V509" s="17"/>
      <c r="W509" s="17"/>
      <c r="X509" s="17"/>
      <c r="Y509" s="17"/>
      <c r="Z509" s="17"/>
      <c r="AA509" s="17"/>
      <c r="AB509" s="17" t="str">
        <f t="shared" si="8"/>
        <v>GPR08057M5</v>
      </c>
    </row>
    <row r="510" spans="1:28">
      <c r="A510" s="17" t="s">
        <v>2631</v>
      </c>
      <c r="B510" s="17" t="s">
        <v>2631</v>
      </c>
      <c r="C510" s="17" t="s">
        <v>2632</v>
      </c>
      <c r="D510" s="17" t="s">
        <v>21</v>
      </c>
      <c r="E510" s="24" t="s">
        <v>6449</v>
      </c>
      <c r="F510" s="17" t="s">
        <v>413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1752</v>
      </c>
      <c r="K510" s="17"/>
      <c r="L510" s="17"/>
      <c r="M510" s="21">
        <v>8200000</v>
      </c>
      <c r="N510" s="17" t="s">
        <v>14079</v>
      </c>
      <c r="O510" s="17" t="s">
        <v>477</v>
      </c>
      <c r="P510" s="17" t="s">
        <v>2633</v>
      </c>
      <c r="Q510" s="17" t="s">
        <v>25</v>
      </c>
      <c r="R510" s="17" t="s">
        <v>2634</v>
      </c>
      <c r="S510" s="17"/>
      <c r="T510" s="17"/>
      <c r="U510" s="17"/>
      <c r="V510" s="17"/>
      <c r="W510" s="17"/>
      <c r="X510" s="17"/>
      <c r="Y510" s="17"/>
      <c r="Z510" s="17"/>
      <c r="AA510" s="17"/>
      <c r="AB510" s="17" t="str">
        <f t="shared" si="8"/>
        <v>GPR08058M2</v>
      </c>
    </row>
    <row r="511" spans="1:28" ht="15.75">
      <c r="A511" s="17" t="s">
        <v>2635</v>
      </c>
      <c r="B511" s="17" t="s">
        <v>2635</v>
      </c>
      <c r="C511" s="17" t="s">
        <v>2636</v>
      </c>
      <c r="D511" s="17" t="s">
        <v>21</v>
      </c>
      <c r="E511" s="24" t="s">
        <v>6449</v>
      </c>
      <c r="F511" s="17" t="s">
        <v>415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9100000</v>
      </c>
      <c r="N511" s="17" t="s">
        <v>14079</v>
      </c>
      <c r="O511" s="17" t="s">
        <v>477</v>
      </c>
      <c r="P511" s="17" t="s">
        <v>2637</v>
      </c>
      <c r="Q511" s="17" t="s">
        <v>25</v>
      </c>
      <c r="R511" s="17" t="s">
        <v>2638</v>
      </c>
      <c r="S511" s="17"/>
      <c r="T511" s="17"/>
      <c r="U511" s="17"/>
      <c r="V511" s="17"/>
      <c r="W511" s="8" t="s">
        <v>6382</v>
      </c>
      <c r="X511" s="8" t="s">
        <v>13548</v>
      </c>
      <c r="Y511" s="17" t="s">
        <v>4559</v>
      </c>
      <c r="Z511" s="8" t="s">
        <v>13547</v>
      </c>
      <c r="AA511" s="17"/>
      <c r="AB511" s="17" t="str">
        <f t="shared" si="8"/>
        <v>GPR08059M1</v>
      </c>
    </row>
    <row r="512" spans="1:28">
      <c r="A512" s="17" t="s">
        <v>2639</v>
      </c>
      <c r="B512" s="17" t="s">
        <v>2639</v>
      </c>
      <c r="C512" s="17" t="s">
        <v>2640</v>
      </c>
      <c r="D512" s="17" t="s">
        <v>21</v>
      </c>
      <c r="E512" s="24" t="s">
        <v>6449</v>
      </c>
      <c r="F512" s="17" t="s">
        <v>417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10000000</v>
      </c>
      <c r="N512" s="17" t="s">
        <v>14079</v>
      </c>
      <c r="O512" s="17" t="s">
        <v>477</v>
      </c>
      <c r="P512" s="17" t="s">
        <v>2641</v>
      </c>
      <c r="Q512" s="17" t="s">
        <v>25</v>
      </c>
      <c r="R512" s="17" t="s">
        <v>2642</v>
      </c>
      <c r="S512" s="17" t="s">
        <v>477</v>
      </c>
      <c r="T512" s="17" t="s">
        <v>2643</v>
      </c>
      <c r="U512" s="17" t="s">
        <v>25</v>
      </c>
      <c r="V512" s="17" t="s">
        <v>2644</v>
      </c>
      <c r="W512" s="17" t="s">
        <v>477</v>
      </c>
      <c r="X512" s="17" t="s">
        <v>14086</v>
      </c>
      <c r="Y512" t="s">
        <v>4559</v>
      </c>
      <c r="Z512" s="17" t="s">
        <v>14087</v>
      </c>
      <c r="AA512" s="17"/>
      <c r="AB512" s="17" t="str">
        <f t="shared" si="8"/>
        <v>GPR080510M</v>
      </c>
    </row>
    <row r="513" spans="1:28">
      <c r="A513" t="s">
        <v>14088</v>
      </c>
      <c r="B513" t="s">
        <v>14088</v>
      </c>
      <c r="C513" s="17" t="s">
        <v>14090</v>
      </c>
      <c r="D513" t="s">
        <v>21</v>
      </c>
      <c r="E513" s="24" t="s">
        <v>6449</v>
      </c>
      <c r="F513" t="s">
        <v>417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10000000</v>
      </c>
      <c r="N513" s="17" t="s">
        <v>14080</v>
      </c>
      <c r="O513" s="17" t="s">
        <v>477</v>
      </c>
      <c r="P513" s="17" t="s">
        <v>14091</v>
      </c>
      <c r="Q513" t="s">
        <v>25</v>
      </c>
      <c r="R513" s="17" t="s">
        <v>14092</v>
      </c>
      <c r="S513" s="17"/>
      <c r="T513" s="17"/>
      <c r="U513" s="17"/>
      <c r="V513" s="17"/>
      <c r="W513" s="17" t="s">
        <v>477</v>
      </c>
      <c r="X513" s="17" t="s">
        <v>14091</v>
      </c>
      <c r="Y513" t="s">
        <v>4559</v>
      </c>
      <c r="Z513" s="17" t="s">
        <v>14093</v>
      </c>
      <c r="AA513" s="17"/>
      <c r="AB513" t="str">
        <f t="shared" si="8"/>
        <v>GPR080510M</v>
      </c>
    </row>
    <row r="514" spans="1:28">
      <c r="A514" s="16" t="s">
        <v>8897</v>
      </c>
      <c r="B514" s="16" t="s">
        <v>8897</v>
      </c>
      <c r="C514" s="16" t="s">
        <v>8898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419</v>
      </c>
      <c r="I514" s="18" t="s">
        <v>461</v>
      </c>
      <c r="J514" s="17" t="s">
        <v>6413</v>
      </c>
      <c r="K514" s="17"/>
      <c r="L514" s="17"/>
      <c r="M514" s="19">
        <v>0</v>
      </c>
      <c r="N514" s="17"/>
      <c r="O514" s="16"/>
      <c r="P514" s="17"/>
      <c r="Q514" s="16"/>
      <c r="R514" s="17"/>
      <c r="S514" s="16"/>
      <c r="T514" s="17"/>
      <c r="U514" s="16"/>
      <c r="V514" s="16"/>
      <c r="W514" s="17"/>
      <c r="X514" s="17"/>
      <c r="Y514" s="16"/>
      <c r="Z514" s="17"/>
      <c r="AA514" s="17"/>
      <c r="AB514" s="17"/>
    </row>
    <row r="515" spans="1:28">
      <c r="A515" s="17" t="s">
        <v>8899</v>
      </c>
      <c r="B515" s="17" t="s">
        <v>8899</v>
      </c>
      <c r="C515" s="17" t="s">
        <v>8900</v>
      </c>
      <c r="D515" s="17" t="s">
        <v>21</v>
      </c>
      <c r="E515" s="24">
        <v>1206</v>
      </c>
      <c r="F515" s="17" t="s">
        <v>29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6413</v>
      </c>
      <c r="K515" s="17"/>
      <c r="L515" s="17"/>
      <c r="M515" s="17">
        <v>1</v>
      </c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</row>
    <row r="516" spans="1:28">
      <c r="A516" s="17" t="s">
        <v>8901</v>
      </c>
      <c r="B516" s="17" t="s">
        <v>8901</v>
      </c>
      <c r="C516" s="17" t="s">
        <v>8902</v>
      </c>
      <c r="D516" s="17" t="s">
        <v>21</v>
      </c>
      <c r="E516" s="24">
        <v>1206</v>
      </c>
      <c r="F516" s="17" t="s">
        <v>1042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6413</v>
      </c>
      <c r="K516" s="17"/>
      <c r="L516" s="17"/>
      <c r="M516" s="17">
        <v>1.1000000000000001</v>
      </c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</row>
    <row r="517" spans="1:28">
      <c r="A517" s="17" t="s">
        <v>8903</v>
      </c>
      <c r="B517" s="17" t="s">
        <v>8903</v>
      </c>
      <c r="C517" s="17" t="s">
        <v>8904</v>
      </c>
      <c r="D517" s="17" t="s">
        <v>21</v>
      </c>
      <c r="E517" s="24">
        <v>1206</v>
      </c>
      <c r="F517" s="17" t="s">
        <v>31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6413</v>
      </c>
      <c r="K517" s="17"/>
      <c r="L517" s="17"/>
      <c r="M517" s="17">
        <v>1.2</v>
      </c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</row>
    <row r="518" spans="1:28">
      <c r="A518" s="17" t="s">
        <v>8905</v>
      </c>
      <c r="B518" s="17" t="s">
        <v>8905</v>
      </c>
      <c r="C518" s="17" t="s">
        <v>8906</v>
      </c>
      <c r="D518" s="17" t="s">
        <v>21</v>
      </c>
      <c r="E518" s="24">
        <v>1206</v>
      </c>
      <c r="F518" s="17" t="s">
        <v>1052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6413</v>
      </c>
      <c r="K518" s="17"/>
      <c r="L518" s="17"/>
      <c r="M518" s="17">
        <v>1.3</v>
      </c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</row>
    <row r="519" spans="1:28">
      <c r="A519" s="17" t="s">
        <v>8907</v>
      </c>
      <c r="B519" s="17" t="s">
        <v>8907</v>
      </c>
      <c r="C519" s="17" t="s">
        <v>8908</v>
      </c>
      <c r="D519" s="17" t="s">
        <v>21</v>
      </c>
      <c r="E519" s="24">
        <v>1206</v>
      </c>
      <c r="F519" s="17" t="s">
        <v>33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6413</v>
      </c>
      <c r="K519" s="17"/>
      <c r="L519" s="17"/>
      <c r="M519" s="17">
        <v>1.5</v>
      </c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</row>
    <row r="520" spans="1:28">
      <c r="A520" s="17" t="s">
        <v>8909</v>
      </c>
      <c r="B520" s="17" t="s">
        <v>8909</v>
      </c>
      <c r="C520" s="17" t="s">
        <v>8910</v>
      </c>
      <c r="D520" s="17" t="s">
        <v>21</v>
      </c>
      <c r="E520" s="24">
        <v>1206</v>
      </c>
      <c r="F520" s="17" t="s">
        <v>1062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6413</v>
      </c>
      <c r="K520" s="17"/>
      <c r="L520" s="17"/>
      <c r="M520" s="17">
        <v>1.6</v>
      </c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</row>
    <row r="521" spans="1:28">
      <c r="A521" s="17" t="s">
        <v>8911</v>
      </c>
      <c r="B521" s="17" t="s">
        <v>8911</v>
      </c>
      <c r="C521" s="17" t="s">
        <v>8912</v>
      </c>
      <c r="D521" s="17" t="s">
        <v>21</v>
      </c>
      <c r="E521" s="24">
        <v>1206</v>
      </c>
      <c r="F521" s="17" t="s">
        <v>35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6413</v>
      </c>
      <c r="K521" s="17"/>
      <c r="L521" s="17"/>
      <c r="M521" s="17">
        <v>1.8</v>
      </c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</row>
    <row r="522" spans="1:28">
      <c r="A522" s="17" t="s">
        <v>8913</v>
      </c>
      <c r="B522" s="17" t="s">
        <v>8913</v>
      </c>
      <c r="C522" s="17" t="s">
        <v>8914</v>
      </c>
      <c r="D522" s="17" t="s">
        <v>21</v>
      </c>
      <c r="E522" s="24">
        <v>1206</v>
      </c>
      <c r="F522" s="17" t="s">
        <v>1070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6413</v>
      </c>
      <c r="K522" s="17"/>
      <c r="L522" s="17"/>
      <c r="M522" s="17">
        <v>2</v>
      </c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</row>
    <row r="523" spans="1:28">
      <c r="A523" s="17" t="s">
        <v>8915</v>
      </c>
      <c r="B523" s="17" t="s">
        <v>8915</v>
      </c>
      <c r="C523" s="17" t="s">
        <v>8916</v>
      </c>
      <c r="D523" s="17" t="s">
        <v>21</v>
      </c>
      <c r="E523" s="24">
        <v>1206</v>
      </c>
      <c r="F523" s="17" t="s">
        <v>37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6413</v>
      </c>
      <c r="K523" s="17"/>
      <c r="L523" s="17"/>
      <c r="M523" s="17">
        <v>2.2000000000000002</v>
      </c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</row>
    <row r="524" spans="1:28">
      <c r="A524" s="17" t="s">
        <v>8917</v>
      </c>
      <c r="B524" s="17" t="s">
        <v>8917</v>
      </c>
      <c r="C524" s="17" t="s">
        <v>8918</v>
      </c>
      <c r="D524" s="17" t="s">
        <v>21</v>
      </c>
      <c r="E524" s="24">
        <v>1206</v>
      </c>
      <c r="F524" s="17" t="s">
        <v>1080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6413</v>
      </c>
      <c r="K524" s="17"/>
      <c r="L524" s="17"/>
      <c r="M524" s="17">
        <v>2.4</v>
      </c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</row>
    <row r="525" spans="1:28">
      <c r="A525" s="17" t="s">
        <v>8919</v>
      </c>
      <c r="B525" s="17" t="s">
        <v>8919</v>
      </c>
      <c r="C525" s="17" t="s">
        <v>8920</v>
      </c>
      <c r="D525" s="17" t="s">
        <v>21</v>
      </c>
      <c r="E525" s="24">
        <v>1206</v>
      </c>
      <c r="F525" s="17" t="s">
        <v>39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6413</v>
      </c>
      <c r="K525" s="17"/>
      <c r="L525" s="17"/>
      <c r="M525" s="17">
        <v>2.7</v>
      </c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</row>
    <row r="526" spans="1:28">
      <c r="A526" s="17" t="s">
        <v>8921</v>
      </c>
      <c r="B526" s="17" t="s">
        <v>8921</v>
      </c>
      <c r="C526" s="17" t="s">
        <v>8922</v>
      </c>
      <c r="D526" s="17" t="s">
        <v>21</v>
      </c>
      <c r="E526" s="24">
        <v>1206</v>
      </c>
      <c r="F526" s="17" t="s">
        <v>1088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6413</v>
      </c>
      <c r="K526" s="17"/>
      <c r="L526" s="17"/>
      <c r="M526" s="17">
        <v>3</v>
      </c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</row>
    <row r="527" spans="1:28">
      <c r="A527" s="17" t="s">
        <v>8923</v>
      </c>
      <c r="B527" s="17" t="s">
        <v>8923</v>
      </c>
      <c r="C527" s="17" t="s">
        <v>8924</v>
      </c>
      <c r="D527" s="17" t="s">
        <v>21</v>
      </c>
      <c r="E527" s="24">
        <v>1206</v>
      </c>
      <c r="F527" s="17" t="s">
        <v>41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6413</v>
      </c>
      <c r="K527" s="17"/>
      <c r="L527" s="17"/>
      <c r="M527" s="17">
        <v>3.3</v>
      </c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</row>
    <row r="528" spans="1:28">
      <c r="A528" s="17" t="s">
        <v>8925</v>
      </c>
      <c r="B528" s="17" t="s">
        <v>8925</v>
      </c>
      <c r="C528" s="17" t="s">
        <v>8926</v>
      </c>
      <c r="D528" s="17" t="s">
        <v>21</v>
      </c>
      <c r="E528" s="24">
        <v>1206</v>
      </c>
      <c r="F528" s="17" t="s">
        <v>1098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6413</v>
      </c>
      <c r="K528" s="17"/>
      <c r="L528" s="17"/>
      <c r="M528" s="17">
        <v>3.6</v>
      </c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</row>
    <row r="529" spans="1:28">
      <c r="A529" s="17" t="s">
        <v>8927</v>
      </c>
      <c r="B529" s="17" t="s">
        <v>8927</v>
      </c>
      <c r="C529" s="17" t="s">
        <v>8928</v>
      </c>
      <c r="D529" s="17" t="s">
        <v>21</v>
      </c>
      <c r="E529" s="24">
        <v>1206</v>
      </c>
      <c r="F529" s="17" t="s">
        <v>43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6413</v>
      </c>
      <c r="K529" s="17"/>
      <c r="L529" s="17"/>
      <c r="M529" s="17">
        <v>3.9</v>
      </c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</row>
    <row r="530" spans="1:28">
      <c r="A530" s="17" t="s">
        <v>8929</v>
      </c>
      <c r="B530" s="17" t="s">
        <v>8929</v>
      </c>
      <c r="C530" s="17" t="s">
        <v>8930</v>
      </c>
      <c r="D530" s="17" t="s">
        <v>21</v>
      </c>
      <c r="E530" s="24">
        <v>1206</v>
      </c>
      <c r="F530" s="17" t="s">
        <v>1106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6413</v>
      </c>
      <c r="K530" s="17"/>
      <c r="L530" s="17"/>
      <c r="M530" s="17">
        <v>4.3</v>
      </c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</row>
    <row r="531" spans="1:28">
      <c r="A531" s="17" t="s">
        <v>8931</v>
      </c>
      <c r="B531" s="17" t="s">
        <v>8931</v>
      </c>
      <c r="C531" s="17" t="s">
        <v>8932</v>
      </c>
      <c r="D531" s="17" t="s">
        <v>21</v>
      </c>
      <c r="E531" s="24">
        <v>1206</v>
      </c>
      <c r="F531" s="17" t="s">
        <v>45</v>
      </c>
      <c r="G531" s="17" t="str">
        <f>Config!$B$3</f>
        <v>SCH/R_IEC.SchLib</v>
      </c>
      <c r="H531" s="17" t="s">
        <v>419</v>
      </c>
      <c r="I531" s="17" t="s">
        <v>461</v>
      </c>
      <c r="J531" s="17" t="s">
        <v>6413</v>
      </c>
      <c r="K531" s="17"/>
      <c r="L531" s="17"/>
      <c r="M531" s="17">
        <v>4.7</v>
      </c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</row>
    <row r="532" spans="1:28">
      <c r="A532" s="17" t="s">
        <v>8933</v>
      </c>
      <c r="B532" s="17" t="s">
        <v>8933</v>
      </c>
      <c r="C532" s="17" t="s">
        <v>8934</v>
      </c>
      <c r="D532" s="17" t="s">
        <v>21</v>
      </c>
      <c r="E532" s="24">
        <v>1206</v>
      </c>
      <c r="F532" s="17" t="s">
        <v>1116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5.0999999999999996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8935</v>
      </c>
      <c r="B533" s="17" t="s">
        <v>8935</v>
      </c>
      <c r="C533" s="17" t="s">
        <v>8936</v>
      </c>
      <c r="D533" s="17" t="s">
        <v>21</v>
      </c>
      <c r="E533" s="24">
        <v>1206</v>
      </c>
      <c r="F533" s="17" t="s">
        <v>47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5.6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8937</v>
      </c>
      <c r="B534" s="17" t="s">
        <v>8937</v>
      </c>
      <c r="C534" s="17" t="s">
        <v>8938</v>
      </c>
      <c r="D534" s="17" t="s">
        <v>21</v>
      </c>
      <c r="E534" s="24">
        <v>1206</v>
      </c>
      <c r="F534" s="17" t="s">
        <v>1128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6.2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8939</v>
      </c>
      <c r="B535" s="17" t="s">
        <v>8939</v>
      </c>
      <c r="C535" s="17" t="s">
        <v>8940</v>
      </c>
      <c r="D535" s="17" t="s">
        <v>21</v>
      </c>
      <c r="E535" s="24">
        <v>1206</v>
      </c>
      <c r="F535" s="17" t="s">
        <v>49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6.8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8941</v>
      </c>
      <c r="B536" s="17" t="s">
        <v>8941</v>
      </c>
      <c r="C536" s="17" t="s">
        <v>8942</v>
      </c>
      <c r="D536" s="17" t="s">
        <v>21</v>
      </c>
      <c r="E536" s="24">
        <v>1206</v>
      </c>
      <c r="F536" s="17" t="s">
        <v>1138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7.5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8943</v>
      </c>
      <c r="B537" s="17" t="s">
        <v>8943</v>
      </c>
      <c r="C537" s="17" t="s">
        <v>8944</v>
      </c>
      <c r="D537" s="17" t="s">
        <v>21</v>
      </c>
      <c r="E537" s="24">
        <v>1206</v>
      </c>
      <c r="F537" s="17" t="s">
        <v>51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8.1999999999999993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8945</v>
      </c>
      <c r="B538" s="17" t="s">
        <v>8945</v>
      </c>
      <c r="C538" s="17" t="s">
        <v>8946</v>
      </c>
      <c r="D538" s="17" t="s">
        <v>21</v>
      </c>
      <c r="E538" s="24">
        <v>1206</v>
      </c>
      <c r="F538" s="17" t="s">
        <v>1148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9.1</v>
      </c>
      <c r="N538" s="17"/>
      <c r="O538" s="17"/>
      <c r="P538" s="17"/>
      <c r="Q538" s="17"/>
      <c r="R538" s="17"/>
      <c r="S538" s="17"/>
      <c r="T538" s="17"/>
      <c r="U538" s="17"/>
      <c r="V538" s="17"/>
      <c r="X538" s="17"/>
      <c r="Y538" s="17"/>
      <c r="Z538" s="17"/>
      <c r="AA538" s="17"/>
      <c r="AB538" s="17"/>
    </row>
    <row r="539" spans="1:28">
      <c r="A539" s="17" t="s">
        <v>8947</v>
      </c>
      <c r="B539" s="17" t="s">
        <v>8947</v>
      </c>
      <c r="C539" s="17" t="s">
        <v>8948</v>
      </c>
      <c r="D539" s="17" t="s">
        <v>21</v>
      </c>
      <c r="E539" s="24">
        <v>1206</v>
      </c>
      <c r="F539" s="17" t="s">
        <v>53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21">
        <v>10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8949</v>
      </c>
      <c r="B540" s="17" t="s">
        <v>8949</v>
      </c>
      <c r="C540" s="17" t="s">
        <v>8950</v>
      </c>
      <c r="D540" s="17" t="s">
        <v>21</v>
      </c>
      <c r="E540" s="24">
        <v>1206</v>
      </c>
      <c r="F540" s="17" t="s">
        <v>57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21">
        <v>11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8951</v>
      </c>
      <c r="B541" s="17" t="s">
        <v>8951</v>
      </c>
      <c r="C541" s="17" t="s">
        <v>8952</v>
      </c>
      <c r="D541" s="17" t="s">
        <v>21</v>
      </c>
      <c r="E541" s="24">
        <v>1206</v>
      </c>
      <c r="F541" s="17" t="s">
        <v>59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21">
        <v>12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8953</v>
      </c>
      <c r="B542" s="17" t="s">
        <v>8953</v>
      </c>
      <c r="C542" s="17" t="s">
        <v>8954</v>
      </c>
      <c r="D542" s="17" t="s">
        <v>21</v>
      </c>
      <c r="E542" s="24">
        <v>1206</v>
      </c>
      <c r="F542" s="17" t="s">
        <v>61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21">
        <v>13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6434</v>
      </c>
      <c r="B543" s="17" t="s">
        <v>6434</v>
      </c>
      <c r="C543" s="17" t="s">
        <v>8955</v>
      </c>
      <c r="D543" s="17" t="s">
        <v>21</v>
      </c>
      <c r="E543" s="24">
        <v>1206</v>
      </c>
      <c r="F543" s="17" t="s">
        <v>63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21">
        <v>15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8956</v>
      </c>
      <c r="B544" s="17" t="s">
        <v>8956</v>
      </c>
      <c r="C544" s="17" t="s">
        <v>8957</v>
      </c>
      <c r="D544" s="17" t="s">
        <v>21</v>
      </c>
      <c r="E544" s="24">
        <v>1206</v>
      </c>
      <c r="F544" s="17" t="s">
        <v>65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21">
        <v>16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8958</v>
      </c>
      <c r="B545" s="17" t="s">
        <v>8958</v>
      </c>
      <c r="C545" s="17" t="s">
        <v>8959</v>
      </c>
      <c r="D545" s="17" t="s">
        <v>21</v>
      </c>
      <c r="E545" s="24">
        <v>1206</v>
      </c>
      <c r="F545" s="17" t="s">
        <v>67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21">
        <v>18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8960</v>
      </c>
      <c r="B546" s="17" t="s">
        <v>8960</v>
      </c>
      <c r="C546" s="17" t="s">
        <v>8961</v>
      </c>
      <c r="D546" s="17" t="s">
        <v>21</v>
      </c>
      <c r="E546" s="24">
        <v>1206</v>
      </c>
      <c r="F546" s="17" t="s">
        <v>69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21">
        <v>20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8962</v>
      </c>
      <c r="B547" s="17" t="s">
        <v>8962</v>
      </c>
      <c r="C547" s="17" t="s">
        <v>8963</v>
      </c>
      <c r="D547" s="17" t="s">
        <v>21</v>
      </c>
      <c r="E547" s="24">
        <v>1206</v>
      </c>
      <c r="F547" s="17" t="s">
        <v>71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21">
        <v>22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8964</v>
      </c>
      <c r="B548" s="17" t="s">
        <v>8964</v>
      </c>
      <c r="C548" s="17" t="s">
        <v>8965</v>
      </c>
      <c r="D548" s="17" t="s">
        <v>21</v>
      </c>
      <c r="E548" s="24">
        <v>1206</v>
      </c>
      <c r="F548" s="17" t="s">
        <v>75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21">
        <v>24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8966</v>
      </c>
      <c r="B549" s="17" t="s">
        <v>8966</v>
      </c>
      <c r="C549" s="17" t="s">
        <v>8967</v>
      </c>
      <c r="D549" s="17" t="s">
        <v>21</v>
      </c>
      <c r="E549" s="24">
        <v>1206</v>
      </c>
      <c r="F549" s="17" t="s">
        <v>77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21">
        <v>27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8968</v>
      </c>
      <c r="B550" s="17" t="s">
        <v>8968</v>
      </c>
      <c r="C550" s="17" t="s">
        <v>8969</v>
      </c>
      <c r="D550" s="17" t="s">
        <v>21</v>
      </c>
      <c r="E550" s="24">
        <v>1206</v>
      </c>
      <c r="F550" s="17" t="s">
        <v>79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21">
        <v>30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8970</v>
      </c>
      <c r="B551" s="17" t="s">
        <v>8970</v>
      </c>
      <c r="C551" s="17" t="s">
        <v>8971</v>
      </c>
      <c r="D551" s="17" t="s">
        <v>21</v>
      </c>
      <c r="E551" s="24">
        <v>1206</v>
      </c>
      <c r="F551" s="17" t="s">
        <v>81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21">
        <v>33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8972</v>
      </c>
      <c r="B552" s="17" t="s">
        <v>8972</v>
      </c>
      <c r="C552" s="17" t="s">
        <v>8973</v>
      </c>
      <c r="D552" s="17" t="s">
        <v>21</v>
      </c>
      <c r="E552" s="24">
        <v>1206</v>
      </c>
      <c r="F552" s="17" t="s">
        <v>83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21">
        <v>36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8974</v>
      </c>
      <c r="B553" s="17" t="s">
        <v>8974</v>
      </c>
      <c r="C553" s="17" t="s">
        <v>8975</v>
      </c>
      <c r="D553" s="17" t="s">
        <v>21</v>
      </c>
      <c r="E553" s="24">
        <v>1206</v>
      </c>
      <c r="F553" s="17" t="s">
        <v>85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21">
        <v>39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8976</v>
      </c>
      <c r="B554" s="17" t="s">
        <v>8976</v>
      </c>
      <c r="C554" s="17" t="s">
        <v>8977</v>
      </c>
      <c r="D554" s="17" t="s">
        <v>21</v>
      </c>
      <c r="E554" s="24">
        <v>1206</v>
      </c>
      <c r="F554" s="17" t="s">
        <v>87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21">
        <v>43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8978</v>
      </c>
      <c r="B555" s="17" t="s">
        <v>8978</v>
      </c>
      <c r="C555" s="17" t="s">
        <v>8979</v>
      </c>
      <c r="D555" s="17" t="s">
        <v>21</v>
      </c>
      <c r="E555" s="24">
        <v>1206</v>
      </c>
      <c r="F555" s="17" t="s">
        <v>89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21">
        <v>47</v>
      </c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</row>
    <row r="556" spans="1:28">
      <c r="A556" s="17" t="s">
        <v>8980</v>
      </c>
      <c r="B556" s="17" t="s">
        <v>8980</v>
      </c>
      <c r="C556" s="17" t="s">
        <v>8981</v>
      </c>
      <c r="D556" s="17" t="s">
        <v>21</v>
      </c>
      <c r="E556" s="24">
        <v>1206</v>
      </c>
      <c r="F556" s="17" t="s">
        <v>91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51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8982</v>
      </c>
      <c r="B557" s="17" t="s">
        <v>8982</v>
      </c>
      <c r="C557" s="17" t="s">
        <v>8983</v>
      </c>
      <c r="D557" s="17" t="s">
        <v>21</v>
      </c>
      <c r="E557" s="24">
        <v>1206</v>
      </c>
      <c r="F557" s="17" t="s">
        <v>93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56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8984</v>
      </c>
      <c r="B558" s="17" t="s">
        <v>8984</v>
      </c>
      <c r="C558" s="17" t="s">
        <v>8985</v>
      </c>
      <c r="D558" s="17" t="s">
        <v>21</v>
      </c>
      <c r="E558" s="24">
        <v>1206</v>
      </c>
      <c r="F558" s="17" t="s">
        <v>95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62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8986</v>
      </c>
      <c r="B559" s="17" t="s">
        <v>8986</v>
      </c>
      <c r="C559" s="17" t="s">
        <v>8987</v>
      </c>
      <c r="D559" s="17" t="s">
        <v>21</v>
      </c>
      <c r="E559" s="24">
        <v>1206</v>
      </c>
      <c r="F559" s="17" t="s">
        <v>97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68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8988</v>
      </c>
      <c r="B560" s="17" t="s">
        <v>8988</v>
      </c>
      <c r="C560" s="17" t="s">
        <v>8989</v>
      </c>
      <c r="D560" s="17" t="s">
        <v>21</v>
      </c>
      <c r="E560" s="24">
        <v>1206</v>
      </c>
      <c r="F560" s="17" t="s">
        <v>99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75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8990</v>
      </c>
      <c r="B561" s="17" t="s">
        <v>8990</v>
      </c>
      <c r="C561" s="17" t="s">
        <v>8991</v>
      </c>
      <c r="D561" s="17" t="s">
        <v>21</v>
      </c>
      <c r="E561" s="24">
        <v>1206</v>
      </c>
      <c r="F561" s="17" t="s">
        <v>101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82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8992</v>
      </c>
      <c r="B562" s="17" t="s">
        <v>8992</v>
      </c>
      <c r="C562" s="17" t="s">
        <v>8993</v>
      </c>
      <c r="D562" s="17" t="s">
        <v>21</v>
      </c>
      <c r="E562" s="24">
        <v>1206</v>
      </c>
      <c r="F562" s="17" t="s">
        <v>103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91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 ht="15.75">
      <c r="A563" s="17" t="s">
        <v>8994</v>
      </c>
      <c r="B563" s="17" t="s">
        <v>8994</v>
      </c>
      <c r="C563" s="17" t="s">
        <v>8995</v>
      </c>
      <c r="D563" s="17" t="s">
        <v>21</v>
      </c>
      <c r="E563" s="24">
        <v>1206</v>
      </c>
      <c r="F563" s="17" t="s">
        <v>105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100</v>
      </c>
      <c r="N563" s="17" t="s">
        <v>14079</v>
      </c>
      <c r="O563" s="17" t="s">
        <v>477</v>
      </c>
      <c r="P563" s="17" t="s">
        <v>12707</v>
      </c>
      <c r="Q563" s="17" t="s">
        <v>25</v>
      </c>
      <c r="R563" s="17" t="s">
        <v>12708</v>
      </c>
      <c r="S563" s="17"/>
      <c r="T563" s="17"/>
      <c r="U563" s="17"/>
      <c r="V563" s="17"/>
      <c r="W563" s="17" t="s">
        <v>4729</v>
      </c>
      <c r="X563" s="8" t="s">
        <v>13544</v>
      </c>
      <c r="Y563" s="17" t="s">
        <v>4559</v>
      </c>
      <c r="Z563" s="8" t="s">
        <v>13543</v>
      </c>
      <c r="AA563" s="17"/>
      <c r="AB563" s="17"/>
    </row>
    <row r="564" spans="1:28">
      <c r="A564" s="17" t="s">
        <v>8996</v>
      </c>
      <c r="B564" s="17" t="s">
        <v>8996</v>
      </c>
      <c r="C564" s="17" t="s">
        <v>8997</v>
      </c>
      <c r="D564" s="17" t="s">
        <v>21</v>
      </c>
      <c r="E564" s="24">
        <v>1206</v>
      </c>
      <c r="F564" s="17" t="s">
        <v>109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110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8998</v>
      </c>
      <c r="B565" s="17" t="s">
        <v>8998</v>
      </c>
      <c r="C565" s="17" t="s">
        <v>8999</v>
      </c>
      <c r="D565" s="17" t="s">
        <v>21</v>
      </c>
      <c r="E565" s="24">
        <v>1206</v>
      </c>
      <c r="F565" s="17" t="s">
        <v>111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120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9000</v>
      </c>
      <c r="B566" s="17" t="s">
        <v>9000</v>
      </c>
      <c r="C566" s="17" t="s">
        <v>9001</v>
      </c>
      <c r="D566" s="17" t="s">
        <v>21</v>
      </c>
      <c r="E566" s="24">
        <v>1206</v>
      </c>
      <c r="F566" s="17" t="s">
        <v>113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130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9002</v>
      </c>
      <c r="B567" s="17" t="s">
        <v>9002</v>
      </c>
      <c r="C567" s="17" t="s">
        <v>9003</v>
      </c>
      <c r="D567" s="17" t="s">
        <v>21</v>
      </c>
      <c r="E567" s="24">
        <v>1206</v>
      </c>
      <c r="F567" s="17" t="s">
        <v>115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150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9004</v>
      </c>
      <c r="B568" s="17" t="s">
        <v>9004</v>
      </c>
      <c r="C568" s="17" t="s">
        <v>9005</v>
      </c>
      <c r="D568" s="17" t="s">
        <v>21</v>
      </c>
      <c r="E568" s="24">
        <v>1206</v>
      </c>
      <c r="F568" s="17" t="s">
        <v>117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160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9006</v>
      </c>
      <c r="B569" s="17" t="s">
        <v>9006</v>
      </c>
      <c r="C569" s="17" t="s">
        <v>9007</v>
      </c>
      <c r="D569" s="17" t="s">
        <v>21</v>
      </c>
      <c r="E569" s="24">
        <v>1206</v>
      </c>
      <c r="F569" s="17" t="s">
        <v>119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180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9008</v>
      </c>
      <c r="B570" s="17" t="s">
        <v>9008</v>
      </c>
      <c r="C570" s="17" t="s">
        <v>9009</v>
      </c>
      <c r="D570" s="17" t="s">
        <v>21</v>
      </c>
      <c r="E570" s="24">
        <v>1206</v>
      </c>
      <c r="F570" s="17" t="s">
        <v>123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200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9010</v>
      </c>
      <c r="B571" s="17" t="s">
        <v>9010</v>
      </c>
      <c r="C571" s="17" t="s">
        <v>9011</v>
      </c>
      <c r="D571" s="17" t="s">
        <v>21</v>
      </c>
      <c r="E571" s="24">
        <v>1206</v>
      </c>
      <c r="F571" s="17" t="s">
        <v>125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220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9012</v>
      </c>
      <c r="B572" s="17" t="s">
        <v>9012</v>
      </c>
      <c r="C572" s="17" t="s">
        <v>9013</v>
      </c>
      <c r="D572" s="17" t="s">
        <v>21</v>
      </c>
      <c r="E572" s="24">
        <v>1206</v>
      </c>
      <c r="F572" s="17" t="s">
        <v>129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240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9014</v>
      </c>
      <c r="B573" s="17" t="s">
        <v>9014</v>
      </c>
      <c r="C573" s="17" t="s">
        <v>9015</v>
      </c>
      <c r="D573" s="17" t="s">
        <v>21</v>
      </c>
      <c r="E573" s="24">
        <v>1206</v>
      </c>
      <c r="F573" s="17" t="s">
        <v>131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270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9016</v>
      </c>
      <c r="B574" s="17" t="s">
        <v>9016</v>
      </c>
      <c r="C574" s="17" t="s">
        <v>9017</v>
      </c>
      <c r="D574" s="17" t="s">
        <v>21</v>
      </c>
      <c r="E574" s="24">
        <v>1206</v>
      </c>
      <c r="F574" s="17" t="s">
        <v>133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300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9018</v>
      </c>
      <c r="B575" s="17" t="s">
        <v>9018</v>
      </c>
      <c r="C575" s="17" t="s">
        <v>9019</v>
      </c>
      <c r="D575" s="17" t="s">
        <v>21</v>
      </c>
      <c r="E575" s="24">
        <v>1206</v>
      </c>
      <c r="F575" s="17" t="s">
        <v>137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330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9020</v>
      </c>
      <c r="B576" s="17" t="s">
        <v>9020</v>
      </c>
      <c r="C576" s="17" t="s">
        <v>9021</v>
      </c>
      <c r="D576" s="17" t="s">
        <v>21</v>
      </c>
      <c r="E576" s="24">
        <v>1206</v>
      </c>
      <c r="F576" s="17" t="s">
        <v>139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360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9022</v>
      </c>
      <c r="B577" s="17" t="s">
        <v>9022</v>
      </c>
      <c r="C577" s="17" t="s">
        <v>9023</v>
      </c>
      <c r="D577" s="17" t="s">
        <v>21</v>
      </c>
      <c r="E577" s="24">
        <v>1206</v>
      </c>
      <c r="F577" s="17" t="s">
        <v>141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390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9024</v>
      </c>
      <c r="B578" s="17" t="s">
        <v>9024</v>
      </c>
      <c r="C578" s="17" t="s">
        <v>9025</v>
      </c>
      <c r="D578" s="17" t="s">
        <v>21</v>
      </c>
      <c r="E578" s="24">
        <v>1206</v>
      </c>
      <c r="F578" s="17" t="s">
        <v>143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430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9026</v>
      </c>
      <c r="B579" s="17" t="s">
        <v>9026</v>
      </c>
      <c r="C579" s="17" t="s">
        <v>9027</v>
      </c>
      <c r="D579" s="17" t="s">
        <v>21</v>
      </c>
      <c r="E579" s="24">
        <v>1206</v>
      </c>
      <c r="F579" s="17" t="s">
        <v>145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470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>
      <c r="A580" s="17" t="s">
        <v>9028</v>
      </c>
      <c r="B580" s="17" t="s">
        <v>9028</v>
      </c>
      <c r="C580" s="17" t="s">
        <v>9029</v>
      </c>
      <c r="D580" s="17" t="s">
        <v>21</v>
      </c>
      <c r="E580" s="24">
        <v>1206</v>
      </c>
      <c r="F580" s="17" t="s">
        <v>149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510</v>
      </c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</row>
    <row r="581" spans="1:28">
      <c r="A581" s="17" t="s">
        <v>9030</v>
      </c>
      <c r="B581" s="17" t="s">
        <v>9030</v>
      </c>
      <c r="C581" s="17" t="s">
        <v>9031</v>
      </c>
      <c r="D581" s="17" t="s">
        <v>21</v>
      </c>
      <c r="E581" s="24">
        <v>1206</v>
      </c>
      <c r="F581" s="17" t="s">
        <v>151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560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9032</v>
      </c>
      <c r="B582" s="17" t="s">
        <v>9032</v>
      </c>
      <c r="C582" s="17" t="s">
        <v>9033</v>
      </c>
      <c r="D582" s="17" t="s">
        <v>21</v>
      </c>
      <c r="E582" s="24">
        <v>1206</v>
      </c>
      <c r="F582" s="17" t="s">
        <v>153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620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9034</v>
      </c>
      <c r="B583" s="17" t="s">
        <v>9034</v>
      </c>
      <c r="C583" s="17" t="s">
        <v>9035</v>
      </c>
      <c r="D583" s="17" t="s">
        <v>21</v>
      </c>
      <c r="E583" s="24">
        <v>1206</v>
      </c>
      <c r="F583" s="17" t="s">
        <v>155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680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9036</v>
      </c>
      <c r="B584" s="17" t="s">
        <v>9036</v>
      </c>
      <c r="C584" s="17" t="s">
        <v>9037</v>
      </c>
      <c r="D584" s="17" t="s">
        <v>21</v>
      </c>
      <c r="E584" s="24">
        <v>1206</v>
      </c>
      <c r="F584" s="17" t="s">
        <v>157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750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9038</v>
      </c>
      <c r="B585" s="17" t="s">
        <v>9038</v>
      </c>
      <c r="C585" s="17" t="s">
        <v>9039</v>
      </c>
      <c r="D585" s="17" t="s">
        <v>21</v>
      </c>
      <c r="E585" s="24">
        <v>1206</v>
      </c>
      <c r="F585" s="17" t="s">
        <v>159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820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9040</v>
      </c>
      <c r="B586" s="17" t="s">
        <v>9040</v>
      </c>
      <c r="C586" s="17" t="s">
        <v>9041</v>
      </c>
      <c r="D586" s="17" t="s">
        <v>21</v>
      </c>
      <c r="E586" s="24">
        <v>1206</v>
      </c>
      <c r="F586" s="17" t="s">
        <v>161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910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9042</v>
      </c>
      <c r="B587" s="17" t="s">
        <v>9042</v>
      </c>
      <c r="C587" s="17" t="s">
        <v>9043</v>
      </c>
      <c r="D587" s="17" t="s">
        <v>21</v>
      </c>
      <c r="E587" s="24">
        <v>1206</v>
      </c>
      <c r="F587" s="17" t="s">
        <v>163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1000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9044</v>
      </c>
      <c r="B588" s="17" t="s">
        <v>9044</v>
      </c>
      <c r="C588" s="17" t="s">
        <v>9045</v>
      </c>
      <c r="D588" s="17" t="s">
        <v>21</v>
      </c>
      <c r="E588" s="24">
        <v>1206</v>
      </c>
      <c r="F588" s="17" t="s">
        <v>165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1100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9046</v>
      </c>
      <c r="B589" s="17" t="s">
        <v>9046</v>
      </c>
      <c r="C589" s="17" t="s">
        <v>9047</v>
      </c>
      <c r="D589" s="17" t="s">
        <v>21</v>
      </c>
      <c r="E589" s="24">
        <v>1206</v>
      </c>
      <c r="F589" s="17" t="s">
        <v>167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1200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9048</v>
      </c>
      <c r="B590" s="17" t="s">
        <v>9048</v>
      </c>
      <c r="C590" s="17" t="s">
        <v>9049</v>
      </c>
      <c r="D590" s="17" t="s">
        <v>21</v>
      </c>
      <c r="E590" s="24">
        <v>1206</v>
      </c>
      <c r="F590" s="17" t="s">
        <v>169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1300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9050</v>
      </c>
      <c r="B591" s="17" t="s">
        <v>9050</v>
      </c>
      <c r="C591" s="17" t="s">
        <v>9051</v>
      </c>
      <c r="D591" s="17" t="s">
        <v>21</v>
      </c>
      <c r="E591" s="24">
        <v>1206</v>
      </c>
      <c r="F591" s="17" t="s">
        <v>171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1500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9052</v>
      </c>
      <c r="B592" s="17" t="s">
        <v>9052</v>
      </c>
      <c r="C592" s="17" t="s">
        <v>9053</v>
      </c>
      <c r="D592" s="17" t="s">
        <v>21</v>
      </c>
      <c r="E592" s="24">
        <v>1206</v>
      </c>
      <c r="F592" s="17" t="s">
        <v>175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1600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9054</v>
      </c>
      <c r="B593" s="17" t="s">
        <v>9054</v>
      </c>
      <c r="C593" s="17" t="s">
        <v>9055</v>
      </c>
      <c r="D593" s="17" t="s">
        <v>21</v>
      </c>
      <c r="E593" s="24">
        <v>1206</v>
      </c>
      <c r="F593" s="17" t="s">
        <v>181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1800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9056</v>
      </c>
      <c r="B594" s="17" t="s">
        <v>9056</v>
      </c>
      <c r="C594" s="17" t="s">
        <v>9057</v>
      </c>
      <c r="D594" s="17" t="s">
        <v>21</v>
      </c>
      <c r="E594" s="24">
        <v>1206</v>
      </c>
      <c r="F594" s="17" t="s">
        <v>183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2000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9058</v>
      </c>
      <c r="B595" s="17" t="s">
        <v>9058</v>
      </c>
      <c r="C595" s="17" t="s">
        <v>9059</v>
      </c>
      <c r="D595" s="17" t="s">
        <v>21</v>
      </c>
      <c r="E595" s="24">
        <v>1206</v>
      </c>
      <c r="F595" s="17" t="s">
        <v>187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2200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9060</v>
      </c>
      <c r="B596" s="17" t="s">
        <v>9060</v>
      </c>
      <c r="C596" s="17" t="s">
        <v>9061</v>
      </c>
      <c r="D596" s="17" t="s">
        <v>21</v>
      </c>
      <c r="E596" s="24">
        <v>1206</v>
      </c>
      <c r="F596" s="17" t="s">
        <v>191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2400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9062</v>
      </c>
      <c r="B597" s="17" t="s">
        <v>9062</v>
      </c>
      <c r="C597" s="17" t="s">
        <v>9063</v>
      </c>
      <c r="D597" s="17" t="s">
        <v>21</v>
      </c>
      <c r="E597" s="24">
        <v>1206</v>
      </c>
      <c r="F597" s="17" t="s">
        <v>193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2700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9064</v>
      </c>
      <c r="B598" s="17" t="s">
        <v>9064</v>
      </c>
      <c r="C598" s="17" t="s">
        <v>9065</v>
      </c>
      <c r="D598" s="17" t="s">
        <v>21</v>
      </c>
      <c r="E598" s="24">
        <v>1206</v>
      </c>
      <c r="F598" s="17" t="s">
        <v>197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3000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9066</v>
      </c>
      <c r="B599" s="17" t="s">
        <v>9066</v>
      </c>
      <c r="C599" s="17" t="s">
        <v>9067</v>
      </c>
      <c r="D599" s="17" t="s">
        <v>21</v>
      </c>
      <c r="E599" s="24">
        <v>1206</v>
      </c>
      <c r="F599" s="17" t="s">
        <v>201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3300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9068</v>
      </c>
      <c r="B600" s="17" t="s">
        <v>9068</v>
      </c>
      <c r="C600" s="17" t="s">
        <v>9069</v>
      </c>
      <c r="D600" s="17" t="s">
        <v>21</v>
      </c>
      <c r="E600" s="24">
        <v>1206</v>
      </c>
      <c r="F600" s="17" t="s">
        <v>203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3600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9070</v>
      </c>
      <c r="B601" s="17" t="s">
        <v>9070</v>
      </c>
      <c r="C601" s="17" t="s">
        <v>9071</v>
      </c>
      <c r="D601" s="17" t="s">
        <v>21</v>
      </c>
      <c r="E601" s="24">
        <v>1206</v>
      </c>
      <c r="F601" s="17" t="s">
        <v>205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3900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9072</v>
      </c>
      <c r="B602" s="17" t="s">
        <v>9072</v>
      </c>
      <c r="C602" s="17" t="s">
        <v>9073</v>
      </c>
      <c r="D602" s="17" t="s">
        <v>21</v>
      </c>
      <c r="E602" s="24">
        <v>1206</v>
      </c>
      <c r="F602" s="17" t="s">
        <v>207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4300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9074</v>
      </c>
      <c r="B603" s="17" t="s">
        <v>9074</v>
      </c>
      <c r="C603" s="17" t="s">
        <v>9075</v>
      </c>
      <c r="D603" s="17" t="s">
        <v>21</v>
      </c>
      <c r="E603" s="24">
        <v>1206</v>
      </c>
      <c r="F603" s="17" t="s">
        <v>209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4700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9076</v>
      </c>
      <c r="B604" s="17" t="s">
        <v>9076</v>
      </c>
      <c r="C604" s="17" t="s">
        <v>9077</v>
      </c>
      <c r="D604" s="17" t="s">
        <v>21</v>
      </c>
      <c r="E604" s="24">
        <v>1206</v>
      </c>
      <c r="F604" s="17" t="s">
        <v>213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5100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9078</v>
      </c>
      <c r="B605" s="17" t="s">
        <v>9078</v>
      </c>
      <c r="C605" s="17" t="s">
        <v>9079</v>
      </c>
      <c r="D605" s="17" t="s">
        <v>21</v>
      </c>
      <c r="E605" s="24">
        <v>1206</v>
      </c>
      <c r="F605" s="17" t="s">
        <v>215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5600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9080</v>
      </c>
      <c r="B606" s="17" t="s">
        <v>9080</v>
      </c>
      <c r="C606" s="17" t="s">
        <v>9081</v>
      </c>
      <c r="D606" s="17" t="s">
        <v>21</v>
      </c>
      <c r="E606" s="24">
        <v>1206</v>
      </c>
      <c r="F606" s="17" t="s">
        <v>217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6200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9082</v>
      </c>
      <c r="B607" s="17" t="s">
        <v>9082</v>
      </c>
      <c r="C607" s="17" t="s">
        <v>9083</v>
      </c>
      <c r="D607" s="17" t="s">
        <v>21</v>
      </c>
      <c r="E607" s="24">
        <v>1206</v>
      </c>
      <c r="F607" s="17" t="s">
        <v>219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6800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9084</v>
      </c>
      <c r="B608" s="17" t="s">
        <v>9084</v>
      </c>
      <c r="C608" s="17" t="s">
        <v>9085</v>
      </c>
      <c r="D608" s="17" t="s">
        <v>21</v>
      </c>
      <c r="E608" s="24">
        <v>1206</v>
      </c>
      <c r="F608" s="17" t="s">
        <v>221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7500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9086</v>
      </c>
      <c r="B609" s="17" t="s">
        <v>9086</v>
      </c>
      <c r="C609" s="17" t="s">
        <v>9087</v>
      </c>
      <c r="D609" s="17" t="s">
        <v>21</v>
      </c>
      <c r="E609" s="24">
        <v>1206</v>
      </c>
      <c r="F609" s="17" t="s">
        <v>223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8200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9088</v>
      </c>
      <c r="B610" s="17" t="s">
        <v>9088</v>
      </c>
      <c r="C610" s="17" t="s">
        <v>9089</v>
      </c>
      <c r="D610" s="17" t="s">
        <v>21</v>
      </c>
      <c r="E610" s="24">
        <v>1206</v>
      </c>
      <c r="F610" s="17" t="s">
        <v>225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9100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9090</v>
      </c>
      <c r="B611" s="17" t="s">
        <v>9090</v>
      </c>
      <c r="C611" s="17" t="s">
        <v>9091</v>
      </c>
      <c r="D611" s="17" t="s">
        <v>21</v>
      </c>
      <c r="E611" s="24">
        <v>1206</v>
      </c>
      <c r="F611" s="17" t="s">
        <v>229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10000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9092</v>
      </c>
      <c r="B612" s="17" t="s">
        <v>9092</v>
      </c>
      <c r="C612" s="17" t="s">
        <v>9093</v>
      </c>
      <c r="D612" s="17" t="s">
        <v>21</v>
      </c>
      <c r="E612" s="24">
        <v>1206</v>
      </c>
      <c r="F612" s="17" t="s">
        <v>233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11000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9094</v>
      </c>
      <c r="B613" s="17" t="s">
        <v>9094</v>
      </c>
      <c r="C613" s="17" t="s">
        <v>9095</v>
      </c>
      <c r="D613" s="17" t="s">
        <v>21</v>
      </c>
      <c r="E613" s="24">
        <v>1206</v>
      </c>
      <c r="F613" s="17" t="s">
        <v>235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12000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9096</v>
      </c>
      <c r="B614" s="17" t="s">
        <v>9096</v>
      </c>
      <c r="C614" s="17" t="s">
        <v>9097</v>
      </c>
      <c r="D614" s="17" t="s">
        <v>21</v>
      </c>
      <c r="E614" s="24">
        <v>1206</v>
      </c>
      <c r="F614" s="17" t="s">
        <v>239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13000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9098</v>
      </c>
      <c r="B615" s="17" t="s">
        <v>9098</v>
      </c>
      <c r="C615" s="17" t="s">
        <v>9099</v>
      </c>
      <c r="D615" s="17" t="s">
        <v>21</v>
      </c>
      <c r="E615" s="24">
        <v>1206</v>
      </c>
      <c r="F615" s="17" t="s">
        <v>243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15000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9100</v>
      </c>
      <c r="B616" s="17" t="s">
        <v>9100</v>
      </c>
      <c r="C616" s="17" t="s">
        <v>9101</v>
      </c>
      <c r="D616" s="17" t="s">
        <v>21</v>
      </c>
      <c r="E616" s="24">
        <v>1206</v>
      </c>
      <c r="F616" s="17" t="s">
        <v>247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16000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9102</v>
      </c>
      <c r="B617" s="17" t="s">
        <v>9102</v>
      </c>
      <c r="C617" s="17" t="s">
        <v>9103</v>
      </c>
      <c r="D617" s="17" t="s">
        <v>21</v>
      </c>
      <c r="E617" s="24">
        <v>1206</v>
      </c>
      <c r="F617" s="17" t="s">
        <v>251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18000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9104</v>
      </c>
      <c r="B618" s="17" t="s">
        <v>9104</v>
      </c>
      <c r="C618" s="17" t="s">
        <v>9105</v>
      </c>
      <c r="D618" s="17" t="s">
        <v>21</v>
      </c>
      <c r="E618" s="24">
        <v>1206</v>
      </c>
      <c r="F618" s="17" t="s">
        <v>255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20000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9106</v>
      </c>
      <c r="B619" s="17" t="s">
        <v>9106</v>
      </c>
      <c r="C619" s="17" t="s">
        <v>9107</v>
      </c>
      <c r="D619" s="17" t="s">
        <v>21</v>
      </c>
      <c r="E619" s="24">
        <v>1206</v>
      </c>
      <c r="F619" s="17" t="s">
        <v>257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22000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9108</v>
      </c>
      <c r="B620" s="17" t="s">
        <v>9108</v>
      </c>
      <c r="C620" s="17" t="s">
        <v>9109</v>
      </c>
      <c r="D620" s="17" t="s">
        <v>21</v>
      </c>
      <c r="E620" s="24">
        <v>1206</v>
      </c>
      <c r="F620" s="17" t="s">
        <v>259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24000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9110</v>
      </c>
      <c r="B621" s="17" t="s">
        <v>9110</v>
      </c>
      <c r="C621" s="17" t="s">
        <v>9111</v>
      </c>
      <c r="D621" s="17" t="s">
        <v>21</v>
      </c>
      <c r="E621" s="24">
        <v>1206</v>
      </c>
      <c r="F621" s="17" t="s">
        <v>263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27000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9112</v>
      </c>
      <c r="B622" s="17" t="s">
        <v>9112</v>
      </c>
      <c r="C622" s="17" t="s">
        <v>9113</v>
      </c>
      <c r="D622" s="17" t="s">
        <v>21</v>
      </c>
      <c r="E622" s="24">
        <v>1206</v>
      </c>
      <c r="F622" s="17" t="s">
        <v>265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30000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9114</v>
      </c>
      <c r="B623" s="17" t="s">
        <v>9114</v>
      </c>
      <c r="C623" s="17" t="s">
        <v>9115</v>
      </c>
      <c r="D623" s="17" t="s">
        <v>21</v>
      </c>
      <c r="E623" s="24">
        <v>1206</v>
      </c>
      <c r="F623" s="17" t="s">
        <v>267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33000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9116</v>
      </c>
      <c r="B624" s="17" t="s">
        <v>9116</v>
      </c>
      <c r="C624" s="17" t="s">
        <v>9117</v>
      </c>
      <c r="D624" s="17" t="s">
        <v>21</v>
      </c>
      <c r="E624" s="24">
        <v>1206</v>
      </c>
      <c r="F624" s="17" t="s">
        <v>269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36000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9118</v>
      </c>
      <c r="B625" s="17" t="s">
        <v>9118</v>
      </c>
      <c r="C625" s="17" t="s">
        <v>9119</v>
      </c>
      <c r="D625" s="17" t="s">
        <v>21</v>
      </c>
      <c r="E625" s="24">
        <v>1206</v>
      </c>
      <c r="F625" s="17" t="s">
        <v>273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39000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9120</v>
      </c>
      <c r="B626" s="17" t="s">
        <v>9120</v>
      </c>
      <c r="C626" s="17" t="s">
        <v>9121</v>
      </c>
      <c r="D626" s="17" t="s">
        <v>21</v>
      </c>
      <c r="E626" s="24">
        <v>1206</v>
      </c>
      <c r="F626" s="17" t="s">
        <v>277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43000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9122</v>
      </c>
      <c r="B627" s="17" t="s">
        <v>9122</v>
      </c>
      <c r="C627" s="17" t="s">
        <v>9123</v>
      </c>
      <c r="D627" s="17" t="s">
        <v>21</v>
      </c>
      <c r="E627" s="24">
        <v>1206</v>
      </c>
      <c r="F627" s="17" t="s">
        <v>279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47000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9124</v>
      </c>
      <c r="B628" s="17" t="s">
        <v>9124</v>
      </c>
      <c r="C628" s="17" t="s">
        <v>9125</v>
      </c>
      <c r="D628" s="17" t="s">
        <v>21</v>
      </c>
      <c r="E628" s="24">
        <v>1206</v>
      </c>
      <c r="F628" s="17" t="s">
        <v>283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51000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9126</v>
      </c>
      <c r="B629" s="17" t="s">
        <v>9126</v>
      </c>
      <c r="C629" s="17" t="s">
        <v>9127</v>
      </c>
      <c r="D629" s="17" t="s">
        <v>21</v>
      </c>
      <c r="E629" s="24">
        <v>1206</v>
      </c>
      <c r="F629" s="17" t="s">
        <v>287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56000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9128</v>
      </c>
      <c r="B630" s="17" t="s">
        <v>9128</v>
      </c>
      <c r="C630" s="17" t="s">
        <v>9129</v>
      </c>
      <c r="D630" s="17" t="s">
        <v>21</v>
      </c>
      <c r="E630" s="24">
        <v>1206</v>
      </c>
      <c r="F630" s="17" t="s">
        <v>291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62000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9130</v>
      </c>
      <c r="B631" s="17" t="s">
        <v>9130</v>
      </c>
      <c r="C631" s="17" t="s">
        <v>9131</v>
      </c>
      <c r="D631" s="17" t="s">
        <v>21</v>
      </c>
      <c r="E631" s="24">
        <v>1206</v>
      </c>
      <c r="F631" s="17" t="s">
        <v>295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68000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9132</v>
      </c>
      <c r="B632" s="17" t="s">
        <v>9132</v>
      </c>
      <c r="C632" s="17" t="s">
        <v>9133</v>
      </c>
      <c r="D632" s="17" t="s">
        <v>21</v>
      </c>
      <c r="E632" s="24">
        <v>1206</v>
      </c>
      <c r="F632" s="17" t="s">
        <v>299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75000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9134</v>
      </c>
      <c r="B633" s="17" t="s">
        <v>9134</v>
      </c>
      <c r="C633" s="17" t="s">
        <v>9135</v>
      </c>
      <c r="D633" s="17" t="s">
        <v>21</v>
      </c>
      <c r="E633" s="24">
        <v>1206</v>
      </c>
      <c r="F633" s="17" t="s">
        <v>301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82000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9136</v>
      </c>
      <c r="B634" s="17" t="s">
        <v>9136</v>
      </c>
      <c r="C634" s="17" t="s">
        <v>9137</v>
      </c>
      <c r="D634" s="17" t="s">
        <v>21</v>
      </c>
      <c r="E634" s="24">
        <v>1206</v>
      </c>
      <c r="F634" s="17" t="s">
        <v>303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91000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9138</v>
      </c>
      <c r="B635" s="17" t="s">
        <v>9138</v>
      </c>
      <c r="C635" s="17" t="s">
        <v>9139</v>
      </c>
      <c r="D635" s="17" t="s">
        <v>21</v>
      </c>
      <c r="E635" s="24">
        <v>1206</v>
      </c>
      <c r="F635" s="17" t="s">
        <v>305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100000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9140</v>
      </c>
      <c r="B636" s="17" t="s">
        <v>9140</v>
      </c>
      <c r="C636" s="17" t="s">
        <v>9141</v>
      </c>
      <c r="D636" s="17" t="s">
        <v>21</v>
      </c>
      <c r="E636" s="24">
        <v>1206</v>
      </c>
      <c r="F636" s="17" t="s">
        <v>309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110000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9142</v>
      </c>
      <c r="B637" s="17" t="s">
        <v>9142</v>
      </c>
      <c r="C637" s="17" t="s">
        <v>9143</v>
      </c>
      <c r="D637" s="17" t="s">
        <v>21</v>
      </c>
      <c r="E637" s="24">
        <v>1206</v>
      </c>
      <c r="F637" s="17" t="s">
        <v>313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120000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9144</v>
      </c>
      <c r="B638" s="17" t="s">
        <v>9144</v>
      </c>
      <c r="C638" s="17" t="s">
        <v>9145</v>
      </c>
      <c r="D638" s="17" t="s">
        <v>21</v>
      </c>
      <c r="E638" s="24">
        <v>1206</v>
      </c>
      <c r="F638" s="17" t="s">
        <v>317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130000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9146</v>
      </c>
      <c r="B639" s="17" t="s">
        <v>9146</v>
      </c>
      <c r="C639" s="17" t="s">
        <v>9147</v>
      </c>
      <c r="D639" s="17" t="s">
        <v>21</v>
      </c>
      <c r="E639" s="24">
        <v>1206</v>
      </c>
      <c r="F639" s="17" t="s">
        <v>321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150000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9148</v>
      </c>
      <c r="B640" s="17" t="s">
        <v>9148</v>
      </c>
      <c r="C640" s="17" t="s">
        <v>9149</v>
      </c>
      <c r="D640" s="17" t="s">
        <v>21</v>
      </c>
      <c r="E640" s="24">
        <v>1206</v>
      </c>
      <c r="F640" s="17" t="s">
        <v>323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160000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9150</v>
      </c>
      <c r="B641" s="17" t="s">
        <v>9150</v>
      </c>
      <c r="C641" s="17" t="s">
        <v>9151</v>
      </c>
      <c r="D641" s="17" t="s">
        <v>21</v>
      </c>
      <c r="E641" s="24">
        <v>1206</v>
      </c>
      <c r="F641" s="17" t="s">
        <v>327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180000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9152</v>
      </c>
      <c r="B642" s="17" t="s">
        <v>9152</v>
      </c>
      <c r="C642" s="17" t="s">
        <v>9153</v>
      </c>
      <c r="D642" s="17" t="s">
        <v>21</v>
      </c>
      <c r="E642" s="24">
        <v>1206</v>
      </c>
      <c r="F642" s="17" t="s">
        <v>331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200000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9154</v>
      </c>
      <c r="B643" s="17" t="s">
        <v>9154</v>
      </c>
      <c r="C643" s="17" t="s">
        <v>9155</v>
      </c>
      <c r="D643" s="17" t="s">
        <v>21</v>
      </c>
      <c r="E643" s="24">
        <v>1206</v>
      </c>
      <c r="F643" s="17" t="s">
        <v>333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220000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9156</v>
      </c>
      <c r="B644" s="17" t="s">
        <v>9156</v>
      </c>
      <c r="C644" s="17" t="s">
        <v>9157</v>
      </c>
      <c r="D644" s="17" t="s">
        <v>21</v>
      </c>
      <c r="E644" s="24">
        <v>1206</v>
      </c>
      <c r="F644" s="17" t="s">
        <v>335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240000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9158</v>
      </c>
      <c r="B645" s="17" t="s">
        <v>9158</v>
      </c>
      <c r="C645" s="17" t="s">
        <v>9159</v>
      </c>
      <c r="D645" s="17" t="s">
        <v>21</v>
      </c>
      <c r="E645" s="24">
        <v>1206</v>
      </c>
      <c r="F645" s="17" t="s">
        <v>337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270000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9160</v>
      </c>
      <c r="B646" s="17" t="s">
        <v>9160</v>
      </c>
      <c r="C646" s="17" t="s">
        <v>9161</v>
      </c>
      <c r="D646" s="17" t="s">
        <v>21</v>
      </c>
      <c r="E646" s="24">
        <v>1206</v>
      </c>
      <c r="F646" s="17" t="s">
        <v>339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300000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7815</v>
      </c>
      <c r="B647" s="17" t="s">
        <v>7815</v>
      </c>
      <c r="C647" s="16" t="s">
        <v>7816</v>
      </c>
      <c r="D647" s="16" t="s">
        <v>21</v>
      </c>
      <c r="E647" s="24">
        <v>1206</v>
      </c>
      <c r="F647" s="17" t="s">
        <v>341</v>
      </c>
      <c r="G647" s="17" t="str">
        <f>Config!$B$3</f>
        <v>SCH/R_IEC.SchLib</v>
      </c>
      <c r="H647" s="16" t="s">
        <v>419</v>
      </c>
      <c r="I647" s="18" t="s">
        <v>461</v>
      </c>
      <c r="J647" s="16" t="s">
        <v>6413</v>
      </c>
      <c r="K647" s="16"/>
      <c r="L647" s="16"/>
      <c r="M647" s="21">
        <v>330000</v>
      </c>
      <c r="N647" s="17" t="s">
        <v>14079</v>
      </c>
      <c r="O647" s="16" t="s">
        <v>477</v>
      </c>
      <c r="P647" s="17" t="s">
        <v>7817</v>
      </c>
      <c r="Q647" s="16" t="s">
        <v>25</v>
      </c>
      <c r="R647" s="17" t="s">
        <v>7818</v>
      </c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9162</v>
      </c>
      <c r="B648" s="17" t="s">
        <v>9162</v>
      </c>
      <c r="C648" s="17" t="s">
        <v>9163</v>
      </c>
      <c r="D648" s="17" t="s">
        <v>21</v>
      </c>
      <c r="E648" s="24">
        <v>1206</v>
      </c>
      <c r="F648" s="17" t="s">
        <v>345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360000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9164</v>
      </c>
      <c r="B649" s="17" t="s">
        <v>9164</v>
      </c>
      <c r="C649" s="17" t="s">
        <v>9165</v>
      </c>
      <c r="D649" s="17" t="s">
        <v>21</v>
      </c>
      <c r="E649" s="24">
        <v>1206</v>
      </c>
      <c r="F649" s="17" t="s">
        <v>349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390000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9166</v>
      </c>
      <c r="B650" s="17" t="s">
        <v>9166</v>
      </c>
      <c r="C650" s="17" t="s">
        <v>9167</v>
      </c>
      <c r="D650" s="17" t="s">
        <v>21</v>
      </c>
      <c r="E650" s="24">
        <v>1206</v>
      </c>
      <c r="F650" s="17" t="s">
        <v>351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430000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9168</v>
      </c>
      <c r="B651" s="17" t="s">
        <v>9168</v>
      </c>
      <c r="C651" s="17" t="s">
        <v>9169</v>
      </c>
      <c r="D651" s="17" t="s">
        <v>21</v>
      </c>
      <c r="E651" s="24">
        <v>1206</v>
      </c>
      <c r="F651" s="17" t="s">
        <v>353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470000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9170</v>
      </c>
      <c r="B652" s="17" t="s">
        <v>9170</v>
      </c>
      <c r="C652" s="17" t="s">
        <v>9171</v>
      </c>
      <c r="D652" s="17" t="s">
        <v>21</v>
      </c>
      <c r="E652" s="24">
        <v>1206</v>
      </c>
      <c r="F652" s="17" t="s">
        <v>355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510000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9172</v>
      </c>
      <c r="B653" s="17" t="s">
        <v>9172</v>
      </c>
      <c r="C653" s="17" t="s">
        <v>9173</v>
      </c>
      <c r="D653" s="17" t="s">
        <v>21</v>
      </c>
      <c r="E653" s="24">
        <v>1206</v>
      </c>
      <c r="F653" s="17" t="s">
        <v>357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560000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9174</v>
      </c>
      <c r="B654" s="17" t="s">
        <v>9174</v>
      </c>
      <c r="C654" s="17" t="s">
        <v>9175</v>
      </c>
      <c r="D654" s="17" t="s">
        <v>21</v>
      </c>
      <c r="E654" s="24">
        <v>1206</v>
      </c>
      <c r="F654" s="17" t="s">
        <v>359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620000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9176</v>
      </c>
      <c r="B655" s="17" t="s">
        <v>9176</v>
      </c>
      <c r="C655" s="17" t="s">
        <v>9177</v>
      </c>
      <c r="D655" s="17" t="s">
        <v>21</v>
      </c>
      <c r="E655" s="24">
        <v>1206</v>
      </c>
      <c r="F655" s="17" t="s">
        <v>361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680000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9178</v>
      </c>
      <c r="B656" s="17" t="s">
        <v>9178</v>
      </c>
      <c r="C656" s="17" t="s">
        <v>9179</v>
      </c>
      <c r="D656" s="17" t="s">
        <v>21</v>
      </c>
      <c r="E656" s="24">
        <v>1206</v>
      </c>
      <c r="F656" s="17" t="s">
        <v>363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750000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9180</v>
      </c>
      <c r="B657" s="17" t="s">
        <v>9180</v>
      </c>
      <c r="C657" s="17" t="s">
        <v>9181</v>
      </c>
      <c r="D657" s="17" t="s">
        <v>21</v>
      </c>
      <c r="E657" s="24">
        <v>1206</v>
      </c>
      <c r="F657" s="17" t="s">
        <v>365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820000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9182</v>
      </c>
      <c r="B658" s="17" t="s">
        <v>9182</v>
      </c>
      <c r="C658" s="17" t="s">
        <v>9183</v>
      </c>
      <c r="D658" s="17" t="s">
        <v>21</v>
      </c>
      <c r="E658" s="24">
        <v>1206</v>
      </c>
      <c r="F658" s="17" t="s">
        <v>367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910000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9184</v>
      </c>
      <c r="B659" s="17" t="s">
        <v>9184</v>
      </c>
      <c r="C659" s="17" t="s">
        <v>9185</v>
      </c>
      <c r="D659" s="17" t="s">
        <v>21</v>
      </c>
      <c r="E659" s="24">
        <v>1206</v>
      </c>
      <c r="F659" s="17" t="s">
        <v>369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1000000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9186</v>
      </c>
      <c r="B660" s="17" t="s">
        <v>9186</v>
      </c>
      <c r="C660" s="17" t="s">
        <v>9187</v>
      </c>
      <c r="D660" s="17" t="s">
        <v>21</v>
      </c>
      <c r="E660" s="24">
        <v>1206</v>
      </c>
      <c r="F660" s="17" t="s">
        <v>371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1100000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9188</v>
      </c>
      <c r="B661" s="17" t="s">
        <v>9188</v>
      </c>
      <c r="C661" s="17" t="s">
        <v>9189</v>
      </c>
      <c r="D661" s="17" t="s">
        <v>21</v>
      </c>
      <c r="E661" s="24">
        <v>1206</v>
      </c>
      <c r="F661" s="17" t="s">
        <v>373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1200000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9190</v>
      </c>
      <c r="B662" s="17" t="s">
        <v>9190</v>
      </c>
      <c r="C662" s="17" t="s">
        <v>9191</v>
      </c>
      <c r="D662" s="17" t="s">
        <v>21</v>
      </c>
      <c r="E662" s="24">
        <v>1206</v>
      </c>
      <c r="F662" s="17" t="s">
        <v>375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1300000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9192</v>
      </c>
      <c r="B663" s="17" t="s">
        <v>9192</v>
      </c>
      <c r="C663" s="17" t="s">
        <v>9193</v>
      </c>
      <c r="D663" s="17" t="s">
        <v>21</v>
      </c>
      <c r="E663" s="24">
        <v>1206</v>
      </c>
      <c r="F663" s="17" t="s">
        <v>377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1500000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9194</v>
      </c>
      <c r="B664" s="17" t="s">
        <v>9194</v>
      </c>
      <c r="C664" s="17" t="s">
        <v>9195</v>
      </c>
      <c r="D664" s="17" t="s">
        <v>21</v>
      </c>
      <c r="E664" s="24">
        <v>1206</v>
      </c>
      <c r="F664" s="17" t="s">
        <v>379</v>
      </c>
      <c r="G664" s="17" t="str">
        <f>Config!$B$3</f>
        <v>SCH/R_IEC.SchLib</v>
      </c>
      <c r="H664" s="17" t="s">
        <v>419</v>
      </c>
      <c r="I664" s="17" t="s">
        <v>461</v>
      </c>
      <c r="J664" s="17" t="s">
        <v>6413</v>
      </c>
      <c r="K664" s="17"/>
      <c r="L664" s="17"/>
      <c r="M664" s="21">
        <v>1600000</v>
      </c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9196</v>
      </c>
      <c r="B665" s="17" t="s">
        <v>9196</v>
      </c>
      <c r="C665" s="17" t="s">
        <v>9197</v>
      </c>
      <c r="D665" s="17" t="s">
        <v>21</v>
      </c>
      <c r="E665" s="24">
        <v>1206</v>
      </c>
      <c r="F665" s="17" t="s">
        <v>381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1800000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9198</v>
      </c>
      <c r="B666" s="17" t="s">
        <v>9198</v>
      </c>
      <c r="C666" s="17" t="s">
        <v>9199</v>
      </c>
      <c r="D666" s="17" t="s">
        <v>21</v>
      </c>
      <c r="E666" s="24">
        <v>1206</v>
      </c>
      <c r="F666" s="17" t="s">
        <v>383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2000000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9200</v>
      </c>
      <c r="B667" s="17" t="s">
        <v>9200</v>
      </c>
      <c r="C667" s="17" t="s">
        <v>9201</v>
      </c>
      <c r="D667" s="17" t="s">
        <v>21</v>
      </c>
      <c r="E667" s="24">
        <v>1206</v>
      </c>
      <c r="F667" s="17" t="s">
        <v>385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2200000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9202</v>
      </c>
      <c r="B668" s="17" t="s">
        <v>9202</v>
      </c>
      <c r="C668" s="17" t="s">
        <v>9203</v>
      </c>
      <c r="D668" s="17" t="s">
        <v>21</v>
      </c>
      <c r="E668" s="24">
        <v>1206</v>
      </c>
      <c r="F668" s="17" t="s">
        <v>387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2400000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9204</v>
      </c>
      <c r="B669" s="17" t="s">
        <v>9204</v>
      </c>
      <c r="C669" s="17" t="s">
        <v>9205</v>
      </c>
      <c r="D669" s="17" t="s">
        <v>21</v>
      </c>
      <c r="E669" s="24">
        <v>1206</v>
      </c>
      <c r="F669" s="17" t="s">
        <v>389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2700000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9206</v>
      </c>
      <c r="B670" s="17" t="s">
        <v>9206</v>
      </c>
      <c r="C670" s="17" t="s">
        <v>9207</v>
      </c>
      <c r="D670" s="17" t="s">
        <v>21</v>
      </c>
      <c r="E670" s="24">
        <v>1206</v>
      </c>
      <c r="F670" s="17" t="s">
        <v>391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3000000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9208</v>
      </c>
      <c r="B671" s="17" t="s">
        <v>9208</v>
      </c>
      <c r="C671" s="17" t="s">
        <v>9209</v>
      </c>
      <c r="D671" s="17" t="s">
        <v>21</v>
      </c>
      <c r="E671" s="24">
        <v>1206</v>
      </c>
      <c r="F671" s="17" t="s">
        <v>393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3300000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9210</v>
      </c>
      <c r="B672" s="17" t="s">
        <v>9210</v>
      </c>
      <c r="C672" s="17" t="s">
        <v>9211</v>
      </c>
      <c r="D672" s="17" t="s">
        <v>21</v>
      </c>
      <c r="E672" s="24">
        <v>1206</v>
      </c>
      <c r="F672" s="17" t="s">
        <v>395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3600000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9212</v>
      </c>
      <c r="B673" s="17" t="s">
        <v>9212</v>
      </c>
      <c r="C673" s="17" t="s">
        <v>9213</v>
      </c>
      <c r="D673" s="17" t="s">
        <v>21</v>
      </c>
      <c r="E673" s="24">
        <v>1206</v>
      </c>
      <c r="F673" s="17" t="s">
        <v>397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3900000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9214</v>
      </c>
      <c r="B674" s="17" t="s">
        <v>9214</v>
      </c>
      <c r="C674" s="17" t="s">
        <v>9215</v>
      </c>
      <c r="D674" s="17" t="s">
        <v>21</v>
      </c>
      <c r="E674" s="24">
        <v>1206</v>
      </c>
      <c r="F674" s="17" t="s">
        <v>399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4300000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9216</v>
      </c>
      <c r="B675" s="17" t="s">
        <v>9216</v>
      </c>
      <c r="C675" s="17" t="s">
        <v>9217</v>
      </c>
      <c r="D675" s="17" t="s">
        <v>21</v>
      </c>
      <c r="E675" s="24">
        <v>1206</v>
      </c>
      <c r="F675" s="17" t="s">
        <v>401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4700000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9218</v>
      </c>
      <c r="B676" s="17" t="s">
        <v>9218</v>
      </c>
      <c r="C676" s="17" t="s">
        <v>9219</v>
      </c>
      <c r="D676" s="17" t="s">
        <v>21</v>
      </c>
      <c r="E676" s="24">
        <v>1206</v>
      </c>
      <c r="F676" s="17" t="s">
        <v>403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5100000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9220</v>
      </c>
      <c r="B677" s="17" t="s">
        <v>9220</v>
      </c>
      <c r="C677" s="17" t="s">
        <v>9221</v>
      </c>
      <c r="D677" s="17" t="s">
        <v>21</v>
      </c>
      <c r="E677" s="24">
        <v>1206</v>
      </c>
      <c r="F677" s="17" t="s">
        <v>405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5600000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9222</v>
      </c>
      <c r="B678" s="17" t="s">
        <v>9222</v>
      </c>
      <c r="C678" s="17" t="s">
        <v>9223</v>
      </c>
      <c r="D678" s="17" t="s">
        <v>21</v>
      </c>
      <c r="E678" s="24">
        <v>1206</v>
      </c>
      <c r="F678" s="17" t="s">
        <v>407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6200000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9224</v>
      </c>
      <c r="B679" s="17" t="s">
        <v>9224</v>
      </c>
      <c r="C679" s="17" t="s">
        <v>9225</v>
      </c>
      <c r="D679" s="17" t="s">
        <v>21</v>
      </c>
      <c r="E679" s="24">
        <v>1206</v>
      </c>
      <c r="F679" s="17" t="s">
        <v>409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6800000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9226</v>
      </c>
      <c r="B680" s="17" t="s">
        <v>9226</v>
      </c>
      <c r="C680" s="17" t="s">
        <v>9227</v>
      </c>
      <c r="D680" s="17" t="s">
        <v>21</v>
      </c>
      <c r="E680" s="24">
        <v>1206</v>
      </c>
      <c r="F680" s="17" t="s">
        <v>411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7500000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9228</v>
      </c>
      <c r="B681" s="17" t="s">
        <v>9228</v>
      </c>
      <c r="C681" s="17" t="s">
        <v>9229</v>
      </c>
      <c r="D681" s="17" t="s">
        <v>21</v>
      </c>
      <c r="E681" s="24">
        <v>1206</v>
      </c>
      <c r="F681" s="17" t="s">
        <v>413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8200000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9230</v>
      </c>
      <c r="B682" s="17" t="s">
        <v>9230</v>
      </c>
      <c r="C682" s="17" t="s">
        <v>9231</v>
      </c>
      <c r="D682" s="17" t="s">
        <v>21</v>
      </c>
      <c r="E682" s="24">
        <v>1206</v>
      </c>
      <c r="F682" s="17" t="s">
        <v>415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9100000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9232</v>
      </c>
      <c r="B683" s="17" t="s">
        <v>9232</v>
      </c>
      <c r="C683" s="17" t="s">
        <v>9233</v>
      </c>
      <c r="D683" s="17" t="s">
        <v>21</v>
      </c>
      <c r="E683" s="24">
        <v>1206</v>
      </c>
      <c r="F683" s="17" t="s">
        <v>417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10000000</v>
      </c>
      <c r="N683" s="17" t="s">
        <v>14079</v>
      </c>
      <c r="O683" s="17" t="s">
        <v>477</v>
      </c>
      <c r="P683" s="17" t="s">
        <v>14081</v>
      </c>
      <c r="Q683" t="s">
        <v>25</v>
      </c>
      <c r="R683" s="17" t="s">
        <v>14082</v>
      </c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14078</v>
      </c>
      <c r="B684" s="17" t="s">
        <v>14078</v>
      </c>
      <c r="C684" s="17" t="s">
        <v>14089</v>
      </c>
      <c r="D684" s="17" t="s">
        <v>21</v>
      </c>
      <c r="E684" s="24">
        <v>1206</v>
      </c>
      <c r="F684" s="17" t="s">
        <v>417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10000000</v>
      </c>
      <c r="N684" s="17" t="s">
        <v>14080</v>
      </c>
      <c r="O684" s="17" t="s">
        <v>477</v>
      </c>
      <c r="P684" s="17" t="s">
        <v>14083</v>
      </c>
      <c r="Q684" t="s">
        <v>25</v>
      </c>
      <c r="R684" s="17" t="s">
        <v>14084</v>
      </c>
      <c r="S684" s="17"/>
      <c r="T684" s="17"/>
      <c r="U684" s="17"/>
      <c r="V684" s="17"/>
      <c r="W684" s="17" t="s">
        <v>477</v>
      </c>
      <c r="X684" s="17" t="s">
        <v>14083</v>
      </c>
      <c r="Y684" s="17" t="s">
        <v>4559</v>
      </c>
      <c r="Z684" s="17" t="s">
        <v>14085</v>
      </c>
      <c r="AA684" t="s">
        <v>4727</v>
      </c>
      <c r="AB684" s="17"/>
    </row>
    <row r="685" spans="1:28">
      <c r="A685" s="16" t="s">
        <v>9234</v>
      </c>
      <c r="B685" s="16" t="s">
        <v>9234</v>
      </c>
      <c r="C685" s="16" t="s">
        <v>9235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419</v>
      </c>
      <c r="I685" s="18" t="s">
        <v>461</v>
      </c>
      <c r="J685" s="17" t="s">
        <v>12540</v>
      </c>
      <c r="K685" s="17"/>
      <c r="L685" s="17"/>
      <c r="M685" s="19">
        <v>0</v>
      </c>
      <c r="N685" s="17" t="s">
        <v>14079</v>
      </c>
      <c r="O685" s="17" t="s">
        <v>477</v>
      </c>
      <c r="P685" s="17" t="s">
        <v>12553</v>
      </c>
      <c r="Q685" s="16" t="s">
        <v>25</v>
      </c>
      <c r="R685" s="17" t="s">
        <v>12554</v>
      </c>
      <c r="S685" s="16"/>
      <c r="T685" s="17"/>
      <c r="U685" s="16"/>
      <c r="V685" s="16"/>
      <c r="W685" s="17"/>
      <c r="X685" s="17"/>
      <c r="Y685" s="16"/>
      <c r="Z685" s="17"/>
      <c r="AA685" s="17"/>
      <c r="AB685" s="17"/>
    </row>
    <row r="686" spans="1:28">
      <c r="A686" s="17" t="s">
        <v>9236</v>
      </c>
      <c r="B686" s="17" t="s">
        <v>9236</v>
      </c>
      <c r="C686" s="17" t="s">
        <v>9237</v>
      </c>
      <c r="D686" s="17" t="s">
        <v>21</v>
      </c>
      <c r="E686" s="24">
        <v>1210</v>
      </c>
      <c r="F686" s="17" t="s">
        <v>29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12540</v>
      </c>
      <c r="K686" s="17"/>
      <c r="L686" s="17"/>
      <c r="M686" s="17">
        <v>1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9238</v>
      </c>
      <c r="B687" s="17" t="s">
        <v>9238</v>
      </c>
      <c r="C687" s="17" t="s">
        <v>9239</v>
      </c>
      <c r="D687" s="17" t="s">
        <v>21</v>
      </c>
      <c r="E687" s="24">
        <v>1210</v>
      </c>
      <c r="F687" s="17" t="s">
        <v>1042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12540</v>
      </c>
      <c r="K687" s="17"/>
      <c r="L687" s="17"/>
      <c r="M687" s="17">
        <v>1.1000000000000001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9240</v>
      </c>
      <c r="B688" s="17" t="s">
        <v>9240</v>
      </c>
      <c r="C688" s="17" t="s">
        <v>9241</v>
      </c>
      <c r="D688" s="17" t="s">
        <v>21</v>
      </c>
      <c r="E688" s="24">
        <v>1210</v>
      </c>
      <c r="F688" s="17" t="s">
        <v>31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12540</v>
      </c>
      <c r="K688" s="17"/>
      <c r="L688" s="17"/>
      <c r="M688" s="17">
        <v>1.2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9242</v>
      </c>
      <c r="B689" s="17" t="s">
        <v>9242</v>
      </c>
      <c r="C689" s="17" t="s">
        <v>9243</v>
      </c>
      <c r="D689" s="17" t="s">
        <v>21</v>
      </c>
      <c r="E689" s="24">
        <v>1210</v>
      </c>
      <c r="F689" s="17" t="s">
        <v>1052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12540</v>
      </c>
      <c r="K689" s="17"/>
      <c r="L689" s="17"/>
      <c r="M689" s="17">
        <v>1.3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9244</v>
      </c>
      <c r="B690" s="17" t="s">
        <v>9244</v>
      </c>
      <c r="C690" s="17" t="s">
        <v>9245</v>
      </c>
      <c r="D690" s="17" t="s">
        <v>21</v>
      </c>
      <c r="E690" s="24">
        <v>1210</v>
      </c>
      <c r="F690" s="17" t="s">
        <v>33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12540</v>
      </c>
      <c r="K690" s="17"/>
      <c r="L690" s="17"/>
      <c r="M690" s="17">
        <v>1.5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9246</v>
      </c>
      <c r="B691" s="17" t="s">
        <v>9246</v>
      </c>
      <c r="C691" s="17" t="s">
        <v>9247</v>
      </c>
      <c r="D691" s="17" t="s">
        <v>21</v>
      </c>
      <c r="E691" s="24">
        <v>1210</v>
      </c>
      <c r="F691" s="17" t="s">
        <v>1062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12540</v>
      </c>
      <c r="K691" s="17"/>
      <c r="L691" s="17"/>
      <c r="M691" s="17">
        <v>1.6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9248</v>
      </c>
      <c r="B692" s="17" t="s">
        <v>9248</v>
      </c>
      <c r="C692" s="17" t="s">
        <v>9249</v>
      </c>
      <c r="D692" s="17" t="s">
        <v>21</v>
      </c>
      <c r="E692" s="24">
        <v>1210</v>
      </c>
      <c r="F692" s="17" t="s">
        <v>35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12540</v>
      </c>
      <c r="K692" s="17"/>
      <c r="L692" s="17"/>
      <c r="M692" s="17">
        <v>1.8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9250</v>
      </c>
      <c r="B693" s="17" t="s">
        <v>9250</v>
      </c>
      <c r="C693" s="17" t="s">
        <v>9251</v>
      </c>
      <c r="D693" s="17" t="s">
        <v>21</v>
      </c>
      <c r="E693" s="24">
        <v>1210</v>
      </c>
      <c r="F693" s="17" t="s">
        <v>1070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12540</v>
      </c>
      <c r="K693" s="17"/>
      <c r="L693" s="17"/>
      <c r="M693" s="17">
        <v>2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9252</v>
      </c>
      <c r="B694" s="17" t="s">
        <v>9252</v>
      </c>
      <c r="C694" s="17" t="s">
        <v>9253</v>
      </c>
      <c r="D694" s="17" t="s">
        <v>21</v>
      </c>
      <c r="E694" s="24">
        <v>1210</v>
      </c>
      <c r="F694" s="17" t="s">
        <v>37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12540</v>
      </c>
      <c r="K694" s="17"/>
      <c r="L694" s="17"/>
      <c r="M694" s="17">
        <v>2.2000000000000002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9254</v>
      </c>
      <c r="B695" s="17" t="s">
        <v>9254</v>
      </c>
      <c r="C695" s="17" t="s">
        <v>9255</v>
      </c>
      <c r="D695" s="17" t="s">
        <v>21</v>
      </c>
      <c r="E695" s="24">
        <v>1210</v>
      </c>
      <c r="F695" s="17" t="s">
        <v>1080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12540</v>
      </c>
      <c r="K695" s="17"/>
      <c r="L695" s="17"/>
      <c r="M695" s="17">
        <v>2.4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9256</v>
      </c>
      <c r="B696" s="17" t="s">
        <v>9256</v>
      </c>
      <c r="C696" s="17" t="s">
        <v>9257</v>
      </c>
      <c r="D696" s="17" t="s">
        <v>21</v>
      </c>
      <c r="E696" s="24">
        <v>1210</v>
      </c>
      <c r="F696" s="17" t="s">
        <v>39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12540</v>
      </c>
      <c r="K696" s="17"/>
      <c r="L696" s="17"/>
      <c r="M696" s="17">
        <v>2.7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9258</v>
      </c>
      <c r="B697" s="17" t="s">
        <v>9258</v>
      </c>
      <c r="C697" s="17" t="s">
        <v>9259</v>
      </c>
      <c r="D697" s="17" t="s">
        <v>21</v>
      </c>
      <c r="E697" s="24">
        <v>1210</v>
      </c>
      <c r="F697" s="17" t="s">
        <v>1088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12540</v>
      </c>
      <c r="K697" s="17"/>
      <c r="L697" s="17"/>
      <c r="M697" s="17">
        <v>3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9260</v>
      </c>
      <c r="B698" s="17" t="s">
        <v>9260</v>
      </c>
      <c r="C698" s="17" t="s">
        <v>9261</v>
      </c>
      <c r="D698" s="17" t="s">
        <v>21</v>
      </c>
      <c r="E698" s="24">
        <v>1210</v>
      </c>
      <c r="F698" s="17" t="s">
        <v>41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12540</v>
      </c>
      <c r="K698" s="17"/>
      <c r="L698" s="17"/>
      <c r="M698" s="17">
        <v>3.3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9262</v>
      </c>
      <c r="B699" s="17" t="s">
        <v>9262</v>
      </c>
      <c r="C699" s="17" t="s">
        <v>9263</v>
      </c>
      <c r="D699" s="17" t="s">
        <v>21</v>
      </c>
      <c r="E699" s="24">
        <v>1210</v>
      </c>
      <c r="F699" s="17" t="s">
        <v>1098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12540</v>
      </c>
      <c r="K699" s="17"/>
      <c r="L699" s="17"/>
      <c r="M699" s="17">
        <v>3.6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9264</v>
      </c>
      <c r="B700" s="17" t="s">
        <v>9264</v>
      </c>
      <c r="C700" s="17" t="s">
        <v>9265</v>
      </c>
      <c r="D700" s="17" t="s">
        <v>21</v>
      </c>
      <c r="E700" s="24">
        <v>1210</v>
      </c>
      <c r="F700" s="17" t="s">
        <v>43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12540</v>
      </c>
      <c r="K700" s="17"/>
      <c r="L700" s="17"/>
      <c r="M700" s="17">
        <v>3.9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9266</v>
      </c>
      <c r="B701" s="17" t="s">
        <v>9266</v>
      </c>
      <c r="C701" s="17" t="s">
        <v>9267</v>
      </c>
      <c r="D701" s="17" t="s">
        <v>21</v>
      </c>
      <c r="E701" s="24">
        <v>1210</v>
      </c>
      <c r="F701" s="17" t="s">
        <v>1106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12540</v>
      </c>
      <c r="K701" s="17"/>
      <c r="L701" s="17"/>
      <c r="M701" s="17">
        <v>4.3</v>
      </c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9268</v>
      </c>
      <c r="B702" s="17" t="s">
        <v>9268</v>
      </c>
      <c r="C702" s="17" t="s">
        <v>9269</v>
      </c>
      <c r="D702" s="17" t="s">
        <v>21</v>
      </c>
      <c r="E702" s="24">
        <v>1210</v>
      </c>
      <c r="F702" s="17" t="s">
        <v>45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12540</v>
      </c>
      <c r="K702" s="17"/>
      <c r="L702" s="17"/>
      <c r="M702" s="17">
        <v>4.7</v>
      </c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</row>
    <row r="703" spans="1:28">
      <c r="A703" s="17" t="s">
        <v>9270</v>
      </c>
      <c r="B703" s="17" t="s">
        <v>9270</v>
      </c>
      <c r="C703" s="17" t="s">
        <v>9271</v>
      </c>
      <c r="D703" s="17" t="s">
        <v>21</v>
      </c>
      <c r="E703" s="24">
        <v>1210</v>
      </c>
      <c r="F703" s="17" t="s">
        <v>1116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12540</v>
      </c>
      <c r="K703" s="17"/>
      <c r="L703" s="17"/>
      <c r="M703" s="17">
        <v>5.0999999999999996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9272</v>
      </c>
      <c r="B704" s="17" t="s">
        <v>9272</v>
      </c>
      <c r="C704" s="17" t="s">
        <v>9273</v>
      </c>
      <c r="D704" s="17" t="s">
        <v>21</v>
      </c>
      <c r="E704" s="24">
        <v>1210</v>
      </c>
      <c r="F704" s="17" t="s">
        <v>47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12540</v>
      </c>
      <c r="K704" s="17"/>
      <c r="L704" s="17"/>
      <c r="M704" s="17">
        <v>5.6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9274</v>
      </c>
      <c r="B705" s="17" t="s">
        <v>9274</v>
      </c>
      <c r="C705" s="17" t="s">
        <v>9275</v>
      </c>
      <c r="D705" s="17" t="s">
        <v>21</v>
      </c>
      <c r="E705" s="24">
        <v>1210</v>
      </c>
      <c r="F705" s="17" t="s">
        <v>1128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12540</v>
      </c>
      <c r="K705" s="17"/>
      <c r="L705" s="17"/>
      <c r="M705" s="17">
        <v>6.2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9276</v>
      </c>
      <c r="B706" s="17" t="s">
        <v>9276</v>
      </c>
      <c r="C706" s="17" t="s">
        <v>9277</v>
      </c>
      <c r="D706" s="17" t="s">
        <v>21</v>
      </c>
      <c r="E706" s="24">
        <v>1210</v>
      </c>
      <c r="F706" s="17" t="s">
        <v>49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12540</v>
      </c>
      <c r="K706" s="17"/>
      <c r="L706" s="17"/>
      <c r="M706" s="17">
        <v>6.8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9278</v>
      </c>
      <c r="B707" s="17" t="s">
        <v>9278</v>
      </c>
      <c r="C707" s="17" t="s">
        <v>9279</v>
      </c>
      <c r="D707" s="17" t="s">
        <v>21</v>
      </c>
      <c r="E707" s="24">
        <v>1210</v>
      </c>
      <c r="F707" s="17" t="s">
        <v>1138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12540</v>
      </c>
      <c r="K707" s="17"/>
      <c r="L707" s="17"/>
      <c r="M707" s="17">
        <v>7.5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9280</v>
      </c>
      <c r="B708" s="17" t="s">
        <v>9280</v>
      </c>
      <c r="C708" s="17" t="s">
        <v>9281</v>
      </c>
      <c r="D708" s="17" t="s">
        <v>21</v>
      </c>
      <c r="E708" s="24">
        <v>1210</v>
      </c>
      <c r="F708" s="17" t="s">
        <v>51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12540</v>
      </c>
      <c r="K708" s="17"/>
      <c r="L708" s="17"/>
      <c r="M708" s="17">
        <v>8.1999999999999993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9282</v>
      </c>
      <c r="B709" s="17" t="s">
        <v>9282</v>
      </c>
      <c r="C709" s="17" t="s">
        <v>9283</v>
      </c>
      <c r="D709" s="17" t="s">
        <v>21</v>
      </c>
      <c r="E709" s="24">
        <v>1210</v>
      </c>
      <c r="F709" s="17" t="s">
        <v>1148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12540</v>
      </c>
      <c r="K709" s="17"/>
      <c r="L709" s="17"/>
      <c r="M709" s="17">
        <v>9.1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 ht="15.75">
      <c r="A710" s="17" t="s">
        <v>9284</v>
      </c>
      <c r="B710" s="17" t="s">
        <v>9284</v>
      </c>
      <c r="C710" s="17" t="s">
        <v>9285</v>
      </c>
      <c r="D710" s="17" t="s">
        <v>21</v>
      </c>
      <c r="E710" s="24">
        <v>1210</v>
      </c>
      <c r="F710" s="17" t="s">
        <v>53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12540</v>
      </c>
      <c r="K710" s="17"/>
      <c r="L710" s="17"/>
      <c r="M710" s="21">
        <v>10</v>
      </c>
      <c r="N710" s="17" t="s">
        <v>14079</v>
      </c>
      <c r="O710" s="17" t="s">
        <v>477</v>
      </c>
      <c r="P710" s="17" t="s">
        <v>12551</v>
      </c>
      <c r="Q710" t="s">
        <v>25</v>
      </c>
      <c r="R710" s="17" t="s">
        <v>12552</v>
      </c>
      <c r="S710" s="17"/>
      <c r="T710" s="17"/>
      <c r="U710" s="17"/>
      <c r="V710" s="17"/>
      <c r="W710" s="8" t="s">
        <v>6382</v>
      </c>
      <c r="X710" s="8" t="s">
        <v>13549</v>
      </c>
      <c r="Y710" s="8" t="s">
        <v>4559</v>
      </c>
      <c r="Z710" s="8" t="s">
        <v>13550</v>
      </c>
      <c r="AA710" s="17"/>
      <c r="AB710" s="17"/>
    </row>
    <row r="711" spans="1:28">
      <c r="A711" s="17" t="s">
        <v>9286</v>
      </c>
      <c r="B711" s="17" t="s">
        <v>9286</v>
      </c>
      <c r="C711" s="17" t="s">
        <v>9287</v>
      </c>
      <c r="D711" s="17" t="s">
        <v>21</v>
      </c>
      <c r="E711" s="24">
        <v>1210</v>
      </c>
      <c r="F711" s="17" t="s">
        <v>57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12540</v>
      </c>
      <c r="K711" s="17"/>
      <c r="L711" s="17"/>
      <c r="M711" s="21">
        <v>11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9288</v>
      </c>
      <c r="B712" s="17" t="s">
        <v>9288</v>
      </c>
      <c r="C712" s="17" t="s">
        <v>9289</v>
      </c>
      <c r="D712" s="17" t="s">
        <v>21</v>
      </c>
      <c r="E712" s="24">
        <v>1210</v>
      </c>
      <c r="F712" s="17" t="s">
        <v>59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12540</v>
      </c>
      <c r="K712" s="17"/>
      <c r="L712" s="17"/>
      <c r="M712" s="21">
        <v>12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9290</v>
      </c>
      <c r="B713" s="17" t="s">
        <v>9290</v>
      </c>
      <c r="C713" s="17" t="s">
        <v>9291</v>
      </c>
      <c r="D713" s="17" t="s">
        <v>21</v>
      </c>
      <c r="E713" s="24">
        <v>1210</v>
      </c>
      <c r="F713" s="17" t="s">
        <v>61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12540</v>
      </c>
      <c r="K713" s="17"/>
      <c r="L713" s="17"/>
      <c r="M713" s="21">
        <v>13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9292</v>
      </c>
      <c r="B714" s="17" t="s">
        <v>9292</v>
      </c>
      <c r="C714" s="17" t="s">
        <v>9293</v>
      </c>
      <c r="D714" s="17" t="s">
        <v>21</v>
      </c>
      <c r="E714" s="24">
        <v>1210</v>
      </c>
      <c r="F714" s="17" t="s">
        <v>63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12540</v>
      </c>
      <c r="K714" s="17"/>
      <c r="L714" s="17"/>
      <c r="M714" s="21">
        <v>15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9294</v>
      </c>
      <c r="B715" s="17" t="s">
        <v>9294</v>
      </c>
      <c r="C715" s="17" t="s">
        <v>9295</v>
      </c>
      <c r="D715" s="17" t="s">
        <v>21</v>
      </c>
      <c r="E715" s="24">
        <v>1210</v>
      </c>
      <c r="F715" s="17" t="s">
        <v>65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12540</v>
      </c>
      <c r="K715" s="17"/>
      <c r="L715" s="17"/>
      <c r="M715" s="21">
        <v>16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9296</v>
      </c>
      <c r="B716" s="17" t="s">
        <v>9296</v>
      </c>
      <c r="C716" s="17" t="s">
        <v>9297</v>
      </c>
      <c r="D716" s="17" t="s">
        <v>21</v>
      </c>
      <c r="E716" s="24">
        <v>1210</v>
      </c>
      <c r="F716" s="17" t="s">
        <v>67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12540</v>
      </c>
      <c r="K716" s="17"/>
      <c r="L716" s="17"/>
      <c r="M716" s="21">
        <v>18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9298</v>
      </c>
      <c r="B717" s="17" t="s">
        <v>9298</v>
      </c>
      <c r="C717" s="17" t="s">
        <v>9299</v>
      </c>
      <c r="D717" s="17" t="s">
        <v>21</v>
      </c>
      <c r="E717" s="24">
        <v>1210</v>
      </c>
      <c r="F717" s="17" t="s">
        <v>69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12540</v>
      </c>
      <c r="K717" s="17"/>
      <c r="L717" s="17"/>
      <c r="M717" s="21">
        <v>20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9300</v>
      </c>
      <c r="B718" s="17" t="s">
        <v>9300</v>
      </c>
      <c r="C718" s="17" t="s">
        <v>9301</v>
      </c>
      <c r="D718" s="17" t="s">
        <v>21</v>
      </c>
      <c r="E718" s="24">
        <v>1210</v>
      </c>
      <c r="F718" s="17" t="s">
        <v>71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12540</v>
      </c>
      <c r="K718" s="17"/>
      <c r="L718" s="17"/>
      <c r="M718" s="21">
        <v>22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9302</v>
      </c>
      <c r="B719" s="17" t="s">
        <v>9302</v>
      </c>
      <c r="C719" s="17" t="s">
        <v>9303</v>
      </c>
      <c r="D719" s="17" t="s">
        <v>21</v>
      </c>
      <c r="E719" s="24">
        <v>1210</v>
      </c>
      <c r="F719" s="17" t="s">
        <v>75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12540</v>
      </c>
      <c r="K719" s="17"/>
      <c r="L719" s="17"/>
      <c r="M719" s="21">
        <v>24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9304</v>
      </c>
      <c r="B720" s="17" t="s">
        <v>9304</v>
      </c>
      <c r="C720" s="17" t="s">
        <v>9305</v>
      </c>
      <c r="D720" s="17" t="s">
        <v>21</v>
      </c>
      <c r="E720" s="24">
        <v>1210</v>
      </c>
      <c r="F720" s="17" t="s">
        <v>77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12540</v>
      </c>
      <c r="K720" s="17"/>
      <c r="L720" s="17"/>
      <c r="M720" s="21">
        <v>27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9306</v>
      </c>
      <c r="B721" s="17" t="s">
        <v>9306</v>
      </c>
      <c r="C721" s="17" t="s">
        <v>9307</v>
      </c>
      <c r="D721" s="17" t="s">
        <v>21</v>
      </c>
      <c r="E721" s="24">
        <v>1210</v>
      </c>
      <c r="F721" s="17" t="s">
        <v>79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12540</v>
      </c>
      <c r="K721" s="17"/>
      <c r="L721" s="17"/>
      <c r="M721" s="21">
        <v>30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9308</v>
      </c>
      <c r="B722" s="17" t="s">
        <v>9308</v>
      </c>
      <c r="C722" s="17" t="s">
        <v>9309</v>
      </c>
      <c r="D722" s="17" t="s">
        <v>21</v>
      </c>
      <c r="E722" s="24">
        <v>1210</v>
      </c>
      <c r="F722" s="17" t="s">
        <v>81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12540</v>
      </c>
      <c r="K722" s="17"/>
      <c r="L722" s="17"/>
      <c r="M722" s="21">
        <v>33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9310</v>
      </c>
      <c r="B723" s="17" t="s">
        <v>9310</v>
      </c>
      <c r="C723" s="17" t="s">
        <v>9311</v>
      </c>
      <c r="D723" s="17" t="s">
        <v>21</v>
      </c>
      <c r="E723" s="24">
        <v>1210</v>
      </c>
      <c r="F723" s="17" t="s">
        <v>83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12540</v>
      </c>
      <c r="K723" s="17"/>
      <c r="L723" s="17"/>
      <c r="M723" s="21">
        <v>36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9312</v>
      </c>
      <c r="B724" s="17" t="s">
        <v>9312</v>
      </c>
      <c r="C724" s="17" t="s">
        <v>9313</v>
      </c>
      <c r="D724" s="17" t="s">
        <v>21</v>
      </c>
      <c r="E724" s="24">
        <v>1210</v>
      </c>
      <c r="F724" s="17" t="s">
        <v>85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12540</v>
      </c>
      <c r="K724" s="17"/>
      <c r="L724" s="17"/>
      <c r="M724" s="21">
        <v>39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9314</v>
      </c>
      <c r="B725" s="17" t="s">
        <v>9314</v>
      </c>
      <c r="C725" s="17" t="s">
        <v>9315</v>
      </c>
      <c r="D725" s="17" t="s">
        <v>21</v>
      </c>
      <c r="E725" s="24">
        <v>1210</v>
      </c>
      <c r="F725" s="17" t="s">
        <v>87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12540</v>
      </c>
      <c r="K725" s="17"/>
      <c r="L725" s="17"/>
      <c r="M725" s="21">
        <v>43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9316</v>
      </c>
      <c r="B726" s="17" t="s">
        <v>9316</v>
      </c>
      <c r="C726" s="17" t="s">
        <v>9317</v>
      </c>
      <c r="D726" s="17" t="s">
        <v>21</v>
      </c>
      <c r="E726" s="24">
        <v>1210</v>
      </c>
      <c r="F726" s="17" t="s">
        <v>89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12540</v>
      </c>
      <c r="K726" s="17"/>
      <c r="L726" s="17"/>
      <c r="M726" s="21">
        <v>47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9318</v>
      </c>
      <c r="B727" s="17" t="s">
        <v>9318</v>
      </c>
      <c r="C727" s="17" t="s">
        <v>9319</v>
      </c>
      <c r="D727" s="17" t="s">
        <v>21</v>
      </c>
      <c r="E727" s="24">
        <v>1210</v>
      </c>
      <c r="F727" s="17" t="s">
        <v>91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12540</v>
      </c>
      <c r="K727" s="17"/>
      <c r="L727" s="17"/>
      <c r="M727" s="21">
        <v>51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>
      <c r="A728" s="17" t="s">
        <v>9320</v>
      </c>
      <c r="B728" s="17" t="s">
        <v>9320</v>
      </c>
      <c r="C728" s="17" t="s">
        <v>9321</v>
      </c>
      <c r="D728" s="17" t="s">
        <v>21</v>
      </c>
      <c r="E728" s="24">
        <v>1210</v>
      </c>
      <c r="F728" s="17" t="s">
        <v>93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12540</v>
      </c>
      <c r="K728" s="17"/>
      <c r="L728" s="17"/>
      <c r="M728" s="21">
        <v>56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9322</v>
      </c>
      <c r="B729" s="17" t="s">
        <v>9322</v>
      </c>
      <c r="C729" s="17" t="s">
        <v>9323</v>
      </c>
      <c r="D729" s="17" t="s">
        <v>21</v>
      </c>
      <c r="E729" s="24">
        <v>1210</v>
      </c>
      <c r="F729" s="17" t="s">
        <v>95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12540</v>
      </c>
      <c r="K729" s="17"/>
      <c r="L729" s="17"/>
      <c r="M729" s="21">
        <v>62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9324</v>
      </c>
      <c r="B730" s="17" t="s">
        <v>9324</v>
      </c>
      <c r="C730" s="17" t="s">
        <v>9325</v>
      </c>
      <c r="D730" s="17" t="s">
        <v>21</v>
      </c>
      <c r="E730" s="24">
        <v>1210</v>
      </c>
      <c r="F730" s="17" t="s">
        <v>97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12540</v>
      </c>
      <c r="K730" s="17"/>
      <c r="L730" s="17"/>
      <c r="M730" s="21">
        <v>68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9326</v>
      </c>
      <c r="B731" s="17" t="s">
        <v>9326</v>
      </c>
      <c r="C731" s="17" t="s">
        <v>9327</v>
      </c>
      <c r="D731" s="17" t="s">
        <v>21</v>
      </c>
      <c r="E731" s="24">
        <v>1210</v>
      </c>
      <c r="F731" s="17" t="s">
        <v>99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12540</v>
      </c>
      <c r="K731" s="17"/>
      <c r="L731" s="17"/>
      <c r="M731" s="21">
        <v>75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9328</v>
      </c>
      <c r="B732" s="17" t="s">
        <v>9328</v>
      </c>
      <c r="C732" s="17" t="s">
        <v>9329</v>
      </c>
      <c r="D732" s="17" t="s">
        <v>21</v>
      </c>
      <c r="E732" s="24">
        <v>1210</v>
      </c>
      <c r="F732" s="17" t="s">
        <v>101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12540</v>
      </c>
      <c r="K732" s="17"/>
      <c r="L732" s="17"/>
      <c r="M732" s="21">
        <v>82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9330</v>
      </c>
      <c r="B733" s="17" t="s">
        <v>9330</v>
      </c>
      <c r="C733" s="17" t="s">
        <v>9331</v>
      </c>
      <c r="D733" s="17" t="s">
        <v>21</v>
      </c>
      <c r="E733" s="24">
        <v>1210</v>
      </c>
      <c r="F733" s="17" t="s">
        <v>103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12540</v>
      </c>
      <c r="K733" s="17"/>
      <c r="L733" s="17"/>
      <c r="M733" s="21">
        <v>91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9332</v>
      </c>
      <c r="B734" s="17" t="s">
        <v>9332</v>
      </c>
      <c r="C734" s="17" t="s">
        <v>9333</v>
      </c>
      <c r="D734" s="17" t="s">
        <v>21</v>
      </c>
      <c r="E734" s="24">
        <v>1210</v>
      </c>
      <c r="F734" s="17" t="s">
        <v>105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12540</v>
      </c>
      <c r="K734" s="17"/>
      <c r="L734" s="17"/>
      <c r="M734" s="21">
        <v>100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9334</v>
      </c>
      <c r="B735" s="17" t="s">
        <v>9334</v>
      </c>
      <c r="C735" s="17" t="s">
        <v>9335</v>
      </c>
      <c r="D735" s="17" t="s">
        <v>21</v>
      </c>
      <c r="E735" s="24">
        <v>1210</v>
      </c>
      <c r="F735" s="17" t="s">
        <v>109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12540</v>
      </c>
      <c r="K735" s="17"/>
      <c r="L735" s="17"/>
      <c r="M735" s="21">
        <v>110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9336</v>
      </c>
      <c r="B736" s="17" t="s">
        <v>9336</v>
      </c>
      <c r="C736" s="17" t="s">
        <v>9337</v>
      </c>
      <c r="D736" s="17" t="s">
        <v>21</v>
      </c>
      <c r="E736" s="24">
        <v>1210</v>
      </c>
      <c r="F736" s="17" t="s">
        <v>111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12540</v>
      </c>
      <c r="K736" s="17"/>
      <c r="L736" s="17"/>
      <c r="M736" s="21">
        <v>120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9338</v>
      </c>
      <c r="B737" s="17" t="s">
        <v>9338</v>
      </c>
      <c r="C737" s="17" t="s">
        <v>9339</v>
      </c>
      <c r="D737" s="17" t="s">
        <v>21</v>
      </c>
      <c r="E737" s="24">
        <v>1210</v>
      </c>
      <c r="F737" s="17" t="s">
        <v>113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12540</v>
      </c>
      <c r="K737" s="17"/>
      <c r="L737" s="17"/>
      <c r="M737" s="21">
        <v>130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9340</v>
      </c>
      <c r="B738" s="17" t="s">
        <v>9340</v>
      </c>
      <c r="C738" s="17" t="s">
        <v>9341</v>
      </c>
      <c r="D738" s="17" t="s">
        <v>21</v>
      </c>
      <c r="E738" s="24">
        <v>1210</v>
      </c>
      <c r="F738" s="17" t="s">
        <v>115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12540</v>
      </c>
      <c r="K738" s="17"/>
      <c r="L738" s="17"/>
      <c r="M738" s="21">
        <v>150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9342</v>
      </c>
      <c r="B739" s="17" t="s">
        <v>9342</v>
      </c>
      <c r="C739" s="17" t="s">
        <v>9343</v>
      </c>
      <c r="D739" s="17" t="s">
        <v>21</v>
      </c>
      <c r="E739" s="24">
        <v>1210</v>
      </c>
      <c r="F739" s="17" t="s">
        <v>117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12540</v>
      </c>
      <c r="K739" s="17"/>
      <c r="L739" s="17"/>
      <c r="M739" s="21">
        <v>160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9344</v>
      </c>
      <c r="B740" s="17" t="s">
        <v>9344</v>
      </c>
      <c r="C740" s="17" t="s">
        <v>9345</v>
      </c>
      <c r="D740" s="17" t="s">
        <v>21</v>
      </c>
      <c r="E740" s="24">
        <v>1210</v>
      </c>
      <c r="F740" s="17" t="s">
        <v>119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12540</v>
      </c>
      <c r="K740" s="17"/>
      <c r="L740" s="17"/>
      <c r="M740" s="21">
        <v>180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9346</v>
      </c>
      <c r="B741" s="17" t="s">
        <v>9346</v>
      </c>
      <c r="C741" s="17" t="s">
        <v>9347</v>
      </c>
      <c r="D741" s="17" t="s">
        <v>21</v>
      </c>
      <c r="E741" s="24">
        <v>1210</v>
      </c>
      <c r="F741" s="17" t="s">
        <v>123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12540</v>
      </c>
      <c r="K741" s="17"/>
      <c r="L741" s="17"/>
      <c r="M741" s="21">
        <v>200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9348</v>
      </c>
      <c r="B742" s="17" t="s">
        <v>9348</v>
      </c>
      <c r="C742" s="17" t="s">
        <v>9349</v>
      </c>
      <c r="D742" s="17" t="s">
        <v>21</v>
      </c>
      <c r="E742" s="24">
        <v>1210</v>
      </c>
      <c r="F742" s="17" t="s">
        <v>125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12540</v>
      </c>
      <c r="K742" s="17"/>
      <c r="L742" s="17"/>
      <c r="M742" s="21">
        <v>220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9350</v>
      </c>
      <c r="B743" s="17" t="s">
        <v>9350</v>
      </c>
      <c r="C743" s="17" t="s">
        <v>9351</v>
      </c>
      <c r="D743" s="17" t="s">
        <v>21</v>
      </c>
      <c r="E743" s="24">
        <v>1210</v>
      </c>
      <c r="F743" s="17" t="s">
        <v>129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12540</v>
      </c>
      <c r="K743" s="17"/>
      <c r="L743" s="17"/>
      <c r="M743" s="21">
        <v>240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9352</v>
      </c>
      <c r="B744" s="17" t="s">
        <v>9352</v>
      </c>
      <c r="C744" s="17" t="s">
        <v>9353</v>
      </c>
      <c r="D744" s="17" t="s">
        <v>21</v>
      </c>
      <c r="E744" s="24">
        <v>1210</v>
      </c>
      <c r="F744" s="17" t="s">
        <v>131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12540</v>
      </c>
      <c r="K744" s="17"/>
      <c r="L744" s="17"/>
      <c r="M744" s="21">
        <v>270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9354</v>
      </c>
      <c r="B745" s="17" t="s">
        <v>9354</v>
      </c>
      <c r="C745" s="17" t="s">
        <v>9355</v>
      </c>
      <c r="D745" s="17" t="s">
        <v>21</v>
      </c>
      <c r="E745" s="24">
        <v>1210</v>
      </c>
      <c r="F745" s="17" t="s">
        <v>133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12540</v>
      </c>
      <c r="K745" s="17"/>
      <c r="L745" s="17"/>
      <c r="M745" s="21">
        <v>300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9356</v>
      </c>
      <c r="B746" s="17" t="s">
        <v>9356</v>
      </c>
      <c r="C746" s="17" t="s">
        <v>9357</v>
      </c>
      <c r="D746" s="17" t="s">
        <v>21</v>
      </c>
      <c r="E746" s="24">
        <v>1210</v>
      </c>
      <c r="F746" s="17" t="s">
        <v>137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12540</v>
      </c>
      <c r="K746" s="17"/>
      <c r="L746" s="17"/>
      <c r="M746" s="21">
        <v>330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9358</v>
      </c>
      <c r="B747" s="17" t="s">
        <v>9358</v>
      </c>
      <c r="C747" s="17" t="s">
        <v>9359</v>
      </c>
      <c r="D747" s="17" t="s">
        <v>21</v>
      </c>
      <c r="E747" s="24">
        <v>1210</v>
      </c>
      <c r="F747" s="17" t="s">
        <v>139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12540</v>
      </c>
      <c r="K747" s="17"/>
      <c r="L747" s="17"/>
      <c r="M747" s="21">
        <v>360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9360</v>
      </c>
      <c r="B748" s="17" t="s">
        <v>9360</v>
      </c>
      <c r="C748" s="17" t="s">
        <v>9361</v>
      </c>
      <c r="D748" s="17" t="s">
        <v>21</v>
      </c>
      <c r="E748" s="24">
        <v>1210</v>
      </c>
      <c r="F748" s="17" t="s">
        <v>141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12540</v>
      </c>
      <c r="K748" s="17"/>
      <c r="L748" s="17"/>
      <c r="M748" s="21">
        <v>390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9362</v>
      </c>
      <c r="B749" s="17" t="s">
        <v>9362</v>
      </c>
      <c r="C749" s="17" t="s">
        <v>9363</v>
      </c>
      <c r="D749" s="17" t="s">
        <v>21</v>
      </c>
      <c r="E749" s="24">
        <v>1210</v>
      </c>
      <c r="F749" s="17" t="s">
        <v>143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12540</v>
      </c>
      <c r="K749" s="17"/>
      <c r="L749" s="17"/>
      <c r="M749" s="21">
        <v>430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9364</v>
      </c>
      <c r="B750" s="17" t="s">
        <v>9364</v>
      </c>
      <c r="C750" s="17" t="s">
        <v>9365</v>
      </c>
      <c r="D750" s="17" t="s">
        <v>21</v>
      </c>
      <c r="E750" s="24">
        <v>1210</v>
      </c>
      <c r="F750" s="17" t="s">
        <v>145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12540</v>
      </c>
      <c r="K750" s="17"/>
      <c r="L750" s="17"/>
      <c r="M750" s="21">
        <v>470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9366</v>
      </c>
      <c r="B751" s="17" t="s">
        <v>9366</v>
      </c>
      <c r="C751" s="17" t="s">
        <v>9367</v>
      </c>
      <c r="D751" s="17" t="s">
        <v>21</v>
      </c>
      <c r="E751" s="24">
        <v>1210</v>
      </c>
      <c r="F751" s="17" t="s">
        <v>149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12540</v>
      </c>
      <c r="K751" s="17"/>
      <c r="L751" s="17"/>
      <c r="M751" s="21">
        <v>510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9368</v>
      </c>
      <c r="B752" s="17" t="s">
        <v>9368</v>
      </c>
      <c r="C752" s="17" t="s">
        <v>9369</v>
      </c>
      <c r="D752" s="17" t="s">
        <v>21</v>
      </c>
      <c r="E752" s="24">
        <v>1210</v>
      </c>
      <c r="F752" s="17" t="s">
        <v>151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12540</v>
      </c>
      <c r="K752" s="17"/>
      <c r="L752" s="17"/>
      <c r="M752" s="21">
        <v>560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9370</v>
      </c>
      <c r="B753" s="17" t="s">
        <v>9370</v>
      </c>
      <c r="C753" s="17" t="s">
        <v>9371</v>
      </c>
      <c r="D753" s="17" t="s">
        <v>21</v>
      </c>
      <c r="E753" s="24">
        <v>1210</v>
      </c>
      <c r="F753" s="17" t="s">
        <v>153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12540</v>
      </c>
      <c r="K753" s="17"/>
      <c r="L753" s="17"/>
      <c r="M753" s="21">
        <v>620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9372</v>
      </c>
      <c r="B754" s="17" t="s">
        <v>9372</v>
      </c>
      <c r="C754" s="17" t="s">
        <v>9373</v>
      </c>
      <c r="D754" s="17" t="s">
        <v>21</v>
      </c>
      <c r="E754" s="24">
        <v>1210</v>
      </c>
      <c r="F754" s="17" t="s">
        <v>155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12540</v>
      </c>
      <c r="K754" s="17"/>
      <c r="L754" s="17"/>
      <c r="M754" s="21">
        <v>680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9374</v>
      </c>
      <c r="B755" s="17" t="s">
        <v>9374</v>
      </c>
      <c r="C755" s="17" t="s">
        <v>9375</v>
      </c>
      <c r="D755" s="17" t="s">
        <v>21</v>
      </c>
      <c r="E755" s="24">
        <v>1210</v>
      </c>
      <c r="F755" s="17" t="s">
        <v>157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12540</v>
      </c>
      <c r="K755" s="17"/>
      <c r="L755" s="17"/>
      <c r="M755" s="21">
        <v>750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9376</v>
      </c>
      <c r="B756" s="17" t="s">
        <v>9376</v>
      </c>
      <c r="C756" s="17" t="s">
        <v>9377</v>
      </c>
      <c r="D756" s="17" t="s">
        <v>21</v>
      </c>
      <c r="E756" s="24">
        <v>1210</v>
      </c>
      <c r="F756" s="17" t="s">
        <v>159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12540</v>
      </c>
      <c r="K756" s="17"/>
      <c r="L756" s="17"/>
      <c r="M756" s="21">
        <v>820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9378</v>
      </c>
      <c r="B757" s="17" t="s">
        <v>9378</v>
      </c>
      <c r="C757" s="17" t="s">
        <v>9379</v>
      </c>
      <c r="D757" s="17" t="s">
        <v>21</v>
      </c>
      <c r="E757" s="24">
        <v>1210</v>
      </c>
      <c r="F757" s="17" t="s">
        <v>161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12540</v>
      </c>
      <c r="K757" s="17"/>
      <c r="L757" s="17"/>
      <c r="M757" s="21">
        <v>910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 ht="15.75">
      <c r="A758" s="17" t="s">
        <v>9380</v>
      </c>
      <c r="B758" s="17" t="s">
        <v>9380</v>
      </c>
      <c r="C758" s="17" t="s">
        <v>9381</v>
      </c>
      <c r="D758" s="17" t="s">
        <v>21</v>
      </c>
      <c r="E758" s="24">
        <v>1210</v>
      </c>
      <c r="F758" s="17" t="s">
        <v>163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12540</v>
      </c>
      <c r="K758" s="17"/>
      <c r="L758" s="17"/>
      <c r="M758" s="21">
        <v>1000</v>
      </c>
      <c r="N758" s="17" t="s">
        <v>14079</v>
      </c>
      <c r="O758" s="17" t="s">
        <v>477</v>
      </c>
      <c r="P758" s="17" t="s">
        <v>12549</v>
      </c>
      <c r="Q758" t="s">
        <v>25</v>
      </c>
      <c r="R758" s="17" t="s">
        <v>12550</v>
      </c>
      <c r="S758" s="17"/>
      <c r="T758" s="17"/>
      <c r="U758" s="17"/>
      <c r="V758" s="17"/>
      <c r="W758" s="8" t="s">
        <v>477</v>
      </c>
      <c r="X758" s="42" t="s">
        <v>12549</v>
      </c>
      <c r="Y758" s="17" t="s">
        <v>4559</v>
      </c>
      <c r="Z758" s="8" t="s">
        <v>13553</v>
      </c>
      <c r="AA758" s="17"/>
      <c r="AB758" s="17"/>
    </row>
    <row r="759" spans="1:28">
      <c r="A759" s="17" t="s">
        <v>9382</v>
      </c>
      <c r="B759" s="17" t="s">
        <v>9382</v>
      </c>
      <c r="C759" s="17" t="s">
        <v>9383</v>
      </c>
      <c r="D759" s="17" t="s">
        <v>21</v>
      </c>
      <c r="E759" s="24">
        <v>1210</v>
      </c>
      <c r="F759" s="17" t="s">
        <v>165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12540</v>
      </c>
      <c r="K759" s="17"/>
      <c r="L759" s="17"/>
      <c r="M759" s="21">
        <v>1100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9384</v>
      </c>
      <c r="B760" s="17" t="s">
        <v>9384</v>
      </c>
      <c r="C760" s="17" t="s">
        <v>9385</v>
      </c>
      <c r="D760" s="17" t="s">
        <v>21</v>
      </c>
      <c r="E760" s="24">
        <v>1210</v>
      </c>
      <c r="F760" s="17" t="s">
        <v>167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12540</v>
      </c>
      <c r="K760" s="17"/>
      <c r="L760" s="17"/>
      <c r="M760" s="21">
        <v>1200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9386</v>
      </c>
      <c r="B761" s="17" t="s">
        <v>9386</v>
      </c>
      <c r="C761" s="17" t="s">
        <v>9387</v>
      </c>
      <c r="D761" s="17" t="s">
        <v>21</v>
      </c>
      <c r="E761" s="24">
        <v>1210</v>
      </c>
      <c r="F761" s="17" t="s">
        <v>169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12540</v>
      </c>
      <c r="K761" s="17"/>
      <c r="L761" s="17"/>
      <c r="M761" s="21">
        <v>1300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9388</v>
      </c>
      <c r="B762" s="17" t="s">
        <v>9388</v>
      </c>
      <c r="C762" s="17" t="s">
        <v>9389</v>
      </c>
      <c r="D762" s="17" t="s">
        <v>21</v>
      </c>
      <c r="E762" s="24">
        <v>1210</v>
      </c>
      <c r="F762" s="17" t="s">
        <v>171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12540</v>
      </c>
      <c r="K762" s="17"/>
      <c r="L762" s="17"/>
      <c r="M762" s="21">
        <v>1500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9390</v>
      </c>
      <c r="B763" s="17" t="s">
        <v>9390</v>
      </c>
      <c r="C763" s="17" t="s">
        <v>9391</v>
      </c>
      <c r="D763" s="17" t="s">
        <v>21</v>
      </c>
      <c r="E763" s="24">
        <v>1210</v>
      </c>
      <c r="F763" s="17" t="s">
        <v>175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12540</v>
      </c>
      <c r="K763" s="17"/>
      <c r="L763" s="17"/>
      <c r="M763" s="21">
        <v>1600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9392</v>
      </c>
      <c r="B764" s="17" t="s">
        <v>9392</v>
      </c>
      <c r="C764" s="17" t="s">
        <v>9393</v>
      </c>
      <c r="D764" s="17" t="s">
        <v>21</v>
      </c>
      <c r="E764" s="24">
        <v>1210</v>
      </c>
      <c r="F764" s="17" t="s">
        <v>181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12540</v>
      </c>
      <c r="K764" s="17"/>
      <c r="L764" s="17"/>
      <c r="M764" s="21">
        <v>1800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9394</v>
      </c>
      <c r="B765" s="17" t="s">
        <v>9394</v>
      </c>
      <c r="C765" s="17" t="s">
        <v>9395</v>
      </c>
      <c r="D765" s="17" t="s">
        <v>21</v>
      </c>
      <c r="E765" s="24">
        <v>1210</v>
      </c>
      <c r="F765" s="17" t="s">
        <v>183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12540</v>
      </c>
      <c r="K765" s="17"/>
      <c r="L765" s="17"/>
      <c r="M765" s="21">
        <v>2000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9396</v>
      </c>
      <c r="B766" s="17" t="s">
        <v>9396</v>
      </c>
      <c r="C766" s="17" t="s">
        <v>9397</v>
      </c>
      <c r="D766" s="17" t="s">
        <v>21</v>
      </c>
      <c r="E766" s="24">
        <v>1210</v>
      </c>
      <c r="F766" s="17" t="s">
        <v>187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12540</v>
      </c>
      <c r="K766" s="17"/>
      <c r="L766" s="17"/>
      <c r="M766" s="21">
        <v>2200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9398</v>
      </c>
      <c r="B767" s="17" t="s">
        <v>9398</v>
      </c>
      <c r="C767" s="17" t="s">
        <v>9399</v>
      </c>
      <c r="D767" s="17" t="s">
        <v>21</v>
      </c>
      <c r="E767" s="24">
        <v>1210</v>
      </c>
      <c r="F767" s="17" t="s">
        <v>191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12540</v>
      </c>
      <c r="K767" s="17"/>
      <c r="L767" s="17"/>
      <c r="M767" s="21">
        <v>2400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9400</v>
      </c>
      <c r="B768" s="17" t="s">
        <v>9400</v>
      </c>
      <c r="C768" s="17" t="s">
        <v>9401</v>
      </c>
      <c r="D768" s="17" t="s">
        <v>21</v>
      </c>
      <c r="E768" s="24">
        <v>1210</v>
      </c>
      <c r="F768" s="17" t="s">
        <v>193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12540</v>
      </c>
      <c r="K768" s="17"/>
      <c r="L768" s="17"/>
      <c r="M768" s="21">
        <v>2700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9402</v>
      </c>
      <c r="B769" s="17" t="s">
        <v>9402</v>
      </c>
      <c r="C769" s="17" t="s">
        <v>9403</v>
      </c>
      <c r="D769" s="17" t="s">
        <v>21</v>
      </c>
      <c r="E769" s="24">
        <v>1210</v>
      </c>
      <c r="F769" s="17" t="s">
        <v>197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12540</v>
      </c>
      <c r="K769" s="17"/>
      <c r="L769" s="17"/>
      <c r="M769" s="21">
        <v>3000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9404</v>
      </c>
      <c r="B770" s="17" t="s">
        <v>9404</v>
      </c>
      <c r="C770" s="17" t="s">
        <v>9405</v>
      </c>
      <c r="D770" s="17" t="s">
        <v>21</v>
      </c>
      <c r="E770" s="24">
        <v>1210</v>
      </c>
      <c r="F770" s="17" t="s">
        <v>201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12540</v>
      </c>
      <c r="K770" s="17"/>
      <c r="L770" s="17"/>
      <c r="M770" s="21">
        <v>3300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9406</v>
      </c>
      <c r="B771" s="17" t="s">
        <v>9406</v>
      </c>
      <c r="C771" s="17" t="s">
        <v>9407</v>
      </c>
      <c r="D771" s="17" t="s">
        <v>21</v>
      </c>
      <c r="E771" s="24">
        <v>1210</v>
      </c>
      <c r="F771" s="17" t="s">
        <v>203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12540</v>
      </c>
      <c r="K771" s="17"/>
      <c r="L771" s="17"/>
      <c r="M771" s="21">
        <v>3600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9408</v>
      </c>
      <c r="B772" s="17" t="s">
        <v>9408</v>
      </c>
      <c r="C772" s="17" t="s">
        <v>9409</v>
      </c>
      <c r="D772" s="17" t="s">
        <v>21</v>
      </c>
      <c r="E772" s="24">
        <v>1210</v>
      </c>
      <c r="F772" s="17" t="s">
        <v>205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12540</v>
      </c>
      <c r="K772" s="17"/>
      <c r="L772" s="17"/>
      <c r="M772" s="21">
        <v>3900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9410</v>
      </c>
      <c r="B773" s="17" t="s">
        <v>9410</v>
      </c>
      <c r="C773" s="17" t="s">
        <v>9411</v>
      </c>
      <c r="D773" s="17" t="s">
        <v>21</v>
      </c>
      <c r="E773" s="24">
        <v>1210</v>
      </c>
      <c r="F773" s="17" t="s">
        <v>207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12540</v>
      </c>
      <c r="K773" s="17"/>
      <c r="L773" s="17"/>
      <c r="M773" s="21">
        <v>4300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9412</v>
      </c>
      <c r="B774" s="17" t="s">
        <v>9412</v>
      </c>
      <c r="C774" s="17" t="s">
        <v>9413</v>
      </c>
      <c r="D774" s="17" t="s">
        <v>21</v>
      </c>
      <c r="E774" s="24">
        <v>1210</v>
      </c>
      <c r="F774" s="17" t="s">
        <v>209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12540</v>
      </c>
      <c r="K774" s="17"/>
      <c r="L774" s="17"/>
      <c r="M774" s="21">
        <v>4700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9414</v>
      </c>
      <c r="B775" s="17" t="s">
        <v>9414</v>
      </c>
      <c r="C775" s="17" t="s">
        <v>9415</v>
      </c>
      <c r="D775" s="17" t="s">
        <v>21</v>
      </c>
      <c r="E775" s="24">
        <v>1210</v>
      </c>
      <c r="F775" s="17" t="s">
        <v>213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12540</v>
      </c>
      <c r="K775" s="17"/>
      <c r="L775" s="17"/>
      <c r="M775" s="21">
        <v>5100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>
      <c r="A776" s="17" t="s">
        <v>9416</v>
      </c>
      <c r="B776" s="17" t="s">
        <v>9416</v>
      </c>
      <c r="C776" s="17" t="s">
        <v>9417</v>
      </c>
      <c r="D776" s="17" t="s">
        <v>21</v>
      </c>
      <c r="E776" s="24">
        <v>1210</v>
      </c>
      <c r="F776" s="17" t="s">
        <v>215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12540</v>
      </c>
      <c r="K776" s="17"/>
      <c r="L776" s="17"/>
      <c r="M776" s="21">
        <v>5600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9418</v>
      </c>
      <c r="B777" s="17" t="s">
        <v>9418</v>
      </c>
      <c r="C777" s="17" t="s">
        <v>9419</v>
      </c>
      <c r="D777" s="17" t="s">
        <v>21</v>
      </c>
      <c r="E777" s="24">
        <v>1210</v>
      </c>
      <c r="F777" s="17" t="s">
        <v>217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12540</v>
      </c>
      <c r="K777" s="17"/>
      <c r="L777" s="17"/>
      <c r="M777" s="21">
        <v>6200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9420</v>
      </c>
      <c r="B778" s="17" t="s">
        <v>9420</v>
      </c>
      <c r="C778" s="17" t="s">
        <v>9421</v>
      </c>
      <c r="D778" s="17" t="s">
        <v>21</v>
      </c>
      <c r="E778" s="24">
        <v>1210</v>
      </c>
      <c r="F778" s="17" t="s">
        <v>219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12540</v>
      </c>
      <c r="K778" s="17"/>
      <c r="L778" s="17"/>
      <c r="M778" s="21">
        <v>6800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9422</v>
      </c>
      <c r="B779" s="17" t="s">
        <v>9422</v>
      </c>
      <c r="C779" s="17" t="s">
        <v>9423</v>
      </c>
      <c r="D779" s="17" t="s">
        <v>21</v>
      </c>
      <c r="E779" s="24">
        <v>1210</v>
      </c>
      <c r="F779" s="17" t="s">
        <v>221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12540</v>
      </c>
      <c r="K779" s="17"/>
      <c r="L779" s="17"/>
      <c r="M779" s="21">
        <v>7500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9424</v>
      </c>
      <c r="B780" s="17" t="s">
        <v>9424</v>
      </c>
      <c r="C780" s="17" t="s">
        <v>9425</v>
      </c>
      <c r="D780" s="17" t="s">
        <v>21</v>
      </c>
      <c r="E780" s="24">
        <v>1210</v>
      </c>
      <c r="F780" s="17" t="s">
        <v>223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12540</v>
      </c>
      <c r="K780" s="17"/>
      <c r="L780" s="17"/>
      <c r="M780" s="21">
        <v>8200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9426</v>
      </c>
      <c r="B781" s="17" t="s">
        <v>9426</v>
      </c>
      <c r="C781" s="17" t="s">
        <v>9427</v>
      </c>
      <c r="D781" s="17" t="s">
        <v>21</v>
      </c>
      <c r="E781" s="24">
        <v>1210</v>
      </c>
      <c r="F781" s="17" t="s">
        <v>225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12540</v>
      </c>
      <c r="K781" s="17"/>
      <c r="L781" s="17"/>
      <c r="M781" s="21">
        <v>9100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9428</v>
      </c>
      <c r="B782" s="17" t="s">
        <v>9428</v>
      </c>
      <c r="C782" s="17" t="s">
        <v>9429</v>
      </c>
      <c r="D782" s="17" t="s">
        <v>21</v>
      </c>
      <c r="E782" s="24">
        <v>1210</v>
      </c>
      <c r="F782" s="17" t="s">
        <v>229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12540</v>
      </c>
      <c r="K782" s="17"/>
      <c r="L782" s="17"/>
      <c r="M782" s="21">
        <v>10000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9430</v>
      </c>
      <c r="B783" s="17" t="s">
        <v>9430</v>
      </c>
      <c r="C783" s="17" t="s">
        <v>9431</v>
      </c>
      <c r="D783" s="17" t="s">
        <v>21</v>
      </c>
      <c r="E783" s="24">
        <v>1210</v>
      </c>
      <c r="F783" s="17" t="s">
        <v>233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12540</v>
      </c>
      <c r="K783" s="17"/>
      <c r="L783" s="17"/>
      <c r="M783" s="21">
        <v>11000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9432</v>
      </c>
      <c r="B784" s="17" t="s">
        <v>9432</v>
      </c>
      <c r="C784" s="17" t="s">
        <v>9433</v>
      </c>
      <c r="D784" s="17" t="s">
        <v>21</v>
      </c>
      <c r="E784" s="24">
        <v>1210</v>
      </c>
      <c r="F784" s="17" t="s">
        <v>235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12540</v>
      </c>
      <c r="K784" s="17"/>
      <c r="L784" s="17"/>
      <c r="M784" s="21">
        <v>12000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9434</v>
      </c>
      <c r="B785" s="17" t="s">
        <v>9434</v>
      </c>
      <c r="C785" s="17" t="s">
        <v>9435</v>
      </c>
      <c r="D785" s="17" t="s">
        <v>21</v>
      </c>
      <c r="E785" s="24">
        <v>1210</v>
      </c>
      <c r="F785" s="17" t="s">
        <v>239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12540</v>
      </c>
      <c r="K785" s="17"/>
      <c r="L785" s="17"/>
      <c r="M785" s="21">
        <v>13000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9436</v>
      </c>
      <c r="B786" s="17" t="s">
        <v>9436</v>
      </c>
      <c r="C786" s="17" t="s">
        <v>9437</v>
      </c>
      <c r="D786" s="17" t="s">
        <v>21</v>
      </c>
      <c r="E786" s="24">
        <v>1210</v>
      </c>
      <c r="F786" s="17" t="s">
        <v>243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12540</v>
      </c>
      <c r="K786" s="17"/>
      <c r="L786" s="17"/>
      <c r="M786" s="21">
        <v>15000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9438</v>
      </c>
      <c r="B787" s="17" t="s">
        <v>9438</v>
      </c>
      <c r="C787" s="17" t="s">
        <v>9439</v>
      </c>
      <c r="D787" s="17" t="s">
        <v>21</v>
      </c>
      <c r="E787" s="24">
        <v>1210</v>
      </c>
      <c r="F787" s="17" t="s">
        <v>247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12540</v>
      </c>
      <c r="K787" s="17"/>
      <c r="L787" s="17"/>
      <c r="M787" s="21">
        <v>16000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9440</v>
      </c>
      <c r="B788" s="17" t="s">
        <v>9440</v>
      </c>
      <c r="C788" s="17" t="s">
        <v>9441</v>
      </c>
      <c r="D788" s="17" t="s">
        <v>21</v>
      </c>
      <c r="E788" s="24">
        <v>1210</v>
      </c>
      <c r="F788" s="17" t="s">
        <v>251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12540</v>
      </c>
      <c r="K788" s="17"/>
      <c r="L788" s="17"/>
      <c r="M788" s="21">
        <v>18000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9442</v>
      </c>
      <c r="B789" s="17" t="s">
        <v>9442</v>
      </c>
      <c r="C789" s="17" t="s">
        <v>9443</v>
      </c>
      <c r="D789" s="17" t="s">
        <v>21</v>
      </c>
      <c r="E789" s="24">
        <v>1210</v>
      </c>
      <c r="F789" s="17" t="s">
        <v>255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12540</v>
      </c>
      <c r="K789" s="17"/>
      <c r="L789" s="17"/>
      <c r="M789" s="21">
        <v>20000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9444</v>
      </c>
      <c r="B790" s="17" t="s">
        <v>9444</v>
      </c>
      <c r="C790" s="17" t="s">
        <v>9445</v>
      </c>
      <c r="D790" s="17" t="s">
        <v>21</v>
      </c>
      <c r="E790" s="24">
        <v>1210</v>
      </c>
      <c r="F790" s="17" t="s">
        <v>257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12540</v>
      </c>
      <c r="K790" s="17"/>
      <c r="L790" s="17"/>
      <c r="M790" s="21">
        <v>22000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9446</v>
      </c>
      <c r="B791" s="17" t="s">
        <v>9446</v>
      </c>
      <c r="C791" s="17" t="s">
        <v>9447</v>
      </c>
      <c r="D791" s="17" t="s">
        <v>21</v>
      </c>
      <c r="E791" s="24">
        <v>1210</v>
      </c>
      <c r="F791" s="17" t="s">
        <v>259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12540</v>
      </c>
      <c r="K791" s="17"/>
      <c r="L791" s="17"/>
      <c r="M791" s="21">
        <v>24000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9448</v>
      </c>
      <c r="B792" s="17" t="s">
        <v>9448</v>
      </c>
      <c r="C792" s="17" t="s">
        <v>9449</v>
      </c>
      <c r="D792" s="17" t="s">
        <v>21</v>
      </c>
      <c r="E792" s="24">
        <v>1210</v>
      </c>
      <c r="F792" s="17" t="s">
        <v>263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12540</v>
      </c>
      <c r="K792" s="17"/>
      <c r="L792" s="17"/>
      <c r="M792" s="21">
        <v>27000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9450</v>
      </c>
      <c r="B793" s="17" t="s">
        <v>9450</v>
      </c>
      <c r="C793" s="17" t="s">
        <v>9451</v>
      </c>
      <c r="D793" s="17" t="s">
        <v>21</v>
      </c>
      <c r="E793" s="24">
        <v>1210</v>
      </c>
      <c r="F793" s="17" t="s">
        <v>265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12540</v>
      </c>
      <c r="K793" s="17"/>
      <c r="L793" s="17"/>
      <c r="M793" s="21">
        <v>30000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9452</v>
      </c>
      <c r="B794" s="17" t="s">
        <v>9452</v>
      </c>
      <c r="C794" s="17" t="s">
        <v>9453</v>
      </c>
      <c r="D794" s="17" t="s">
        <v>21</v>
      </c>
      <c r="E794" s="24">
        <v>1210</v>
      </c>
      <c r="F794" s="17" t="s">
        <v>267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12540</v>
      </c>
      <c r="K794" s="17"/>
      <c r="L794" s="17"/>
      <c r="M794" s="21">
        <v>33000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9454</v>
      </c>
      <c r="B795" s="17" t="s">
        <v>9454</v>
      </c>
      <c r="C795" s="17" t="s">
        <v>9455</v>
      </c>
      <c r="D795" s="17" t="s">
        <v>21</v>
      </c>
      <c r="E795" s="24">
        <v>1210</v>
      </c>
      <c r="F795" s="17" t="s">
        <v>269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12540</v>
      </c>
      <c r="K795" s="17"/>
      <c r="L795" s="17"/>
      <c r="M795" s="21">
        <v>36000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9456</v>
      </c>
      <c r="B796" s="17" t="s">
        <v>9456</v>
      </c>
      <c r="C796" s="17" t="s">
        <v>9457</v>
      </c>
      <c r="D796" s="17" t="s">
        <v>21</v>
      </c>
      <c r="E796" s="24">
        <v>1210</v>
      </c>
      <c r="F796" s="17" t="s">
        <v>273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12540</v>
      </c>
      <c r="K796" s="17"/>
      <c r="L796" s="17"/>
      <c r="M796" s="21">
        <v>39000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9458</v>
      </c>
      <c r="B797" s="17" t="s">
        <v>9458</v>
      </c>
      <c r="C797" s="17" t="s">
        <v>9459</v>
      </c>
      <c r="D797" s="17" t="s">
        <v>21</v>
      </c>
      <c r="E797" s="24">
        <v>1210</v>
      </c>
      <c r="F797" s="17" t="s">
        <v>277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12540</v>
      </c>
      <c r="K797" s="17"/>
      <c r="L797" s="17"/>
      <c r="M797" s="21">
        <v>43000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9460</v>
      </c>
      <c r="B798" s="17" t="s">
        <v>9460</v>
      </c>
      <c r="C798" s="17" t="s">
        <v>9461</v>
      </c>
      <c r="D798" s="17" t="s">
        <v>21</v>
      </c>
      <c r="E798" s="24">
        <v>1210</v>
      </c>
      <c r="F798" s="17" t="s">
        <v>279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12540</v>
      </c>
      <c r="K798" s="17"/>
      <c r="L798" s="17"/>
      <c r="M798" s="21">
        <v>47000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9462</v>
      </c>
      <c r="B799" s="17" t="s">
        <v>9462</v>
      </c>
      <c r="C799" s="17" t="s">
        <v>9463</v>
      </c>
      <c r="D799" s="17" t="s">
        <v>21</v>
      </c>
      <c r="E799" s="24">
        <v>1210</v>
      </c>
      <c r="F799" s="17" t="s">
        <v>283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12540</v>
      </c>
      <c r="K799" s="17"/>
      <c r="L799" s="17"/>
      <c r="M799" s="21">
        <v>51000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9464</v>
      </c>
      <c r="B800" s="17" t="s">
        <v>9464</v>
      </c>
      <c r="C800" s="17" t="s">
        <v>9465</v>
      </c>
      <c r="D800" s="17" t="s">
        <v>21</v>
      </c>
      <c r="E800" s="24">
        <v>1210</v>
      </c>
      <c r="F800" s="17" t="s">
        <v>287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12540</v>
      </c>
      <c r="K800" s="17"/>
      <c r="L800" s="17"/>
      <c r="M800" s="21">
        <v>56000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9466</v>
      </c>
      <c r="B801" s="17" t="s">
        <v>9466</v>
      </c>
      <c r="C801" s="17" t="s">
        <v>9467</v>
      </c>
      <c r="D801" s="17" t="s">
        <v>21</v>
      </c>
      <c r="E801" s="24">
        <v>1210</v>
      </c>
      <c r="F801" s="17" t="s">
        <v>291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12540</v>
      </c>
      <c r="K801" s="17"/>
      <c r="L801" s="17"/>
      <c r="M801" s="21">
        <v>62000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9468</v>
      </c>
      <c r="B802" s="17" t="s">
        <v>9468</v>
      </c>
      <c r="C802" s="17" t="s">
        <v>9469</v>
      </c>
      <c r="D802" s="17" t="s">
        <v>21</v>
      </c>
      <c r="E802" s="24">
        <v>1210</v>
      </c>
      <c r="F802" s="17" t="s">
        <v>295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12540</v>
      </c>
      <c r="K802" s="17"/>
      <c r="L802" s="17"/>
      <c r="M802" s="21">
        <v>68000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9470</v>
      </c>
      <c r="B803" s="17" t="s">
        <v>9470</v>
      </c>
      <c r="C803" s="17" t="s">
        <v>9471</v>
      </c>
      <c r="D803" s="17" t="s">
        <v>21</v>
      </c>
      <c r="E803" s="24">
        <v>1210</v>
      </c>
      <c r="F803" s="17" t="s">
        <v>299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12540</v>
      </c>
      <c r="K803" s="17"/>
      <c r="L803" s="17"/>
      <c r="M803" s="21">
        <v>75000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9472</v>
      </c>
      <c r="B804" s="17" t="s">
        <v>9472</v>
      </c>
      <c r="C804" s="17" t="s">
        <v>9473</v>
      </c>
      <c r="D804" s="17" t="s">
        <v>21</v>
      </c>
      <c r="E804" s="24">
        <v>1210</v>
      </c>
      <c r="F804" s="17" t="s">
        <v>301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12540</v>
      </c>
      <c r="K804" s="17"/>
      <c r="L804" s="17"/>
      <c r="M804" s="21">
        <v>82000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9474</v>
      </c>
      <c r="B805" s="17" t="s">
        <v>9474</v>
      </c>
      <c r="C805" s="17" t="s">
        <v>9475</v>
      </c>
      <c r="D805" s="17" t="s">
        <v>21</v>
      </c>
      <c r="E805" s="24">
        <v>1210</v>
      </c>
      <c r="F805" s="17" t="s">
        <v>303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12540</v>
      </c>
      <c r="K805" s="17"/>
      <c r="L805" s="17"/>
      <c r="M805" s="21">
        <v>91000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9476</v>
      </c>
      <c r="B806" s="17" t="s">
        <v>9476</v>
      </c>
      <c r="C806" s="17" t="s">
        <v>9477</v>
      </c>
      <c r="D806" s="17" t="s">
        <v>21</v>
      </c>
      <c r="E806" s="24">
        <v>1210</v>
      </c>
      <c r="F806" s="17" t="s">
        <v>305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12540</v>
      </c>
      <c r="K806" s="17"/>
      <c r="L806" s="17"/>
      <c r="M806" s="21">
        <v>100000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9478</v>
      </c>
      <c r="B807" s="17" t="s">
        <v>9478</v>
      </c>
      <c r="C807" s="17" t="s">
        <v>9479</v>
      </c>
      <c r="D807" s="17" t="s">
        <v>21</v>
      </c>
      <c r="E807" s="24">
        <v>1210</v>
      </c>
      <c r="F807" s="17" t="s">
        <v>309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12540</v>
      </c>
      <c r="K807" s="17"/>
      <c r="L807" s="17"/>
      <c r="M807" s="21">
        <v>110000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9480</v>
      </c>
      <c r="B808" s="17" t="s">
        <v>9480</v>
      </c>
      <c r="C808" s="17" t="s">
        <v>9481</v>
      </c>
      <c r="D808" s="17" t="s">
        <v>21</v>
      </c>
      <c r="E808" s="24">
        <v>1210</v>
      </c>
      <c r="F808" s="17" t="s">
        <v>313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12540</v>
      </c>
      <c r="K808" s="17"/>
      <c r="L808" s="17"/>
      <c r="M808" s="21">
        <v>120000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9482</v>
      </c>
      <c r="B809" s="17" t="s">
        <v>9482</v>
      </c>
      <c r="C809" s="17" t="s">
        <v>9483</v>
      </c>
      <c r="D809" s="17" t="s">
        <v>21</v>
      </c>
      <c r="E809" s="24">
        <v>1210</v>
      </c>
      <c r="F809" s="17" t="s">
        <v>317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12540</v>
      </c>
      <c r="K809" s="17"/>
      <c r="L809" s="17"/>
      <c r="M809" s="21">
        <v>130000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9484</v>
      </c>
      <c r="B810" s="17" t="s">
        <v>9484</v>
      </c>
      <c r="C810" s="17" t="s">
        <v>9485</v>
      </c>
      <c r="D810" s="17" t="s">
        <v>21</v>
      </c>
      <c r="E810" s="24">
        <v>1210</v>
      </c>
      <c r="F810" s="17" t="s">
        <v>321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12540</v>
      </c>
      <c r="K810" s="17"/>
      <c r="L810" s="17"/>
      <c r="M810" s="21">
        <v>150000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9486</v>
      </c>
      <c r="B811" s="17" t="s">
        <v>9486</v>
      </c>
      <c r="C811" s="17" t="s">
        <v>9487</v>
      </c>
      <c r="D811" s="17" t="s">
        <v>21</v>
      </c>
      <c r="E811" s="24">
        <v>1210</v>
      </c>
      <c r="F811" s="17" t="s">
        <v>323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12540</v>
      </c>
      <c r="K811" s="17"/>
      <c r="L811" s="17"/>
      <c r="M811" s="21">
        <v>160000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9488</v>
      </c>
      <c r="B812" s="17" t="s">
        <v>9488</v>
      </c>
      <c r="C812" s="17" t="s">
        <v>9489</v>
      </c>
      <c r="D812" s="17" t="s">
        <v>21</v>
      </c>
      <c r="E812" s="24">
        <v>1210</v>
      </c>
      <c r="F812" s="17" t="s">
        <v>327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12540</v>
      </c>
      <c r="K812" s="17"/>
      <c r="L812" s="17"/>
      <c r="M812" s="21">
        <v>180000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9490</v>
      </c>
      <c r="B813" s="17" t="s">
        <v>9490</v>
      </c>
      <c r="C813" s="17" t="s">
        <v>9491</v>
      </c>
      <c r="D813" s="17" t="s">
        <v>21</v>
      </c>
      <c r="E813" s="24">
        <v>1210</v>
      </c>
      <c r="F813" s="17" t="s">
        <v>331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12540</v>
      </c>
      <c r="K813" s="17"/>
      <c r="L813" s="17"/>
      <c r="M813" s="21">
        <v>200000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9492</v>
      </c>
      <c r="B814" s="17" t="s">
        <v>9492</v>
      </c>
      <c r="C814" s="17" t="s">
        <v>9493</v>
      </c>
      <c r="D814" s="17" t="s">
        <v>21</v>
      </c>
      <c r="E814" s="24">
        <v>1210</v>
      </c>
      <c r="F814" s="17" t="s">
        <v>333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12540</v>
      </c>
      <c r="K814" s="17"/>
      <c r="L814" s="17"/>
      <c r="M814" s="21">
        <v>220000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9494</v>
      </c>
      <c r="B815" s="17" t="s">
        <v>9494</v>
      </c>
      <c r="C815" s="17" t="s">
        <v>9495</v>
      </c>
      <c r="D815" s="17" t="s">
        <v>21</v>
      </c>
      <c r="E815" s="24">
        <v>1210</v>
      </c>
      <c r="F815" s="17" t="s">
        <v>335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12540</v>
      </c>
      <c r="K815" s="17"/>
      <c r="L815" s="17"/>
      <c r="M815" s="21">
        <v>240000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9496</v>
      </c>
      <c r="B816" s="17" t="s">
        <v>9496</v>
      </c>
      <c r="C816" s="17" t="s">
        <v>9497</v>
      </c>
      <c r="D816" s="17" t="s">
        <v>21</v>
      </c>
      <c r="E816" s="24">
        <v>1210</v>
      </c>
      <c r="F816" s="17" t="s">
        <v>337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12540</v>
      </c>
      <c r="K816" s="17"/>
      <c r="L816" s="17"/>
      <c r="M816" s="21">
        <v>270000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9498</v>
      </c>
      <c r="B817" s="17" t="s">
        <v>9498</v>
      </c>
      <c r="C817" s="17" t="s">
        <v>9499</v>
      </c>
      <c r="D817" s="17" t="s">
        <v>21</v>
      </c>
      <c r="E817" s="24">
        <v>1210</v>
      </c>
      <c r="F817" s="17" t="s">
        <v>339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12540</v>
      </c>
      <c r="K817" s="17"/>
      <c r="L817" s="17"/>
      <c r="M817" s="21">
        <v>300000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9500</v>
      </c>
      <c r="B818" s="17" t="s">
        <v>9500</v>
      </c>
      <c r="C818" s="16" t="s">
        <v>9501</v>
      </c>
      <c r="D818" s="16" t="s">
        <v>21</v>
      </c>
      <c r="E818" s="24">
        <v>1210</v>
      </c>
      <c r="F818" s="17" t="s">
        <v>341</v>
      </c>
      <c r="G818" s="17" t="str">
        <f>Config!$B$3</f>
        <v>SCH/R_IEC.SchLib</v>
      </c>
      <c r="H818" s="16" t="s">
        <v>419</v>
      </c>
      <c r="I818" s="18" t="s">
        <v>461</v>
      </c>
      <c r="J818" s="17" t="s">
        <v>12540</v>
      </c>
      <c r="K818" s="17"/>
      <c r="L818" s="17"/>
      <c r="M818" s="21">
        <v>330000</v>
      </c>
      <c r="N818" s="17"/>
      <c r="O818" s="16"/>
      <c r="P818" s="17"/>
      <c r="Q818" s="16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9502</v>
      </c>
      <c r="B819" s="17" t="s">
        <v>9502</v>
      </c>
      <c r="C819" s="17" t="s">
        <v>9503</v>
      </c>
      <c r="D819" s="17" t="s">
        <v>21</v>
      </c>
      <c r="E819" s="24">
        <v>1210</v>
      </c>
      <c r="F819" s="17" t="s">
        <v>345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12540</v>
      </c>
      <c r="K819" s="17"/>
      <c r="L819" s="17"/>
      <c r="M819" s="21">
        <v>360000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9504</v>
      </c>
      <c r="B820" s="17" t="s">
        <v>9504</v>
      </c>
      <c r="C820" s="17" t="s">
        <v>9505</v>
      </c>
      <c r="D820" s="17" t="s">
        <v>21</v>
      </c>
      <c r="E820" s="24">
        <v>1210</v>
      </c>
      <c r="F820" s="17" t="s">
        <v>349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12540</v>
      </c>
      <c r="K820" s="17"/>
      <c r="L820" s="17"/>
      <c r="M820" s="21">
        <v>390000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9506</v>
      </c>
      <c r="B821" s="17" t="s">
        <v>9506</v>
      </c>
      <c r="C821" s="17" t="s">
        <v>9507</v>
      </c>
      <c r="D821" s="17" t="s">
        <v>21</v>
      </c>
      <c r="E821" s="24">
        <v>1210</v>
      </c>
      <c r="F821" s="17" t="s">
        <v>351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12540</v>
      </c>
      <c r="K821" s="17"/>
      <c r="L821" s="17"/>
      <c r="M821" s="21">
        <v>430000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9508</v>
      </c>
      <c r="B822" s="17" t="s">
        <v>9508</v>
      </c>
      <c r="C822" s="17" t="s">
        <v>9509</v>
      </c>
      <c r="D822" s="17" t="s">
        <v>21</v>
      </c>
      <c r="E822" s="24">
        <v>1210</v>
      </c>
      <c r="F822" s="17" t="s">
        <v>353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12540</v>
      </c>
      <c r="K822" s="17"/>
      <c r="L822" s="17"/>
      <c r="M822" s="21">
        <v>470000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9510</v>
      </c>
      <c r="B823" s="17" t="s">
        <v>9510</v>
      </c>
      <c r="C823" s="17" t="s">
        <v>9511</v>
      </c>
      <c r="D823" s="17" t="s">
        <v>21</v>
      </c>
      <c r="E823" s="24">
        <v>1210</v>
      </c>
      <c r="F823" s="17" t="s">
        <v>355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12540</v>
      </c>
      <c r="K823" s="17"/>
      <c r="L823" s="17"/>
      <c r="M823" s="21">
        <v>510000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9512</v>
      </c>
      <c r="B824" s="17" t="s">
        <v>9512</v>
      </c>
      <c r="C824" s="17" t="s">
        <v>9513</v>
      </c>
      <c r="D824" s="17" t="s">
        <v>21</v>
      </c>
      <c r="E824" s="24">
        <v>1210</v>
      </c>
      <c r="F824" s="17" t="s">
        <v>357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12540</v>
      </c>
      <c r="K824" s="17"/>
      <c r="L824" s="17"/>
      <c r="M824" s="21">
        <v>560000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9514</v>
      </c>
      <c r="B825" s="17" t="s">
        <v>9514</v>
      </c>
      <c r="C825" s="17" t="s">
        <v>9515</v>
      </c>
      <c r="D825" s="17" t="s">
        <v>21</v>
      </c>
      <c r="E825" s="24">
        <v>1210</v>
      </c>
      <c r="F825" s="17" t="s">
        <v>359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12540</v>
      </c>
      <c r="K825" s="17"/>
      <c r="L825" s="17"/>
      <c r="M825" s="21">
        <v>620000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9516</v>
      </c>
      <c r="B826" s="17" t="s">
        <v>9516</v>
      </c>
      <c r="C826" s="17" t="s">
        <v>9517</v>
      </c>
      <c r="D826" s="17" t="s">
        <v>21</v>
      </c>
      <c r="E826" s="24">
        <v>1210</v>
      </c>
      <c r="F826" s="17" t="s">
        <v>361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12540</v>
      </c>
      <c r="K826" s="17"/>
      <c r="L826" s="17"/>
      <c r="M826" s="21">
        <v>680000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9518</v>
      </c>
      <c r="B827" s="17" t="s">
        <v>9518</v>
      </c>
      <c r="C827" s="17" t="s">
        <v>9519</v>
      </c>
      <c r="D827" s="17" t="s">
        <v>21</v>
      </c>
      <c r="E827" s="24">
        <v>1210</v>
      </c>
      <c r="F827" s="17" t="s">
        <v>363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12540</v>
      </c>
      <c r="K827" s="17"/>
      <c r="L827" s="17"/>
      <c r="M827" s="21">
        <v>750000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9520</v>
      </c>
      <c r="B828" s="17" t="s">
        <v>9520</v>
      </c>
      <c r="C828" s="17" t="s">
        <v>9521</v>
      </c>
      <c r="D828" s="17" t="s">
        <v>21</v>
      </c>
      <c r="E828" s="24">
        <v>1210</v>
      </c>
      <c r="F828" s="17" t="s">
        <v>365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12540</v>
      </c>
      <c r="K828" s="17"/>
      <c r="L828" s="17"/>
      <c r="M828" s="21">
        <v>820000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9522</v>
      </c>
      <c r="B829" s="17" t="s">
        <v>9522</v>
      </c>
      <c r="C829" s="17" t="s">
        <v>9523</v>
      </c>
      <c r="D829" s="17" t="s">
        <v>21</v>
      </c>
      <c r="E829" s="24">
        <v>1210</v>
      </c>
      <c r="F829" s="17" t="s">
        <v>367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12540</v>
      </c>
      <c r="K829" s="17"/>
      <c r="L829" s="17"/>
      <c r="M829" s="21">
        <v>910000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9524</v>
      </c>
      <c r="B830" s="17" t="s">
        <v>9524</v>
      </c>
      <c r="C830" s="17" t="s">
        <v>9525</v>
      </c>
      <c r="D830" s="17" t="s">
        <v>21</v>
      </c>
      <c r="E830" s="24">
        <v>1210</v>
      </c>
      <c r="F830" s="17" t="s">
        <v>369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12540</v>
      </c>
      <c r="K830" s="17"/>
      <c r="L830" s="17"/>
      <c r="M830" s="21">
        <v>1000000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9526</v>
      </c>
      <c r="B831" s="17" t="s">
        <v>9526</v>
      </c>
      <c r="C831" s="17" t="s">
        <v>9527</v>
      </c>
      <c r="D831" s="17" t="s">
        <v>21</v>
      </c>
      <c r="E831" s="24">
        <v>1210</v>
      </c>
      <c r="F831" s="17" t="s">
        <v>371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12540</v>
      </c>
      <c r="K831" s="17"/>
      <c r="L831" s="17"/>
      <c r="M831" s="21">
        <v>1100000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9528</v>
      </c>
      <c r="B832" s="17" t="s">
        <v>9528</v>
      </c>
      <c r="C832" s="17" t="s">
        <v>9529</v>
      </c>
      <c r="D832" s="17" t="s">
        <v>21</v>
      </c>
      <c r="E832" s="24">
        <v>1210</v>
      </c>
      <c r="F832" s="17" t="s">
        <v>373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12540</v>
      </c>
      <c r="K832" s="17"/>
      <c r="L832" s="17"/>
      <c r="M832" s="21">
        <v>1200000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9530</v>
      </c>
      <c r="B833" s="17" t="s">
        <v>9530</v>
      </c>
      <c r="C833" s="17" t="s">
        <v>9531</v>
      </c>
      <c r="D833" s="17" t="s">
        <v>21</v>
      </c>
      <c r="E833" s="24">
        <v>1210</v>
      </c>
      <c r="F833" s="17" t="s">
        <v>375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12540</v>
      </c>
      <c r="K833" s="17"/>
      <c r="L833" s="17"/>
      <c r="M833" s="21">
        <v>1300000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9532</v>
      </c>
      <c r="B834" s="17" t="s">
        <v>9532</v>
      </c>
      <c r="C834" s="17" t="s">
        <v>9533</v>
      </c>
      <c r="D834" s="17" t="s">
        <v>21</v>
      </c>
      <c r="E834" s="24">
        <v>1210</v>
      </c>
      <c r="F834" s="17" t="s">
        <v>377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12540</v>
      </c>
      <c r="K834" s="17"/>
      <c r="L834" s="17"/>
      <c r="M834" s="21">
        <v>1500000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9534</v>
      </c>
      <c r="B835" s="17" t="s">
        <v>9534</v>
      </c>
      <c r="C835" s="17" t="s">
        <v>9535</v>
      </c>
      <c r="D835" s="17" t="s">
        <v>21</v>
      </c>
      <c r="E835" s="24">
        <v>1210</v>
      </c>
      <c r="F835" s="17" t="s">
        <v>379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12540</v>
      </c>
      <c r="K835" s="17"/>
      <c r="L835" s="17"/>
      <c r="M835" s="21">
        <v>1600000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9536</v>
      </c>
      <c r="B836" s="17" t="s">
        <v>9536</v>
      </c>
      <c r="C836" s="17" t="s">
        <v>9537</v>
      </c>
      <c r="D836" s="17" t="s">
        <v>21</v>
      </c>
      <c r="E836" s="24">
        <v>1210</v>
      </c>
      <c r="F836" s="17" t="s">
        <v>381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12540</v>
      </c>
      <c r="K836" s="17"/>
      <c r="L836" s="17"/>
      <c r="M836" s="21">
        <v>1800000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9538</v>
      </c>
      <c r="B837" s="17" t="s">
        <v>9538</v>
      </c>
      <c r="C837" s="17" t="s">
        <v>9539</v>
      </c>
      <c r="D837" s="17" t="s">
        <v>21</v>
      </c>
      <c r="E837" s="24">
        <v>1210</v>
      </c>
      <c r="F837" s="17" t="s">
        <v>383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12540</v>
      </c>
      <c r="K837" s="17"/>
      <c r="L837" s="17"/>
      <c r="M837" s="21">
        <v>2000000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9540</v>
      </c>
      <c r="B838" s="17" t="s">
        <v>9540</v>
      </c>
      <c r="C838" s="17" t="s">
        <v>9541</v>
      </c>
      <c r="D838" s="17" t="s">
        <v>21</v>
      </c>
      <c r="E838" s="24">
        <v>1210</v>
      </c>
      <c r="F838" s="17" t="s">
        <v>385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12540</v>
      </c>
      <c r="K838" s="17"/>
      <c r="L838" s="17"/>
      <c r="M838" s="21">
        <v>2200000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9542</v>
      </c>
      <c r="B839" s="17" t="s">
        <v>9542</v>
      </c>
      <c r="C839" s="17" t="s">
        <v>9543</v>
      </c>
      <c r="D839" s="17" t="s">
        <v>21</v>
      </c>
      <c r="E839" s="24">
        <v>1210</v>
      </c>
      <c r="F839" s="17" t="s">
        <v>387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12540</v>
      </c>
      <c r="K839" s="17"/>
      <c r="L839" s="17"/>
      <c r="M839" s="21">
        <v>2400000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9544</v>
      </c>
      <c r="B840" s="17" t="s">
        <v>9544</v>
      </c>
      <c r="C840" s="17" t="s">
        <v>9545</v>
      </c>
      <c r="D840" s="17" t="s">
        <v>21</v>
      </c>
      <c r="E840" s="24">
        <v>1210</v>
      </c>
      <c r="F840" s="17" t="s">
        <v>389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12540</v>
      </c>
      <c r="K840" s="17"/>
      <c r="L840" s="17"/>
      <c r="M840" s="21">
        <v>2700000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9546</v>
      </c>
      <c r="B841" s="17" t="s">
        <v>9546</v>
      </c>
      <c r="C841" s="17" t="s">
        <v>9547</v>
      </c>
      <c r="D841" s="17" t="s">
        <v>21</v>
      </c>
      <c r="E841" s="24">
        <v>1210</v>
      </c>
      <c r="F841" s="17" t="s">
        <v>391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12540</v>
      </c>
      <c r="K841" s="17"/>
      <c r="L841" s="17"/>
      <c r="M841" s="21">
        <v>3000000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9548</v>
      </c>
      <c r="B842" s="17" t="s">
        <v>9548</v>
      </c>
      <c r="C842" s="17" t="s">
        <v>9549</v>
      </c>
      <c r="D842" s="17" t="s">
        <v>21</v>
      </c>
      <c r="E842" s="24">
        <v>1210</v>
      </c>
      <c r="F842" s="17" t="s">
        <v>393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12540</v>
      </c>
      <c r="K842" s="17"/>
      <c r="L842" s="17"/>
      <c r="M842" s="21">
        <v>3300000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9550</v>
      </c>
      <c r="B843" s="17" t="s">
        <v>9550</v>
      </c>
      <c r="C843" s="17" t="s">
        <v>9551</v>
      </c>
      <c r="D843" s="17" t="s">
        <v>21</v>
      </c>
      <c r="E843" s="24">
        <v>1210</v>
      </c>
      <c r="F843" s="17" t="s">
        <v>395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12540</v>
      </c>
      <c r="K843" s="17"/>
      <c r="L843" s="17"/>
      <c r="M843" s="21">
        <v>3600000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9552</v>
      </c>
      <c r="B844" s="17" t="s">
        <v>9552</v>
      </c>
      <c r="C844" s="17" t="s">
        <v>9553</v>
      </c>
      <c r="D844" s="17" t="s">
        <v>21</v>
      </c>
      <c r="E844" s="24">
        <v>1210</v>
      </c>
      <c r="F844" s="17" t="s">
        <v>397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12540</v>
      </c>
      <c r="K844" s="17"/>
      <c r="L844" s="17"/>
      <c r="M844" s="21">
        <v>3900000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9554</v>
      </c>
      <c r="B845" s="17" t="s">
        <v>9554</v>
      </c>
      <c r="C845" s="17" t="s">
        <v>9555</v>
      </c>
      <c r="D845" s="17" t="s">
        <v>21</v>
      </c>
      <c r="E845" s="24">
        <v>1210</v>
      </c>
      <c r="F845" s="17" t="s">
        <v>399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12540</v>
      </c>
      <c r="K845" s="17"/>
      <c r="L845" s="17"/>
      <c r="M845" s="21">
        <v>4300000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9556</v>
      </c>
      <c r="B846" s="17" t="s">
        <v>9556</v>
      </c>
      <c r="C846" s="17" t="s">
        <v>9557</v>
      </c>
      <c r="D846" s="17" t="s">
        <v>21</v>
      </c>
      <c r="E846" s="24">
        <v>1210</v>
      </c>
      <c r="F846" s="17" t="s">
        <v>401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12540</v>
      </c>
      <c r="K846" s="17"/>
      <c r="L846" s="17"/>
      <c r="M846" s="21">
        <v>4700000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9558</v>
      </c>
      <c r="B847" s="17" t="s">
        <v>9558</v>
      </c>
      <c r="C847" s="17" t="s">
        <v>9559</v>
      </c>
      <c r="D847" s="17" t="s">
        <v>21</v>
      </c>
      <c r="E847" s="24">
        <v>1210</v>
      </c>
      <c r="F847" s="17" t="s">
        <v>403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12540</v>
      </c>
      <c r="K847" s="17"/>
      <c r="L847" s="17"/>
      <c r="M847" s="21">
        <v>5100000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9560</v>
      </c>
      <c r="B848" s="17" t="s">
        <v>9560</v>
      </c>
      <c r="C848" s="17" t="s">
        <v>9561</v>
      </c>
      <c r="D848" s="17" t="s">
        <v>21</v>
      </c>
      <c r="E848" s="24">
        <v>1210</v>
      </c>
      <c r="F848" s="17" t="s">
        <v>405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12540</v>
      </c>
      <c r="K848" s="17"/>
      <c r="L848" s="17"/>
      <c r="M848" s="21">
        <v>5600000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9562</v>
      </c>
      <c r="B849" s="17" t="s">
        <v>9562</v>
      </c>
      <c r="C849" s="17" t="s">
        <v>9563</v>
      </c>
      <c r="D849" s="17" t="s">
        <v>21</v>
      </c>
      <c r="E849" s="24">
        <v>1210</v>
      </c>
      <c r="F849" s="17" t="s">
        <v>407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12540</v>
      </c>
      <c r="K849" s="17"/>
      <c r="L849" s="17"/>
      <c r="M849" s="21">
        <v>6200000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9564</v>
      </c>
      <c r="B850" s="17" t="s">
        <v>9564</v>
      </c>
      <c r="C850" s="17" t="s">
        <v>9565</v>
      </c>
      <c r="D850" s="17" t="s">
        <v>21</v>
      </c>
      <c r="E850" s="24">
        <v>1210</v>
      </c>
      <c r="F850" s="17" t="s">
        <v>409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12540</v>
      </c>
      <c r="K850" s="17"/>
      <c r="L850" s="17"/>
      <c r="M850" s="21">
        <v>6800000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9566</v>
      </c>
      <c r="B851" s="17" t="s">
        <v>9566</v>
      </c>
      <c r="C851" s="17" t="s">
        <v>9567</v>
      </c>
      <c r="D851" s="17" t="s">
        <v>21</v>
      </c>
      <c r="E851" s="24">
        <v>1210</v>
      </c>
      <c r="F851" s="17" t="s">
        <v>411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12540</v>
      </c>
      <c r="K851" s="17"/>
      <c r="L851" s="17"/>
      <c r="M851" s="21">
        <v>7500000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9568</v>
      </c>
      <c r="B852" s="17" t="s">
        <v>9568</v>
      </c>
      <c r="C852" s="17" t="s">
        <v>9569</v>
      </c>
      <c r="D852" s="17" t="s">
        <v>21</v>
      </c>
      <c r="E852" s="24">
        <v>1210</v>
      </c>
      <c r="F852" s="17" t="s">
        <v>413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12540</v>
      </c>
      <c r="K852" s="17"/>
      <c r="L852" s="17"/>
      <c r="M852" s="21">
        <v>8200000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9570</v>
      </c>
      <c r="B853" s="17" t="s">
        <v>9570</v>
      </c>
      <c r="C853" s="17" t="s">
        <v>9571</v>
      </c>
      <c r="D853" s="17" t="s">
        <v>21</v>
      </c>
      <c r="E853" s="24">
        <v>1210</v>
      </c>
      <c r="F853" s="17" t="s">
        <v>415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12540</v>
      </c>
      <c r="K853" s="17"/>
      <c r="L853" s="17"/>
      <c r="M853" s="21">
        <v>9100000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9572</v>
      </c>
      <c r="B854" s="17" t="s">
        <v>9572</v>
      </c>
      <c r="C854" s="17" t="s">
        <v>9573</v>
      </c>
      <c r="D854" s="17" t="s">
        <v>21</v>
      </c>
      <c r="E854" s="24">
        <v>1210</v>
      </c>
      <c r="F854" s="17" t="s">
        <v>417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12540</v>
      </c>
      <c r="K854" s="17"/>
      <c r="L854" s="17"/>
      <c r="M854" s="21">
        <v>10000000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6" t="s">
        <v>10252</v>
      </c>
      <c r="B855" s="16" t="s">
        <v>10252</v>
      </c>
      <c r="C855" s="16" t="s">
        <v>10253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419</v>
      </c>
      <c r="I855" s="18" t="s">
        <v>461</v>
      </c>
      <c r="J855" s="41"/>
      <c r="K855" s="41"/>
      <c r="L855" s="41"/>
      <c r="M855" s="19">
        <v>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10254</v>
      </c>
      <c r="B856" s="17" t="s">
        <v>10254</v>
      </c>
      <c r="C856" s="17" t="s">
        <v>10255</v>
      </c>
      <c r="D856" s="17" t="s">
        <v>21</v>
      </c>
      <c r="E856" s="24">
        <v>1218</v>
      </c>
      <c r="F856" s="17" t="s">
        <v>29</v>
      </c>
      <c r="G856" s="17" t="str">
        <f>Config!$B$3</f>
        <v>SCH/R_IEC.SchLib</v>
      </c>
      <c r="H856" s="17" t="s">
        <v>419</v>
      </c>
      <c r="I856" s="17" t="s">
        <v>461</v>
      </c>
      <c r="J856" s="41"/>
      <c r="K856" s="41"/>
      <c r="L856" s="41"/>
      <c r="M856" s="17">
        <v>1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10256</v>
      </c>
      <c r="B857" s="17" t="s">
        <v>10256</v>
      </c>
      <c r="C857" s="17" t="s">
        <v>10257</v>
      </c>
      <c r="D857" s="17" t="s">
        <v>21</v>
      </c>
      <c r="E857" s="24">
        <v>1218</v>
      </c>
      <c r="F857" s="17" t="s">
        <v>1042</v>
      </c>
      <c r="G857" s="17" t="str">
        <f>Config!$B$3</f>
        <v>SCH/R_IEC.SchLib</v>
      </c>
      <c r="H857" s="17" t="s">
        <v>419</v>
      </c>
      <c r="I857" s="17" t="s">
        <v>461</v>
      </c>
      <c r="J857" s="41"/>
      <c r="K857" s="41"/>
      <c r="L857" s="41"/>
      <c r="M857" s="17">
        <v>1.1000000000000001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10258</v>
      </c>
      <c r="B858" s="17" t="s">
        <v>10258</v>
      </c>
      <c r="C858" s="17" t="s">
        <v>10259</v>
      </c>
      <c r="D858" s="17" t="s">
        <v>21</v>
      </c>
      <c r="E858" s="24">
        <v>1218</v>
      </c>
      <c r="F858" s="17" t="s">
        <v>31</v>
      </c>
      <c r="G858" s="17" t="str">
        <f>Config!$B$3</f>
        <v>SCH/R_IEC.SchLib</v>
      </c>
      <c r="H858" s="17" t="s">
        <v>419</v>
      </c>
      <c r="I858" s="17" t="s">
        <v>461</v>
      </c>
      <c r="J858" s="41"/>
      <c r="K858" s="41"/>
      <c r="L858" s="41"/>
      <c r="M858" s="17">
        <v>1.2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10260</v>
      </c>
      <c r="B859" s="17" t="s">
        <v>10260</v>
      </c>
      <c r="C859" s="17" t="s">
        <v>10261</v>
      </c>
      <c r="D859" s="17" t="s">
        <v>21</v>
      </c>
      <c r="E859" s="24">
        <v>1218</v>
      </c>
      <c r="F859" s="17" t="s">
        <v>1052</v>
      </c>
      <c r="G859" s="17" t="str">
        <f>Config!$B$3</f>
        <v>SCH/R_IEC.SchLib</v>
      </c>
      <c r="H859" s="17" t="s">
        <v>419</v>
      </c>
      <c r="I859" s="17" t="s">
        <v>461</v>
      </c>
      <c r="J859" s="41"/>
      <c r="K859" s="41"/>
      <c r="L859" s="41"/>
      <c r="M859" s="17">
        <v>1.3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10262</v>
      </c>
      <c r="B860" s="17" t="s">
        <v>10262</v>
      </c>
      <c r="C860" s="17" t="s">
        <v>10263</v>
      </c>
      <c r="D860" s="17" t="s">
        <v>21</v>
      </c>
      <c r="E860" s="24">
        <v>1218</v>
      </c>
      <c r="F860" s="17" t="s">
        <v>33</v>
      </c>
      <c r="G860" s="17" t="str">
        <f>Config!$B$3</f>
        <v>SCH/R_IEC.SchLib</v>
      </c>
      <c r="H860" s="17" t="s">
        <v>419</v>
      </c>
      <c r="I860" s="17" t="s">
        <v>461</v>
      </c>
      <c r="J860" s="41"/>
      <c r="K860" s="41"/>
      <c r="L860" s="41"/>
      <c r="M860" s="17">
        <v>1.5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10264</v>
      </c>
      <c r="B861" s="17" t="s">
        <v>10264</v>
      </c>
      <c r="C861" s="17" t="s">
        <v>10265</v>
      </c>
      <c r="D861" s="17" t="s">
        <v>21</v>
      </c>
      <c r="E861" s="24">
        <v>1218</v>
      </c>
      <c r="F861" s="17" t="s">
        <v>1062</v>
      </c>
      <c r="G861" s="17" t="str">
        <f>Config!$B$3</f>
        <v>SCH/R_IEC.SchLib</v>
      </c>
      <c r="H861" s="17" t="s">
        <v>419</v>
      </c>
      <c r="I861" s="17" t="s">
        <v>461</v>
      </c>
      <c r="J861" s="41"/>
      <c r="K861" s="41"/>
      <c r="L861" s="41"/>
      <c r="M861" s="17">
        <v>1.6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10266</v>
      </c>
      <c r="B862" s="17" t="s">
        <v>10266</v>
      </c>
      <c r="C862" s="17" t="s">
        <v>10267</v>
      </c>
      <c r="D862" s="17" t="s">
        <v>21</v>
      </c>
      <c r="E862" s="24">
        <v>1218</v>
      </c>
      <c r="F862" s="17" t="s">
        <v>35</v>
      </c>
      <c r="G862" s="17" t="str">
        <f>Config!$B$3</f>
        <v>SCH/R_IEC.SchLib</v>
      </c>
      <c r="H862" s="17" t="s">
        <v>419</v>
      </c>
      <c r="I862" s="17" t="s">
        <v>461</v>
      </c>
      <c r="J862" s="41"/>
      <c r="K862" s="41"/>
      <c r="L862" s="41"/>
      <c r="M862" s="17">
        <v>1.8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10268</v>
      </c>
      <c r="B863" s="17" t="s">
        <v>10268</v>
      </c>
      <c r="C863" s="17" t="s">
        <v>10269</v>
      </c>
      <c r="D863" s="17" t="s">
        <v>21</v>
      </c>
      <c r="E863" s="24">
        <v>1218</v>
      </c>
      <c r="F863" s="17" t="s">
        <v>1070</v>
      </c>
      <c r="G863" s="17" t="str">
        <f>Config!$B$3</f>
        <v>SCH/R_IEC.SchLib</v>
      </c>
      <c r="H863" s="17" t="s">
        <v>419</v>
      </c>
      <c r="I863" s="17" t="s">
        <v>461</v>
      </c>
      <c r="J863" s="41"/>
      <c r="K863" s="41"/>
      <c r="L863" s="41"/>
      <c r="M863" s="17">
        <v>2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10270</v>
      </c>
      <c r="B864" s="17" t="s">
        <v>10270</v>
      </c>
      <c r="C864" s="17" t="s">
        <v>10271</v>
      </c>
      <c r="D864" s="17" t="s">
        <v>21</v>
      </c>
      <c r="E864" s="24">
        <v>1218</v>
      </c>
      <c r="F864" s="17" t="s">
        <v>37</v>
      </c>
      <c r="G864" s="17" t="str">
        <f>Config!$B$3</f>
        <v>SCH/R_IEC.SchLib</v>
      </c>
      <c r="H864" s="17" t="s">
        <v>419</v>
      </c>
      <c r="I864" s="17" t="s">
        <v>461</v>
      </c>
      <c r="J864" s="41"/>
      <c r="K864" s="41"/>
      <c r="L864" s="41"/>
      <c r="M864" s="17">
        <v>2.2000000000000002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10272</v>
      </c>
      <c r="B865" s="17" t="s">
        <v>10272</v>
      </c>
      <c r="C865" s="17" t="s">
        <v>10273</v>
      </c>
      <c r="D865" s="17" t="s">
        <v>21</v>
      </c>
      <c r="E865" s="24">
        <v>1218</v>
      </c>
      <c r="F865" s="17" t="s">
        <v>1080</v>
      </c>
      <c r="G865" s="17" t="str">
        <f>Config!$B$3</f>
        <v>SCH/R_IEC.SchLib</v>
      </c>
      <c r="H865" s="17" t="s">
        <v>419</v>
      </c>
      <c r="I865" s="17" t="s">
        <v>461</v>
      </c>
      <c r="J865" s="41"/>
      <c r="K865" s="41"/>
      <c r="L865" s="41"/>
      <c r="M865" s="17">
        <v>2.4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10274</v>
      </c>
      <c r="B866" s="17" t="s">
        <v>10274</v>
      </c>
      <c r="C866" s="17" t="s">
        <v>10275</v>
      </c>
      <c r="D866" s="17" t="s">
        <v>21</v>
      </c>
      <c r="E866" s="24">
        <v>1218</v>
      </c>
      <c r="F866" s="17" t="s">
        <v>39</v>
      </c>
      <c r="G866" s="17" t="str">
        <f>Config!$B$3</f>
        <v>SCH/R_IEC.SchLib</v>
      </c>
      <c r="H866" s="17" t="s">
        <v>419</v>
      </c>
      <c r="I866" s="17" t="s">
        <v>461</v>
      </c>
      <c r="J866" s="41"/>
      <c r="K866" s="41"/>
      <c r="L866" s="41"/>
      <c r="M866" s="17">
        <v>2.7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10276</v>
      </c>
      <c r="B867" s="17" t="s">
        <v>10276</v>
      </c>
      <c r="C867" s="17" t="s">
        <v>10277</v>
      </c>
      <c r="D867" s="17" t="s">
        <v>21</v>
      </c>
      <c r="E867" s="24">
        <v>1218</v>
      </c>
      <c r="F867" s="17" t="s">
        <v>1088</v>
      </c>
      <c r="G867" s="17" t="str">
        <f>Config!$B$3</f>
        <v>SCH/R_IEC.SchLib</v>
      </c>
      <c r="H867" s="17" t="s">
        <v>419</v>
      </c>
      <c r="I867" s="17" t="s">
        <v>461</v>
      </c>
      <c r="J867" s="41"/>
      <c r="K867" s="41"/>
      <c r="L867" s="41"/>
      <c r="M867" s="17">
        <v>3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10278</v>
      </c>
      <c r="B868" s="17" t="s">
        <v>10278</v>
      </c>
      <c r="C868" s="17" t="s">
        <v>10279</v>
      </c>
      <c r="D868" s="17" t="s">
        <v>21</v>
      </c>
      <c r="E868" s="24">
        <v>1218</v>
      </c>
      <c r="F868" s="17" t="s">
        <v>41</v>
      </c>
      <c r="G868" s="17" t="str">
        <f>Config!$B$3</f>
        <v>SCH/R_IEC.SchLib</v>
      </c>
      <c r="H868" s="17" t="s">
        <v>419</v>
      </c>
      <c r="I868" s="17" t="s">
        <v>461</v>
      </c>
      <c r="J868" s="41"/>
      <c r="K868" s="41"/>
      <c r="L868" s="41"/>
      <c r="M868" s="17">
        <v>3.3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10280</v>
      </c>
      <c r="B869" s="17" t="s">
        <v>10280</v>
      </c>
      <c r="C869" s="17" t="s">
        <v>10281</v>
      </c>
      <c r="D869" s="17" t="s">
        <v>21</v>
      </c>
      <c r="E869" s="24">
        <v>1218</v>
      </c>
      <c r="F869" s="17" t="s">
        <v>1098</v>
      </c>
      <c r="G869" s="17" t="str">
        <f>Config!$B$3</f>
        <v>SCH/R_IEC.SchLib</v>
      </c>
      <c r="H869" s="17" t="s">
        <v>419</v>
      </c>
      <c r="I869" s="17" t="s">
        <v>461</v>
      </c>
      <c r="J869" s="41"/>
      <c r="K869" s="41"/>
      <c r="L869" s="41"/>
      <c r="M869" s="17">
        <v>3.6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10282</v>
      </c>
      <c r="B870" s="17" t="s">
        <v>10282</v>
      </c>
      <c r="C870" s="17" t="s">
        <v>10283</v>
      </c>
      <c r="D870" s="17" t="s">
        <v>21</v>
      </c>
      <c r="E870" s="24">
        <v>1218</v>
      </c>
      <c r="F870" s="17" t="s">
        <v>43</v>
      </c>
      <c r="G870" s="17" t="str">
        <f>Config!$B$3</f>
        <v>SCH/R_IEC.SchLib</v>
      </c>
      <c r="H870" s="17" t="s">
        <v>419</v>
      </c>
      <c r="I870" s="17" t="s">
        <v>461</v>
      </c>
      <c r="J870" s="41"/>
      <c r="K870" s="41"/>
      <c r="L870" s="41"/>
      <c r="M870" s="17">
        <v>3.9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10284</v>
      </c>
      <c r="B871" s="17" t="s">
        <v>10284</v>
      </c>
      <c r="C871" s="17" t="s">
        <v>10285</v>
      </c>
      <c r="D871" s="17" t="s">
        <v>21</v>
      </c>
      <c r="E871" s="24">
        <v>1218</v>
      </c>
      <c r="F871" s="17" t="s">
        <v>1106</v>
      </c>
      <c r="G871" s="17" t="str">
        <f>Config!$B$3</f>
        <v>SCH/R_IEC.SchLib</v>
      </c>
      <c r="H871" s="17" t="s">
        <v>419</v>
      </c>
      <c r="I871" s="17" t="s">
        <v>461</v>
      </c>
      <c r="J871" s="41"/>
      <c r="K871" s="41"/>
      <c r="L871" s="41"/>
      <c r="M871" s="17">
        <v>4.3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10286</v>
      </c>
      <c r="B872" s="17" t="s">
        <v>10286</v>
      </c>
      <c r="C872" s="17" t="s">
        <v>10287</v>
      </c>
      <c r="D872" s="17" t="s">
        <v>21</v>
      </c>
      <c r="E872" s="24">
        <v>1218</v>
      </c>
      <c r="F872" s="17" t="s">
        <v>45</v>
      </c>
      <c r="G872" s="17" t="str">
        <f>Config!$B$3</f>
        <v>SCH/R_IEC.SchLib</v>
      </c>
      <c r="H872" s="17" t="s">
        <v>419</v>
      </c>
      <c r="I872" s="17" t="s">
        <v>461</v>
      </c>
      <c r="J872" s="41"/>
      <c r="K872" s="41"/>
      <c r="L872" s="41"/>
      <c r="M872" s="17">
        <v>4.7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10288</v>
      </c>
      <c r="B873" s="17" t="s">
        <v>10288</v>
      </c>
      <c r="C873" s="17" t="s">
        <v>10289</v>
      </c>
      <c r="D873" s="17" t="s">
        <v>21</v>
      </c>
      <c r="E873" s="24">
        <v>1218</v>
      </c>
      <c r="F873" s="17" t="s">
        <v>1116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5.0999999999999996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10290</v>
      </c>
      <c r="B874" s="17" t="s">
        <v>10290</v>
      </c>
      <c r="C874" s="17" t="s">
        <v>10291</v>
      </c>
      <c r="D874" s="17" t="s">
        <v>21</v>
      </c>
      <c r="E874" s="24">
        <v>1218</v>
      </c>
      <c r="F874" s="17" t="s">
        <v>47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5.6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10292</v>
      </c>
      <c r="B875" s="17" t="s">
        <v>10292</v>
      </c>
      <c r="C875" s="17" t="s">
        <v>10293</v>
      </c>
      <c r="D875" s="17" t="s">
        <v>21</v>
      </c>
      <c r="E875" s="24">
        <v>1218</v>
      </c>
      <c r="F875" s="17" t="s">
        <v>1128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6.2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10294</v>
      </c>
      <c r="B876" s="17" t="s">
        <v>10294</v>
      </c>
      <c r="C876" s="17" t="s">
        <v>10295</v>
      </c>
      <c r="D876" s="17" t="s">
        <v>21</v>
      </c>
      <c r="E876" s="24">
        <v>1218</v>
      </c>
      <c r="F876" s="17" t="s">
        <v>49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6.8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10296</v>
      </c>
      <c r="B877" s="17" t="s">
        <v>10296</v>
      </c>
      <c r="C877" s="17" t="s">
        <v>10297</v>
      </c>
      <c r="D877" s="17" t="s">
        <v>21</v>
      </c>
      <c r="E877" s="24">
        <v>1218</v>
      </c>
      <c r="F877" s="17" t="s">
        <v>1138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7.5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10298</v>
      </c>
      <c r="B878" s="17" t="s">
        <v>10298</v>
      </c>
      <c r="C878" s="17" t="s">
        <v>10299</v>
      </c>
      <c r="D878" s="17" t="s">
        <v>21</v>
      </c>
      <c r="E878" s="24">
        <v>1218</v>
      </c>
      <c r="F878" s="17" t="s">
        <v>51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8.1999999999999993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10300</v>
      </c>
      <c r="B879" s="17" t="s">
        <v>10300</v>
      </c>
      <c r="C879" s="17" t="s">
        <v>10301</v>
      </c>
      <c r="D879" s="17" t="s">
        <v>21</v>
      </c>
      <c r="E879" s="24">
        <v>1218</v>
      </c>
      <c r="F879" s="17" t="s">
        <v>1148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9.1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10302</v>
      </c>
      <c r="B880" s="17" t="s">
        <v>10302</v>
      </c>
      <c r="C880" s="17" t="s">
        <v>10303</v>
      </c>
      <c r="D880" s="17" t="s">
        <v>21</v>
      </c>
      <c r="E880" s="24">
        <v>1218</v>
      </c>
      <c r="F880" s="17" t="s">
        <v>53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21">
        <v>10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10304</v>
      </c>
      <c r="B881" s="17" t="s">
        <v>10304</v>
      </c>
      <c r="C881" s="17" t="s">
        <v>10305</v>
      </c>
      <c r="D881" s="17" t="s">
        <v>21</v>
      </c>
      <c r="E881" s="24">
        <v>1218</v>
      </c>
      <c r="F881" s="17" t="s">
        <v>57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21">
        <v>11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10306</v>
      </c>
      <c r="B882" s="17" t="s">
        <v>10306</v>
      </c>
      <c r="C882" s="17" t="s">
        <v>10307</v>
      </c>
      <c r="D882" s="17" t="s">
        <v>21</v>
      </c>
      <c r="E882" s="24">
        <v>1218</v>
      </c>
      <c r="F882" s="17" t="s">
        <v>59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21">
        <v>12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10308</v>
      </c>
      <c r="B883" s="17" t="s">
        <v>10308</v>
      </c>
      <c r="C883" s="17" t="s">
        <v>10309</v>
      </c>
      <c r="D883" s="17" t="s">
        <v>21</v>
      </c>
      <c r="E883" s="24">
        <v>1218</v>
      </c>
      <c r="F883" s="17" t="s">
        <v>61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21">
        <v>13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10310</v>
      </c>
      <c r="B884" s="17" t="s">
        <v>10310</v>
      </c>
      <c r="C884" s="17" t="s">
        <v>10311</v>
      </c>
      <c r="D884" s="17" t="s">
        <v>21</v>
      </c>
      <c r="E884" s="24">
        <v>1218</v>
      </c>
      <c r="F884" s="17" t="s">
        <v>63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21">
        <v>15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10312</v>
      </c>
      <c r="B885" s="17" t="s">
        <v>10312</v>
      </c>
      <c r="C885" s="17" t="s">
        <v>10313</v>
      </c>
      <c r="D885" s="17" t="s">
        <v>21</v>
      </c>
      <c r="E885" s="24">
        <v>1218</v>
      </c>
      <c r="F885" s="17" t="s">
        <v>65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21">
        <v>16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10314</v>
      </c>
      <c r="B886" s="17" t="s">
        <v>10314</v>
      </c>
      <c r="C886" s="17" t="s">
        <v>10315</v>
      </c>
      <c r="D886" s="17" t="s">
        <v>21</v>
      </c>
      <c r="E886" s="24">
        <v>1218</v>
      </c>
      <c r="F886" s="17" t="s">
        <v>67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21">
        <v>18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10316</v>
      </c>
      <c r="B887" s="17" t="s">
        <v>10316</v>
      </c>
      <c r="C887" s="17" t="s">
        <v>10317</v>
      </c>
      <c r="D887" s="17" t="s">
        <v>21</v>
      </c>
      <c r="E887" s="24">
        <v>1218</v>
      </c>
      <c r="F887" s="17" t="s">
        <v>69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21">
        <v>20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10318</v>
      </c>
      <c r="B888" s="17" t="s">
        <v>10318</v>
      </c>
      <c r="C888" s="17" t="s">
        <v>10319</v>
      </c>
      <c r="D888" s="17" t="s">
        <v>21</v>
      </c>
      <c r="E888" s="24">
        <v>1218</v>
      </c>
      <c r="F888" s="17" t="s">
        <v>71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21">
        <v>22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10320</v>
      </c>
      <c r="B889" s="17" t="s">
        <v>10320</v>
      </c>
      <c r="C889" s="17" t="s">
        <v>10321</v>
      </c>
      <c r="D889" s="17" t="s">
        <v>21</v>
      </c>
      <c r="E889" s="24">
        <v>1218</v>
      </c>
      <c r="F889" s="17" t="s">
        <v>75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21">
        <v>24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10322</v>
      </c>
      <c r="B890" s="17" t="s">
        <v>10322</v>
      </c>
      <c r="C890" s="17" t="s">
        <v>10323</v>
      </c>
      <c r="D890" s="17" t="s">
        <v>21</v>
      </c>
      <c r="E890" s="24">
        <v>1218</v>
      </c>
      <c r="F890" s="17" t="s">
        <v>77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21">
        <v>27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10324</v>
      </c>
      <c r="B891" s="17" t="s">
        <v>10324</v>
      </c>
      <c r="C891" s="17" t="s">
        <v>10325</v>
      </c>
      <c r="D891" s="17" t="s">
        <v>21</v>
      </c>
      <c r="E891" s="24">
        <v>1218</v>
      </c>
      <c r="F891" s="17" t="s">
        <v>79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21">
        <v>30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10326</v>
      </c>
      <c r="B892" s="17" t="s">
        <v>10326</v>
      </c>
      <c r="C892" s="17" t="s">
        <v>10327</v>
      </c>
      <c r="D892" s="17" t="s">
        <v>21</v>
      </c>
      <c r="E892" s="24">
        <v>1218</v>
      </c>
      <c r="F892" s="17" t="s">
        <v>81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21">
        <v>33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10328</v>
      </c>
      <c r="B893" s="17" t="s">
        <v>10328</v>
      </c>
      <c r="C893" s="17" t="s">
        <v>10329</v>
      </c>
      <c r="D893" s="17" t="s">
        <v>21</v>
      </c>
      <c r="E893" s="24">
        <v>1218</v>
      </c>
      <c r="F893" s="17" t="s">
        <v>83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21">
        <v>36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10330</v>
      </c>
      <c r="B894" s="17" t="s">
        <v>10330</v>
      </c>
      <c r="C894" s="17" t="s">
        <v>10331</v>
      </c>
      <c r="D894" s="17" t="s">
        <v>21</v>
      </c>
      <c r="E894" s="24">
        <v>1218</v>
      </c>
      <c r="F894" s="17" t="s">
        <v>85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21">
        <v>39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10332</v>
      </c>
      <c r="B895" s="17" t="s">
        <v>10332</v>
      </c>
      <c r="C895" s="17" t="s">
        <v>10333</v>
      </c>
      <c r="D895" s="17" t="s">
        <v>21</v>
      </c>
      <c r="E895" s="24">
        <v>1218</v>
      </c>
      <c r="F895" s="17" t="s">
        <v>87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21">
        <v>43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10334</v>
      </c>
      <c r="B896" s="17" t="s">
        <v>10334</v>
      </c>
      <c r="C896" s="17" t="s">
        <v>10335</v>
      </c>
      <c r="D896" s="17" t="s">
        <v>21</v>
      </c>
      <c r="E896" s="24">
        <v>1218</v>
      </c>
      <c r="F896" s="17" t="s">
        <v>89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21">
        <v>47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10336</v>
      </c>
      <c r="B897" s="17" t="s">
        <v>10336</v>
      </c>
      <c r="C897" s="17" t="s">
        <v>10337</v>
      </c>
      <c r="D897" s="17" t="s">
        <v>21</v>
      </c>
      <c r="E897" s="24">
        <v>1218</v>
      </c>
      <c r="F897" s="17" t="s">
        <v>91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51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10338</v>
      </c>
      <c r="B898" s="17" t="s">
        <v>10338</v>
      </c>
      <c r="C898" s="17" t="s">
        <v>10339</v>
      </c>
      <c r="D898" s="17" t="s">
        <v>21</v>
      </c>
      <c r="E898" s="24">
        <v>1218</v>
      </c>
      <c r="F898" s="17" t="s">
        <v>93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56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10340</v>
      </c>
      <c r="B899" s="17" t="s">
        <v>10340</v>
      </c>
      <c r="C899" s="17" t="s">
        <v>10341</v>
      </c>
      <c r="D899" s="17" t="s">
        <v>21</v>
      </c>
      <c r="E899" s="24">
        <v>1218</v>
      </c>
      <c r="F899" s="17" t="s">
        <v>95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62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10342</v>
      </c>
      <c r="B900" s="17" t="s">
        <v>10342</v>
      </c>
      <c r="C900" s="17" t="s">
        <v>10343</v>
      </c>
      <c r="D900" s="17" t="s">
        <v>21</v>
      </c>
      <c r="E900" s="24">
        <v>1218</v>
      </c>
      <c r="F900" s="17" t="s">
        <v>97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68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10344</v>
      </c>
      <c r="B901" s="17" t="s">
        <v>10344</v>
      </c>
      <c r="C901" s="17" t="s">
        <v>10345</v>
      </c>
      <c r="D901" s="17" t="s">
        <v>21</v>
      </c>
      <c r="E901" s="24">
        <v>1218</v>
      </c>
      <c r="F901" s="17" t="s">
        <v>99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75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10346</v>
      </c>
      <c r="B902" s="17" t="s">
        <v>10346</v>
      </c>
      <c r="C902" s="17" t="s">
        <v>10347</v>
      </c>
      <c r="D902" s="17" t="s">
        <v>21</v>
      </c>
      <c r="E902" s="24">
        <v>1218</v>
      </c>
      <c r="F902" s="17" t="s">
        <v>101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82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10348</v>
      </c>
      <c r="B903" s="17" t="s">
        <v>10348</v>
      </c>
      <c r="C903" s="17" t="s">
        <v>10349</v>
      </c>
      <c r="D903" s="17" t="s">
        <v>21</v>
      </c>
      <c r="E903" s="24">
        <v>1218</v>
      </c>
      <c r="F903" s="17" t="s">
        <v>103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91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10350</v>
      </c>
      <c r="B904" s="17" t="s">
        <v>10350</v>
      </c>
      <c r="C904" s="17" t="s">
        <v>10351</v>
      </c>
      <c r="D904" s="17" t="s">
        <v>21</v>
      </c>
      <c r="E904" s="24">
        <v>1218</v>
      </c>
      <c r="F904" s="17" t="s">
        <v>105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100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10352</v>
      </c>
      <c r="B905" s="17" t="s">
        <v>10352</v>
      </c>
      <c r="C905" s="17" t="s">
        <v>10353</v>
      </c>
      <c r="D905" s="17" t="s">
        <v>21</v>
      </c>
      <c r="E905" s="24">
        <v>1218</v>
      </c>
      <c r="F905" s="17" t="s">
        <v>109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110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10354</v>
      </c>
      <c r="B906" s="17" t="s">
        <v>10354</v>
      </c>
      <c r="C906" s="17" t="s">
        <v>10355</v>
      </c>
      <c r="D906" s="17" t="s">
        <v>21</v>
      </c>
      <c r="E906" s="24">
        <v>1218</v>
      </c>
      <c r="F906" s="17" t="s">
        <v>111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120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10356</v>
      </c>
      <c r="B907" s="17" t="s">
        <v>10356</v>
      </c>
      <c r="C907" s="17" t="s">
        <v>10357</v>
      </c>
      <c r="D907" s="17" t="s">
        <v>21</v>
      </c>
      <c r="E907" s="24">
        <v>1218</v>
      </c>
      <c r="F907" s="17" t="s">
        <v>113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130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10358</v>
      </c>
      <c r="B908" s="17" t="s">
        <v>10358</v>
      </c>
      <c r="C908" s="17" t="s">
        <v>10359</v>
      </c>
      <c r="D908" s="17" t="s">
        <v>21</v>
      </c>
      <c r="E908" s="24">
        <v>1218</v>
      </c>
      <c r="F908" s="17" t="s">
        <v>115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150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10360</v>
      </c>
      <c r="B909" s="17" t="s">
        <v>10360</v>
      </c>
      <c r="C909" s="17" t="s">
        <v>10361</v>
      </c>
      <c r="D909" s="17" t="s">
        <v>21</v>
      </c>
      <c r="E909" s="24">
        <v>1218</v>
      </c>
      <c r="F909" s="17" t="s">
        <v>117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160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10362</v>
      </c>
      <c r="B910" s="17" t="s">
        <v>10362</v>
      </c>
      <c r="C910" s="17" t="s">
        <v>10363</v>
      </c>
      <c r="D910" s="17" t="s">
        <v>21</v>
      </c>
      <c r="E910" s="24">
        <v>1218</v>
      </c>
      <c r="F910" s="17" t="s">
        <v>119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180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10364</v>
      </c>
      <c r="B911" s="17" t="s">
        <v>10364</v>
      </c>
      <c r="C911" s="17" t="s">
        <v>10365</v>
      </c>
      <c r="D911" s="17" t="s">
        <v>21</v>
      </c>
      <c r="E911" s="24">
        <v>1218</v>
      </c>
      <c r="F911" s="17" t="s">
        <v>123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200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10366</v>
      </c>
      <c r="B912" s="17" t="s">
        <v>10366</v>
      </c>
      <c r="C912" s="17" t="s">
        <v>10367</v>
      </c>
      <c r="D912" s="17" t="s">
        <v>21</v>
      </c>
      <c r="E912" s="24">
        <v>1218</v>
      </c>
      <c r="F912" s="17" t="s">
        <v>125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220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10368</v>
      </c>
      <c r="B913" s="17" t="s">
        <v>10368</v>
      </c>
      <c r="C913" s="17" t="s">
        <v>10369</v>
      </c>
      <c r="D913" s="17" t="s">
        <v>21</v>
      </c>
      <c r="E913" s="24">
        <v>1218</v>
      </c>
      <c r="F913" s="17" t="s">
        <v>129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240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10370</v>
      </c>
      <c r="B914" s="17" t="s">
        <v>10370</v>
      </c>
      <c r="C914" s="17" t="s">
        <v>10371</v>
      </c>
      <c r="D914" s="17" t="s">
        <v>21</v>
      </c>
      <c r="E914" s="24">
        <v>1218</v>
      </c>
      <c r="F914" s="17" t="s">
        <v>131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270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10372</v>
      </c>
      <c r="B915" s="17" t="s">
        <v>10372</v>
      </c>
      <c r="C915" s="17" t="s">
        <v>10373</v>
      </c>
      <c r="D915" s="17" t="s">
        <v>21</v>
      </c>
      <c r="E915" s="24">
        <v>1218</v>
      </c>
      <c r="F915" s="17" t="s">
        <v>133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300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10374</v>
      </c>
      <c r="B916" s="17" t="s">
        <v>10374</v>
      </c>
      <c r="C916" s="17" t="s">
        <v>10375</v>
      </c>
      <c r="D916" s="17" t="s">
        <v>21</v>
      </c>
      <c r="E916" s="24">
        <v>1218</v>
      </c>
      <c r="F916" s="17" t="s">
        <v>137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330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10376</v>
      </c>
      <c r="B917" s="17" t="s">
        <v>10376</v>
      </c>
      <c r="C917" s="17" t="s">
        <v>10377</v>
      </c>
      <c r="D917" s="17" t="s">
        <v>21</v>
      </c>
      <c r="E917" s="24">
        <v>1218</v>
      </c>
      <c r="F917" s="17" t="s">
        <v>139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360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10378</v>
      </c>
      <c r="B918" s="17" t="s">
        <v>10378</v>
      </c>
      <c r="C918" s="17" t="s">
        <v>10379</v>
      </c>
      <c r="D918" s="17" t="s">
        <v>21</v>
      </c>
      <c r="E918" s="24">
        <v>1218</v>
      </c>
      <c r="F918" s="17" t="s">
        <v>141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390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10380</v>
      </c>
      <c r="B919" s="17" t="s">
        <v>10380</v>
      </c>
      <c r="C919" s="17" t="s">
        <v>10381</v>
      </c>
      <c r="D919" s="17" t="s">
        <v>21</v>
      </c>
      <c r="E919" s="24">
        <v>1218</v>
      </c>
      <c r="F919" s="17" t="s">
        <v>143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430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10382</v>
      </c>
      <c r="B920" s="17" t="s">
        <v>10382</v>
      </c>
      <c r="C920" s="17" t="s">
        <v>10383</v>
      </c>
      <c r="D920" s="17" t="s">
        <v>21</v>
      </c>
      <c r="E920" s="24">
        <v>1218</v>
      </c>
      <c r="F920" s="17" t="s">
        <v>145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470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10384</v>
      </c>
      <c r="B921" s="17" t="s">
        <v>10384</v>
      </c>
      <c r="C921" s="17" t="s">
        <v>10385</v>
      </c>
      <c r="D921" s="17" t="s">
        <v>21</v>
      </c>
      <c r="E921" s="24">
        <v>1218</v>
      </c>
      <c r="F921" s="17" t="s">
        <v>149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510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10386</v>
      </c>
      <c r="B922" s="17" t="s">
        <v>10386</v>
      </c>
      <c r="C922" s="17" t="s">
        <v>10387</v>
      </c>
      <c r="D922" s="17" t="s">
        <v>21</v>
      </c>
      <c r="E922" s="24">
        <v>1218</v>
      </c>
      <c r="F922" s="17" t="s">
        <v>151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560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10388</v>
      </c>
      <c r="B923" s="17" t="s">
        <v>10388</v>
      </c>
      <c r="C923" s="17" t="s">
        <v>10389</v>
      </c>
      <c r="D923" s="17" t="s">
        <v>21</v>
      </c>
      <c r="E923" s="24">
        <v>1218</v>
      </c>
      <c r="F923" s="17" t="s">
        <v>153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620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10390</v>
      </c>
      <c r="B924" s="17" t="s">
        <v>10390</v>
      </c>
      <c r="C924" s="17" t="s">
        <v>10391</v>
      </c>
      <c r="D924" s="17" t="s">
        <v>21</v>
      </c>
      <c r="E924" s="24">
        <v>1218</v>
      </c>
      <c r="F924" s="17" t="s">
        <v>155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680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10392</v>
      </c>
      <c r="B925" s="17" t="s">
        <v>10392</v>
      </c>
      <c r="C925" s="17" t="s">
        <v>10393</v>
      </c>
      <c r="D925" s="17" t="s">
        <v>21</v>
      </c>
      <c r="E925" s="24">
        <v>1218</v>
      </c>
      <c r="F925" s="17" t="s">
        <v>157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750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10394</v>
      </c>
      <c r="B926" s="17" t="s">
        <v>10394</v>
      </c>
      <c r="C926" s="17" t="s">
        <v>10395</v>
      </c>
      <c r="D926" s="17" t="s">
        <v>21</v>
      </c>
      <c r="E926" s="24">
        <v>1218</v>
      </c>
      <c r="F926" s="17" t="s">
        <v>159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820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10396</v>
      </c>
      <c r="B927" s="17" t="s">
        <v>10396</v>
      </c>
      <c r="C927" s="17" t="s">
        <v>10397</v>
      </c>
      <c r="D927" s="17" t="s">
        <v>21</v>
      </c>
      <c r="E927" s="24">
        <v>1218</v>
      </c>
      <c r="F927" s="17" t="s">
        <v>161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910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10398</v>
      </c>
      <c r="B928" s="17" t="s">
        <v>10398</v>
      </c>
      <c r="C928" s="17" t="s">
        <v>10399</v>
      </c>
      <c r="D928" s="17" t="s">
        <v>21</v>
      </c>
      <c r="E928" s="24">
        <v>1218</v>
      </c>
      <c r="F928" s="17" t="s">
        <v>163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1000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10400</v>
      </c>
      <c r="B929" s="17" t="s">
        <v>10400</v>
      </c>
      <c r="C929" s="17" t="s">
        <v>10401</v>
      </c>
      <c r="D929" s="17" t="s">
        <v>21</v>
      </c>
      <c r="E929" s="24">
        <v>1218</v>
      </c>
      <c r="F929" s="17" t="s">
        <v>165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1100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10402</v>
      </c>
      <c r="B930" s="17" t="s">
        <v>10402</v>
      </c>
      <c r="C930" s="17" t="s">
        <v>10403</v>
      </c>
      <c r="D930" s="17" t="s">
        <v>21</v>
      </c>
      <c r="E930" s="24">
        <v>1218</v>
      </c>
      <c r="F930" s="17" t="s">
        <v>167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1200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10404</v>
      </c>
      <c r="B931" s="17" t="s">
        <v>10404</v>
      </c>
      <c r="C931" s="17" t="s">
        <v>10405</v>
      </c>
      <c r="D931" s="17" t="s">
        <v>21</v>
      </c>
      <c r="E931" s="24">
        <v>1218</v>
      </c>
      <c r="F931" s="17" t="s">
        <v>169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1300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10406</v>
      </c>
      <c r="B932" s="17" t="s">
        <v>10406</v>
      </c>
      <c r="C932" s="17" t="s">
        <v>10407</v>
      </c>
      <c r="D932" s="17" t="s">
        <v>21</v>
      </c>
      <c r="E932" s="24">
        <v>1218</v>
      </c>
      <c r="F932" s="17" t="s">
        <v>171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1500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10408</v>
      </c>
      <c r="B933" s="17" t="s">
        <v>10408</v>
      </c>
      <c r="C933" s="17" t="s">
        <v>10409</v>
      </c>
      <c r="D933" s="17" t="s">
        <v>21</v>
      </c>
      <c r="E933" s="24">
        <v>1218</v>
      </c>
      <c r="F933" s="17" t="s">
        <v>175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1600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10410</v>
      </c>
      <c r="B934" s="17" t="s">
        <v>10410</v>
      </c>
      <c r="C934" s="17" t="s">
        <v>10411</v>
      </c>
      <c r="D934" s="17" t="s">
        <v>21</v>
      </c>
      <c r="E934" s="24">
        <v>1218</v>
      </c>
      <c r="F934" s="17" t="s">
        <v>181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1800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10412</v>
      </c>
      <c r="B935" s="17" t="s">
        <v>10412</v>
      </c>
      <c r="C935" s="17" t="s">
        <v>10413</v>
      </c>
      <c r="D935" s="17" t="s">
        <v>21</v>
      </c>
      <c r="E935" s="24">
        <v>1218</v>
      </c>
      <c r="F935" s="17" t="s">
        <v>183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2000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10414</v>
      </c>
      <c r="B936" s="17" t="s">
        <v>10414</v>
      </c>
      <c r="C936" s="17" t="s">
        <v>10415</v>
      </c>
      <c r="D936" s="17" t="s">
        <v>21</v>
      </c>
      <c r="E936" s="24">
        <v>1218</v>
      </c>
      <c r="F936" s="17" t="s">
        <v>187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2200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10416</v>
      </c>
      <c r="B937" s="17" t="s">
        <v>10416</v>
      </c>
      <c r="C937" s="17" t="s">
        <v>10417</v>
      </c>
      <c r="D937" s="17" t="s">
        <v>21</v>
      </c>
      <c r="E937" s="24">
        <v>1218</v>
      </c>
      <c r="F937" s="17" t="s">
        <v>191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2400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10418</v>
      </c>
      <c r="B938" s="17" t="s">
        <v>10418</v>
      </c>
      <c r="C938" s="17" t="s">
        <v>10419</v>
      </c>
      <c r="D938" s="17" t="s">
        <v>21</v>
      </c>
      <c r="E938" s="24">
        <v>1218</v>
      </c>
      <c r="F938" s="17" t="s">
        <v>193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2700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10420</v>
      </c>
      <c r="B939" s="17" t="s">
        <v>10420</v>
      </c>
      <c r="C939" s="17" t="s">
        <v>10421</v>
      </c>
      <c r="D939" s="17" t="s">
        <v>21</v>
      </c>
      <c r="E939" s="24">
        <v>1218</v>
      </c>
      <c r="F939" s="17" t="s">
        <v>197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3000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10422</v>
      </c>
      <c r="B940" s="17" t="s">
        <v>10422</v>
      </c>
      <c r="C940" s="17" t="s">
        <v>10423</v>
      </c>
      <c r="D940" s="17" t="s">
        <v>21</v>
      </c>
      <c r="E940" s="24">
        <v>1218</v>
      </c>
      <c r="F940" s="17" t="s">
        <v>201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3300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10424</v>
      </c>
      <c r="B941" s="17" t="s">
        <v>10424</v>
      </c>
      <c r="C941" s="17" t="s">
        <v>10425</v>
      </c>
      <c r="D941" s="17" t="s">
        <v>21</v>
      </c>
      <c r="E941" s="24">
        <v>1218</v>
      </c>
      <c r="F941" s="17" t="s">
        <v>203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3600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10426</v>
      </c>
      <c r="B942" s="17" t="s">
        <v>10426</v>
      </c>
      <c r="C942" s="17" t="s">
        <v>10427</v>
      </c>
      <c r="D942" s="17" t="s">
        <v>21</v>
      </c>
      <c r="E942" s="24">
        <v>1218</v>
      </c>
      <c r="F942" s="17" t="s">
        <v>205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3900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10428</v>
      </c>
      <c r="B943" s="17" t="s">
        <v>10428</v>
      </c>
      <c r="C943" s="17" t="s">
        <v>10429</v>
      </c>
      <c r="D943" s="17" t="s">
        <v>21</v>
      </c>
      <c r="E943" s="24">
        <v>1218</v>
      </c>
      <c r="F943" s="17" t="s">
        <v>207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4300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10430</v>
      </c>
      <c r="B944" s="17" t="s">
        <v>10430</v>
      </c>
      <c r="C944" s="17" t="s">
        <v>10431</v>
      </c>
      <c r="D944" s="17" t="s">
        <v>21</v>
      </c>
      <c r="E944" s="24">
        <v>1218</v>
      </c>
      <c r="F944" s="17" t="s">
        <v>209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4700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10432</v>
      </c>
      <c r="B945" s="17" t="s">
        <v>10432</v>
      </c>
      <c r="C945" s="17" t="s">
        <v>10433</v>
      </c>
      <c r="D945" s="17" t="s">
        <v>21</v>
      </c>
      <c r="E945" s="24">
        <v>1218</v>
      </c>
      <c r="F945" s="17" t="s">
        <v>213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5100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10434</v>
      </c>
      <c r="B946" s="17" t="s">
        <v>10434</v>
      </c>
      <c r="C946" s="17" t="s">
        <v>10435</v>
      </c>
      <c r="D946" s="17" t="s">
        <v>21</v>
      </c>
      <c r="E946" s="24">
        <v>1218</v>
      </c>
      <c r="F946" s="17" t="s">
        <v>215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5600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10436</v>
      </c>
      <c r="B947" s="17" t="s">
        <v>10436</v>
      </c>
      <c r="C947" s="17" t="s">
        <v>10437</v>
      </c>
      <c r="D947" s="17" t="s">
        <v>21</v>
      </c>
      <c r="E947" s="24">
        <v>1218</v>
      </c>
      <c r="F947" s="17" t="s">
        <v>217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6200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10438</v>
      </c>
      <c r="B948" s="17" t="s">
        <v>10438</v>
      </c>
      <c r="C948" s="17" t="s">
        <v>10439</v>
      </c>
      <c r="D948" s="17" t="s">
        <v>21</v>
      </c>
      <c r="E948" s="24">
        <v>1218</v>
      </c>
      <c r="F948" s="17" t="s">
        <v>219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6800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10440</v>
      </c>
      <c r="B949" s="17" t="s">
        <v>10440</v>
      </c>
      <c r="C949" s="17" t="s">
        <v>10441</v>
      </c>
      <c r="D949" s="17" t="s">
        <v>21</v>
      </c>
      <c r="E949" s="24">
        <v>1218</v>
      </c>
      <c r="F949" s="17" t="s">
        <v>221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7500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10442</v>
      </c>
      <c r="B950" s="17" t="s">
        <v>10442</v>
      </c>
      <c r="C950" s="17" t="s">
        <v>10443</v>
      </c>
      <c r="D950" s="17" t="s">
        <v>21</v>
      </c>
      <c r="E950" s="24">
        <v>1218</v>
      </c>
      <c r="F950" s="17" t="s">
        <v>223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8200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10444</v>
      </c>
      <c r="B951" s="17" t="s">
        <v>10444</v>
      </c>
      <c r="C951" s="17" t="s">
        <v>10445</v>
      </c>
      <c r="D951" s="17" t="s">
        <v>21</v>
      </c>
      <c r="E951" s="24">
        <v>1218</v>
      </c>
      <c r="F951" s="17" t="s">
        <v>225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9100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10446</v>
      </c>
      <c r="B952" s="17" t="s">
        <v>10446</v>
      </c>
      <c r="C952" s="17" t="s">
        <v>10447</v>
      </c>
      <c r="D952" s="17" t="s">
        <v>21</v>
      </c>
      <c r="E952" s="24">
        <v>1218</v>
      </c>
      <c r="F952" s="17" t="s">
        <v>229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10000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10448</v>
      </c>
      <c r="B953" s="17" t="s">
        <v>10448</v>
      </c>
      <c r="C953" s="17" t="s">
        <v>10449</v>
      </c>
      <c r="D953" s="17" t="s">
        <v>21</v>
      </c>
      <c r="E953" s="24">
        <v>1218</v>
      </c>
      <c r="F953" s="17" t="s">
        <v>233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11000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10450</v>
      </c>
      <c r="B954" s="17" t="s">
        <v>10450</v>
      </c>
      <c r="C954" s="17" t="s">
        <v>10451</v>
      </c>
      <c r="D954" s="17" t="s">
        <v>21</v>
      </c>
      <c r="E954" s="24">
        <v>1218</v>
      </c>
      <c r="F954" s="17" t="s">
        <v>235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12000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10452</v>
      </c>
      <c r="B955" s="17" t="s">
        <v>10452</v>
      </c>
      <c r="C955" s="17" t="s">
        <v>10453</v>
      </c>
      <c r="D955" s="17" t="s">
        <v>21</v>
      </c>
      <c r="E955" s="24">
        <v>1218</v>
      </c>
      <c r="F955" s="17" t="s">
        <v>239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13000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10454</v>
      </c>
      <c r="B956" s="17" t="s">
        <v>10454</v>
      </c>
      <c r="C956" s="17" t="s">
        <v>10455</v>
      </c>
      <c r="D956" s="17" t="s">
        <v>21</v>
      </c>
      <c r="E956" s="24">
        <v>1218</v>
      </c>
      <c r="F956" s="17" t="s">
        <v>243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15000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10456</v>
      </c>
      <c r="B957" s="17" t="s">
        <v>10456</v>
      </c>
      <c r="C957" s="17" t="s">
        <v>10457</v>
      </c>
      <c r="D957" s="17" t="s">
        <v>21</v>
      </c>
      <c r="E957" s="24">
        <v>1218</v>
      </c>
      <c r="F957" s="17" t="s">
        <v>247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16000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10458</v>
      </c>
      <c r="B958" s="17" t="s">
        <v>10458</v>
      </c>
      <c r="C958" s="17" t="s">
        <v>10459</v>
      </c>
      <c r="D958" s="17" t="s">
        <v>21</v>
      </c>
      <c r="E958" s="24">
        <v>1218</v>
      </c>
      <c r="F958" s="17" t="s">
        <v>251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18000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10460</v>
      </c>
      <c r="B959" s="17" t="s">
        <v>10460</v>
      </c>
      <c r="C959" s="17" t="s">
        <v>10461</v>
      </c>
      <c r="D959" s="17" t="s">
        <v>21</v>
      </c>
      <c r="E959" s="24">
        <v>1218</v>
      </c>
      <c r="F959" s="17" t="s">
        <v>255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20000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10462</v>
      </c>
      <c r="B960" s="17" t="s">
        <v>10462</v>
      </c>
      <c r="C960" s="17" t="s">
        <v>10463</v>
      </c>
      <c r="D960" s="17" t="s">
        <v>21</v>
      </c>
      <c r="E960" s="24">
        <v>1218</v>
      </c>
      <c r="F960" s="17" t="s">
        <v>257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22000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10464</v>
      </c>
      <c r="B961" s="17" t="s">
        <v>10464</v>
      </c>
      <c r="C961" s="17" t="s">
        <v>10465</v>
      </c>
      <c r="D961" s="17" t="s">
        <v>21</v>
      </c>
      <c r="E961" s="24">
        <v>1218</v>
      </c>
      <c r="F961" s="17" t="s">
        <v>259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24000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10466</v>
      </c>
      <c r="B962" s="17" t="s">
        <v>10466</v>
      </c>
      <c r="C962" s="17" t="s">
        <v>10467</v>
      </c>
      <c r="D962" s="17" t="s">
        <v>21</v>
      </c>
      <c r="E962" s="24">
        <v>1218</v>
      </c>
      <c r="F962" s="17" t="s">
        <v>263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27000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10468</v>
      </c>
      <c r="B963" s="17" t="s">
        <v>10468</v>
      </c>
      <c r="C963" s="17" t="s">
        <v>10469</v>
      </c>
      <c r="D963" s="17" t="s">
        <v>21</v>
      </c>
      <c r="E963" s="24">
        <v>1218</v>
      </c>
      <c r="F963" s="17" t="s">
        <v>265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30000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10470</v>
      </c>
      <c r="B964" s="17" t="s">
        <v>10470</v>
      </c>
      <c r="C964" s="17" t="s">
        <v>10471</v>
      </c>
      <c r="D964" s="17" t="s">
        <v>21</v>
      </c>
      <c r="E964" s="24">
        <v>1218</v>
      </c>
      <c r="F964" s="17" t="s">
        <v>267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33000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10472</v>
      </c>
      <c r="B965" s="17" t="s">
        <v>10472</v>
      </c>
      <c r="C965" s="17" t="s">
        <v>10473</v>
      </c>
      <c r="D965" s="17" t="s">
        <v>21</v>
      </c>
      <c r="E965" s="24">
        <v>1218</v>
      </c>
      <c r="F965" s="17" t="s">
        <v>269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36000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10474</v>
      </c>
      <c r="B966" s="17" t="s">
        <v>10474</v>
      </c>
      <c r="C966" s="17" t="s">
        <v>10475</v>
      </c>
      <c r="D966" s="17" t="s">
        <v>21</v>
      </c>
      <c r="E966" s="24">
        <v>1218</v>
      </c>
      <c r="F966" s="17" t="s">
        <v>273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39000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10476</v>
      </c>
      <c r="B967" s="17" t="s">
        <v>10476</v>
      </c>
      <c r="C967" s="17" t="s">
        <v>10477</v>
      </c>
      <c r="D967" s="17" t="s">
        <v>21</v>
      </c>
      <c r="E967" s="24">
        <v>1218</v>
      </c>
      <c r="F967" s="17" t="s">
        <v>277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43000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10478</v>
      </c>
      <c r="B968" s="17" t="s">
        <v>10478</v>
      </c>
      <c r="C968" s="17" t="s">
        <v>10479</v>
      </c>
      <c r="D968" s="17" t="s">
        <v>21</v>
      </c>
      <c r="E968" s="24">
        <v>1218</v>
      </c>
      <c r="F968" s="17" t="s">
        <v>279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47000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10480</v>
      </c>
      <c r="B969" s="17" t="s">
        <v>10480</v>
      </c>
      <c r="C969" s="17" t="s">
        <v>10481</v>
      </c>
      <c r="D969" s="17" t="s">
        <v>21</v>
      </c>
      <c r="E969" s="24">
        <v>1218</v>
      </c>
      <c r="F969" s="17" t="s">
        <v>283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51000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10482</v>
      </c>
      <c r="B970" s="17" t="s">
        <v>10482</v>
      </c>
      <c r="C970" s="17" t="s">
        <v>10483</v>
      </c>
      <c r="D970" s="17" t="s">
        <v>21</v>
      </c>
      <c r="E970" s="24">
        <v>1218</v>
      </c>
      <c r="F970" s="17" t="s">
        <v>287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56000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10484</v>
      </c>
      <c r="B971" s="17" t="s">
        <v>10484</v>
      </c>
      <c r="C971" s="17" t="s">
        <v>10485</v>
      </c>
      <c r="D971" s="17" t="s">
        <v>21</v>
      </c>
      <c r="E971" s="24">
        <v>1218</v>
      </c>
      <c r="F971" s="17" t="s">
        <v>291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62000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10486</v>
      </c>
      <c r="B972" s="17" t="s">
        <v>10486</v>
      </c>
      <c r="C972" s="17" t="s">
        <v>10487</v>
      </c>
      <c r="D972" s="17" t="s">
        <v>21</v>
      </c>
      <c r="E972" s="24">
        <v>1218</v>
      </c>
      <c r="F972" s="17" t="s">
        <v>295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68000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10488</v>
      </c>
      <c r="B973" s="17" t="s">
        <v>10488</v>
      </c>
      <c r="C973" s="17" t="s">
        <v>10489</v>
      </c>
      <c r="D973" s="17" t="s">
        <v>21</v>
      </c>
      <c r="E973" s="24">
        <v>1218</v>
      </c>
      <c r="F973" s="17" t="s">
        <v>299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75000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10490</v>
      </c>
      <c r="B974" s="17" t="s">
        <v>10490</v>
      </c>
      <c r="C974" s="17" t="s">
        <v>10491</v>
      </c>
      <c r="D974" s="17" t="s">
        <v>21</v>
      </c>
      <c r="E974" s="24">
        <v>1218</v>
      </c>
      <c r="F974" s="17" t="s">
        <v>301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82000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10492</v>
      </c>
      <c r="B975" s="17" t="s">
        <v>10492</v>
      </c>
      <c r="C975" s="17" t="s">
        <v>10493</v>
      </c>
      <c r="D975" s="17" t="s">
        <v>21</v>
      </c>
      <c r="E975" s="24">
        <v>1218</v>
      </c>
      <c r="F975" s="17" t="s">
        <v>303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91000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10494</v>
      </c>
      <c r="B976" s="17" t="s">
        <v>10494</v>
      </c>
      <c r="C976" s="17" t="s">
        <v>10495</v>
      </c>
      <c r="D976" s="17" t="s">
        <v>21</v>
      </c>
      <c r="E976" s="24">
        <v>1218</v>
      </c>
      <c r="F976" s="17" t="s">
        <v>305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100000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10496</v>
      </c>
      <c r="B977" s="17" t="s">
        <v>10496</v>
      </c>
      <c r="C977" s="17" t="s">
        <v>10497</v>
      </c>
      <c r="D977" s="17" t="s">
        <v>21</v>
      </c>
      <c r="E977" s="24">
        <v>1218</v>
      </c>
      <c r="F977" s="17" t="s">
        <v>309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110000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10498</v>
      </c>
      <c r="B978" s="17" t="s">
        <v>10498</v>
      </c>
      <c r="C978" s="17" t="s">
        <v>10499</v>
      </c>
      <c r="D978" s="17" t="s">
        <v>21</v>
      </c>
      <c r="E978" s="24">
        <v>1218</v>
      </c>
      <c r="F978" s="17" t="s">
        <v>313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120000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10500</v>
      </c>
      <c r="B979" s="17" t="s">
        <v>10500</v>
      </c>
      <c r="C979" s="17" t="s">
        <v>10501</v>
      </c>
      <c r="D979" s="17" t="s">
        <v>21</v>
      </c>
      <c r="E979" s="24">
        <v>1218</v>
      </c>
      <c r="F979" s="17" t="s">
        <v>317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130000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10502</v>
      </c>
      <c r="B980" s="17" t="s">
        <v>10502</v>
      </c>
      <c r="C980" s="17" t="s">
        <v>10503</v>
      </c>
      <c r="D980" s="17" t="s">
        <v>21</v>
      </c>
      <c r="E980" s="24">
        <v>1218</v>
      </c>
      <c r="F980" s="17" t="s">
        <v>321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150000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10504</v>
      </c>
      <c r="B981" s="17" t="s">
        <v>10504</v>
      </c>
      <c r="C981" s="17" t="s">
        <v>10505</v>
      </c>
      <c r="D981" s="17" t="s">
        <v>21</v>
      </c>
      <c r="E981" s="24">
        <v>1218</v>
      </c>
      <c r="F981" s="17" t="s">
        <v>323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160000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10506</v>
      </c>
      <c r="B982" s="17" t="s">
        <v>10506</v>
      </c>
      <c r="C982" s="17" t="s">
        <v>10507</v>
      </c>
      <c r="D982" s="17" t="s">
        <v>21</v>
      </c>
      <c r="E982" s="24">
        <v>1218</v>
      </c>
      <c r="F982" s="17" t="s">
        <v>327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180000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10508</v>
      </c>
      <c r="B983" s="17" t="s">
        <v>10508</v>
      </c>
      <c r="C983" s="17" t="s">
        <v>10509</v>
      </c>
      <c r="D983" s="17" t="s">
        <v>21</v>
      </c>
      <c r="E983" s="24">
        <v>1218</v>
      </c>
      <c r="F983" s="17" t="s">
        <v>331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200000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10510</v>
      </c>
      <c r="B984" s="17" t="s">
        <v>10510</v>
      </c>
      <c r="C984" s="17" t="s">
        <v>10511</v>
      </c>
      <c r="D984" s="17" t="s">
        <v>21</v>
      </c>
      <c r="E984" s="24">
        <v>1218</v>
      </c>
      <c r="F984" s="17" t="s">
        <v>333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220000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10512</v>
      </c>
      <c r="B985" s="17" t="s">
        <v>10512</v>
      </c>
      <c r="C985" s="17" t="s">
        <v>10513</v>
      </c>
      <c r="D985" s="17" t="s">
        <v>21</v>
      </c>
      <c r="E985" s="24">
        <v>1218</v>
      </c>
      <c r="F985" s="17" t="s">
        <v>335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240000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10514</v>
      </c>
      <c r="B986" s="17" t="s">
        <v>10514</v>
      </c>
      <c r="C986" s="17" t="s">
        <v>10515</v>
      </c>
      <c r="D986" s="17" t="s">
        <v>21</v>
      </c>
      <c r="E986" s="24">
        <v>1218</v>
      </c>
      <c r="F986" s="17" t="s">
        <v>337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270000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10516</v>
      </c>
      <c r="B987" s="17" t="s">
        <v>10516</v>
      </c>
      <c r="C987" s="17" t="s">
        <v>10517</v>
      </c>
      <c r="D987" s="17" t="s">
        <v>21</v>
      </c>
      <c r="E987" s="24">
        <v>1218</v>
      </c>
      <c r="F987" s="17" t="s">
        <v>339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300000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10518</v>
      </c>
      <c r="B988" s="17" t="s">
        <v>10518</v>
      </c>
      <c r="C988" s="16" t="s">
        <v>10519</v>
      </c>
      <c r="D988" s="16" t="s">
        <v>21</v>
      </c>
      <c r="E988" s="24">
        <v>1218</v>
      </c>
      <c r="F988" s="17" t="s">
        <v>341</v>
      </c>
      <c r="G988" s="17" t="str">
        <f>Config!$B$3</f>
        <v>SCH/R_IEC.SchLib</v>
      </c>
      <c r="H988" s="16" t="s">
        <v>419</v>
      </c>
      <c r="I988" s="18" t="s">
        <v>461</v>
      </c>
      <c r="J988" s="40"/>
      <c r="K988" s="40"/>
      <c r="L988" s="40"/>
      <c r="M988" s="21">
        <v>330000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10520</v>
      </c>
      <c r="B989" s="17" t="s">
        <v>10520</v>
      </c>
      <c r="C989" s="17" t="s">
        <v>10521</v>
      </c>
      <c r="D989" s="17" t="s">
        <v>21</v>
      </c>
      <c r="E989" s="24">
        <v>1218</v>
      </c>
      <c r="F989" s="17" t="s">
        <v>345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360000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10522</v>
      </c>
      <c r="B990" s="17" t="s">
        <v>10522</v>
      </c>
      <c r="C990" s="17" t="s">
        <v>10523</v>
      </c>
      <c r="D990" s="17" t="s">
        <v>21</v>
      </c>
      <c r="E990" s="24">
        <v>1218</v>
      </c>
      <c r="F990" s="17" t="s">
        <v>349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390000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10524</v>
      </c>
      <c r="B991" s="17" t="s">
        <v>10524</v>
      </c>
      <c r="C991" s="17" t="s">
        <v>10525</v>
      </c>
      <c r="D991" s="17" t="s">
        <v>21</v>
      </c>
      <c r="E991" s="24">
        <v>1218</v>
      </c>
      <c r="F991" s="17" t="s">
        <v>351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430000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10526</v>
      </c>
      <c r="B992" s="17" t="s">
        <v>10526</v>
      </c>
      <c r="C992" s="17" t="s">
        <v>10527</v>
      </c>
      <c r="D992" s="17" t="s">
        <v>21</v>
      </c>
      <c r="E992" s="24">
        <v>1218</v>
      </c>
      <c r="F992" s="17" t="s">
        <v>353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470000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10528</v>
      </c>
      <c r="B993" s="17" t="s">
        <v>10528</v>
      </c>
      <c r="C993" s="17" t="s">
        <v>10529</v>
      </c>
      <c r="D993" s="17" t="s">
        <v>21</v>
      </c>
      <c r="E993" s="24">
        <v>1218</v>
      </c>
      <c r="F993" s="17" t="s">
        <v>355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510000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10530</v>
      </c>
      <c r="B994" s="17" t="s">
        <v>10530</v>
      </c>
      <c r="C994" s="17" t="s">
        <v>10531</v>
      </c>
      <c r="D994" s="17" t="s">
        <v>21</v>
      </c>
      <c r="E994" s="24">
        <v>1218</v>
      </c>
      <c r="F994" s="17" t="s">
        <v>357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560000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10532</v>
      </c>
      <c r="B995" s="17" t="s">
        <v>10532</v>
      </c>
      <c r="C995" s="17" t="s">
        <v>10533</v>
      </c>
      <c r="D995" s="17" t="s">
        <v>21</v>
      </c>
      <c r="E995" s="24">
        <v>1218</v>
      </c>
      <c r="F995" s="17" t="s">
        <v>359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620000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10534</v>
      </c>
      <c r="B996" s="17" t="s">
        <v>10534</v>
      </c>
      <c r="C996" s="17" t="s">
        <v>10535</v>
      </c>
      <c r="D996" s="17" t="s">
        <v>21</v>
      </c>
      <c r="E996" s="24">
        <v>1218</v>
      </c>
      <c r="F996" s="17" t="s">
        <v>361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680000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10536</v>
      </c>
      <c r="B997" s="17" t="s">
        <v>10536</v>
      </c>
      <c r="C997" s="17" t="s">
        <v>10537</v>
      </c>
      <c r="D997" s="17" t="s">
        <v>21</v>
      </c>
      <c r="E997" s="24">
        <v>1218</v>
      </c>
      <c r="F997" s="17" t="s">
        <v>363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750000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10538</v>
      </c>
      <c r="B998" s="17" t="s">
        <v>10538</v>
      </c>
      <c r="C998" s="17" t="s">
        <v>10539</v>
      </c>
      <c r="D998" s="17" t="s">
        <v>21</v>
      </c>
      <c r="E998" s="24">
        <v>1218</v>
      </c>
      <c r="F998" s="17" t="s">
        <v>365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820000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10540</v>
      </c>
      <c r="B999" s="17" t="s">
        <v>10540</v>
      </c>
      <c r="C999" s="17" t="s">
        <v>10541</v>
      </c>
      <c r="D999" s="17" t="s">
        <v>21</v>
      </c>
      <c r="E999" s="24">
        <v>1218</v>
      </c>
      <c r="F999" s="17" t="s">
        <v>367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910000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10542</v>
      </c>
      <c r="B1000" s="17" t="s">
        <v>10542</v>
      </c>
      <c r="C1000" s="17" t="s">
        <v>10543</v>
      </c>
      <c r="D1000" s="17" t="s">
        <v>21</v>
      </c>
      <c r="E1000" s="24">
        <v>1218</v>
      </c>
      <c r="F1000" s="17" t="s">
        <v>369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1000000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10544</v>
      </c>
      <c r="B1001" s="17" t="s">
        <v>10544</v>
      </c>
      <c r="C1001" s="17" t="s">
        <v>10545</v>
      </c>
      <c r="D1001" s="17" t="s">
        <v>21</v>
      </c>
      <c r="E1001" s="24">
        <v>1218</v>
      </c>
      <c r="F1001" s="17" t="s">
        <v>371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1100000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10546</v>
      </c>
      <c r="B1002" s="17" t="s">
        <v>10546</v>
      </c>
      <c r="C1002" s="17" t="s">
        <v>10547</v>
      </c>
      <c r="D1002" s="17" t="s">
        <v>21</v>
      </c>
      <c r="E1002" s="24">
        <v>1218</v>
      </c>
      <c r="F1002" s="17" t="s">
        <v>373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1200000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10548</v>
      </c>
      <c r="B1003" s="17" t="s">
        <v>10548</v>
      </c>
      <c r="C1003" s="17" t="s">
        <v>10549</v>
      </c>
      <c r="D1003" s="17" t="s">
        <v>21</v>
      </c>
      <c r="E1003" s="24">
        <v>1218</v>
      </c>
      <c r="F1003" s="17" t="s">
        <v>375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1300000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10550</v>
      </c>
      <c r="B1004" s="17" t="s">
        <v>10550</v>
      </c>
      <c r="C1004" s="17" t="s">
        <v>10551</v>
      </c>
      <c r="D1004" s="17" t="s">
        <v>21</v>
      </c>
      <c r="E1004" s="24">
        <v>1218</v>
      </c>
      <c r="F1004" s="17" t="s">
        <v>377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1500000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10552</v>
      </c>
      <c r="B1005" s="17" t="s">
        <v>10552</v>
      </c>
      <c r="C1005" s="17" t="s">
        <v>10553</v>
      </c>
      <c r="D1005" s="17" t="s">
        <v>21</v>
      </c>
      <c r="E1005" s="24">
        <v>1218</v>
      </c>
      <c r="F1005" s="17" t="s">
        <v>379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1600000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10554</v>
      </c>
      <c r="B1006" s="17" t="s">
        <v>10554</v>
      </c>
      <c r="C1006" s="17" t="s">
        <v>10555</v>
      </c>
      <c r="D1006" s="17" t="s">
        <v>21</v>
      </c>
      <c r="E1006" s="24">
        <v>1218</v>
      </c>
      <c r="F1006" s="17" t="s">
        <v>381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1800000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10556</v>
      </c>
      <c r="B1007" s="17" t="s">
        <v>10556</v>
      </c>
      <c r="C1007" s="17" t="s">
        <v>10557</v>
      </c>
      <c r="D1007" s="17" t="s">
        <v>21</v>
      </c>
      <c r="E1007" s="24">
        <v>1218</v>
      </c>
      <c r="F1007" s="17" t="s">
        <v>383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2000000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10558</v>
      </c>
      <c r="B1008" s="17" t="s">
        <v>10558</v>
      </c>
      <c r="C1008" s="17" t="s">
        <v>10559</v>
      </c>
      <c r="D1008" s="17" t="s">
        <v>21</v>
      </c>
      <c r="E1008" s="24">
        <v>1218</v>
      </c>
      <c r="F1008" s="17" t="s">
        <v>385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2200000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10560</v>
      </c>
      <c r="B1009" s="17" t="s">
        <v>10560</v>
      </c>
      <c r="C1009" s="17" t="s">
        <v>10561</v>
      </c>
      <c r="D1009" s="17" t="s">
        <v>21</v>
      </c>
      <c r="E1009" s="24">
        <v>1218</v>
      </c>
      <c r="F1009" s="17" t="s">
        <v>387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2400000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10562</v>
      </c>
      <c r="B1010" s="17" t="s">
        <v>10562</v>
      </c>
      <c r="C1010" s="17" t="s">
        <v>10563</v>
      </c>
      <c r="D1010" s="17" t="s">
        <v>21</v>
      </c>
      <c r="E1010" s="24">
        <v>1218</v>
      </c>
      <c r="F1010" s="17" t="s">
        <v>389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2700000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10564</v>
      </c>
      <c r="B1011" s="17" t="s">
        <v>10564</v>
      </c>
      <c r="C1011" s="17" t="s">
        <v>10565</v>
      </c>
      <c r="D1011" s="17" t="s">
        <v>21</v>
      </c>
      <c r="E1011" s="24">
        <v>1218</v>
      </c>
      <c r="F1011" s="17" t="s">
        <v>391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3000000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10566</v>
      </c>
      <c r="B1012" s="17" t="s">
        <v>10566</v>
      </c>
      <c r="C1012" s="17" t="s">
        <v>10567</v>
      </c>
      <c r="D1012" s="17" t="s">
        <v>21</v>
      </c>
      <c r="E1012" s="24">
        <v>1218</v>
      </c>
      <c r="F1012" s="17" t="s">
        <v>393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3300000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10568</v>
      </c>
      <c r="B1013" s="17" t="s">
        <v>10568</v>
      </c>
      <c r="C1013" s="17" t="s">
        <v>10569</v>
      </c>
      <c r="D1013" s="17" t="s">
        <v>21</v>
      </c>
      <c r="E1013" s="24">
        <v>1218</v>
      </c>
      <c r="F1013" s="17" t="s">
        <v>395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3600000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10570</v>
      </c>
      <c r="B1014" s="17" t="s">
        <v>10570</v>
      </c>
      <c r="C1014" s="17" t="s">
        <v>10571</v>
      </c>
      <c r="D1014" s="17" t="s">
        <v>21</v>
      </c>
      <c r="E1014" s="24">
        <v>1218</v>
      </c>
      <c r="F1014" s="17" t="s">
        <v>397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3900000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10572</v>
      </c>
      <c r="B1015" s="17" t="s">
        <v>10572</v>
      </c>
      <c r="C1015" s="17" t="s">
        <v>10573</v>
      </c>
      <c r="D1015" s="17" t="s">
        <v>21</v>
      </c>
      <c r="E1015" s="24">
        <v>1218</v>
      </c>
      <c r="F1015" s="17" t="s">
        <v>399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4300000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10574</v>
      </c>
      <c r="B1016" s="17" t="s">
        <v>10574</v>
      </c>
      <c r="C1016" s="17" t="s">
        <v>10575</v>
      </c>
      <c r="D1016" s="17" t="s">
        <v>21</v>
      </c>
      <c r="E1016" s="24">
        <v>1218</v>
      </c>
      <c r="F1016" s="17" t="s">
        <v>401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4700000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10576</v>
      </c>
      <c r="B1017" s="17" t="s">
        <v>10576</v>
      </c>
      <c r="C1017" s="17" t="s">
        <v>10577</v>
      </c>
      <c r="D1017" s="17" t="s">
        <v>21</v>
      </c>
      <c r="E1017" s="24">
        <v>1218</v>
      </c>
      <c r="F1017" s="17" t="s">
        <v>403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5100000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10578</v>
      </c>
      <c r="B1018" s="17" t="s">
        <v>10578</v>
      </c>
      <c r="C1018" s="17" t="s">
        <v>10579</v>
      </c>
      <c r="D1018" s="17" t="s">
        <v>21</v>
      </c>
      <c r="E1018" s="24">
        <v>1218</v>
      </c>
      <c r="F1018" s="17" t="s">
        <v>405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5600000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10580</v>
      </c>
      <c r="B1019" s="17" t="s">
        <v>10580</v>
      </c>
      <c r="C1019" s="17" t="s">
        <v>10581</v>
      </c>
      <c r="D1019" s="17" t="s">
        <v>21</v>
      </c>
      <c r="E1019" s="24">
        <v>1218</v>
      </c>
      <c r="F1019" s="17" t="s">
        <v>407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6200000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10582</v>
      </c>
      <c r="B1020" s="17" t="s">
        <v>10582</v>
      </c>
      <c r="C1020" s="17" t="s">
        <v>10583</v>
      </c>
      <c r="D1020" s="17" t="s">
        <v>21</v>
      </c>
      <c r="E1020" s="24">
        <v>1218</v>
      </c>
      <c r="F1020" s="17" t="s">
        <v>409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6800000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10584</v>
      </c>
      <c r="B1021" s="17" t="s">
        <v>10584</v>
      </c>
      <c r="C1021" s="17" t="s">
        <v>10585</v>
      </c>
      <c r="D1021" s="17" t="s">
        <v>21</v>
      </c>
      <c r="E1021" s="24">
        <v>1218</v>
      </c>
      <c r="F1021" s="17" t="s">
        <v>411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7500000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10586</v>
      </c>
      <c r="B1022" s="17" t="s">
        <v>10586</v>
      </c>
      <c r="C1022" s="17" t="s">
        <v>10587</v>
      </c>
      <c r="D1022" s="17" t="s">
        <v>21</v>
      </c>
      <c r="E1022" s="24">
        <v>1218</v>
      </c>
      <c r="F1022" s="17" t="s">
        <v>413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8200000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10588</v>
      </c>
      <c r="B1023" s="17" t="s">
        <v>10588</v>
      </c>
      <c r="C1023" s="17" t="s">
        <v>10589</v>
      </c>
      <c r="D1023" s="17" t="s">
        <v>21</v>
      </c>
      <c r="E1023" s="24">
        <v>1218</v>
      </c>
      <c r="F1023" s="17" t="s">
        <v>415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9100000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10590</v>
      </c>
      <c r="B1024" s="17" t="s">
        <v>10590</v>
      </c>
      <c r="C1024" s="17" t="s">
        <v>10591</v>
      </c>
      <c r="D1024" s="17" t="s">
        <v>21</v>
      </c>
      <c r="E1024" s="24">
        <v>1218</v>
      </c>
      <c r="F1024" s="17" t="s">
        <v>417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10000000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6" t="s">
        <v>9912</v>
      </c>
      <c r="B1025" s="16" t="s">
        <v>9912</v>
      </c>
      <c r="C1025" s="16" t="s">
        <v>9913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419</v>
      </c>
      <c r="I1025" s="18" t="s">
        <v>461</v>
      </c>
      <c r="J1025" s="41"/>
      <c r="K1025" s="41"/>
      <c r="L1025" s="41"/>
      <c r="M1025" s="19">
        <v>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9914</v>
      </c>
      <c r="B1026" s="17" t="s">
        <v>9914</v>
      </c>
      <c r="C1026" s="17" t="s">
        <v>9915</v>
      </c>
      <c r="D1026" s="17" t="s">
        <v>21</v>
      </c>
      <c r="E1026" s="24">
        <v>2010</v>
      </c>
      <c r="F1026" s="17" t="s">
        <v>29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17">
        <v>1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9916</v>
      </c>
      <c r="B1027" s="17" t="s">
        <v>9916</v>
      </c>
      <c r="C1027" s="17" t="s">
        <v>9917</v>
      </c>
      <c r="D1027" s="17" t="s">
        <v>21</v>
      </c>
      <c r="E1027" s="24">
        <v>2010</v>
      </c>
      <c r="F1027" s="17" t="s">
        <v>1042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17">
        <v>1.1000000000000001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9918</v>
      </c>
      <c r="B1028" s="17" t="s">
        <v>9918</v>
      </c>
      <c r="C1028" s="17" t="s">
        <v>9919</v>
      </c>
      <c r="D1028" s="17" t="s">
        <v>21</v>
      </c>
      <c r="E1028" s="24">
        <v>2010</v>
      </c>
      <c r="F1028" s="17" t="s">
        <v>31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17">
        <v>1.2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9920</v>
      </c>
      <c r="B1029" s="17" t="s">
        <v>9920</v>
      </c>
      <c r="C1029" s="17" t="s">
        <v>9921</v>
      </c>
      <c r="D1029" s="17" t="s">
        <v>21</v>
      </c>
      <c r="E1029" s="24">
        <v>2010</v>
      </c>
      <c r="F1029" s="17" t="s">
        <v>1052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17">
        <v>1.3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9922</v>
      </c>
      <c r="B1030" s="17" t="s">
        <v>9922</v>
      </c>
      <c r="C1030" s="17" t="s">
        <v>9923</v>
      </c>
      <c r="D1030" s="17" t="s">
        <v>21</v>
      </c>
      <c r="E1030" s="24">
        <v>2010</v>
      </c>
      <c r="F1030" s="17" t="s">
        <v>33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17">
        <v>1.5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9924</v>
      </c>
      <c r="B1031" s="17" t="s">
        <v>9924</v>
      </c>
      <c r="C1031" s="17" t="s">
        <v>9925</v>
      </c>
      <c r="D1031" s="17" t="s">
        <v>21</v>
      </c>
      <c r="E1031" s="24">
        <v>2010</v>
      </c>
      <c r="F1031" s="17" t="s">
        <v>1062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17">
        <v>1.6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9926</v>
      </c>
      <c r="B1032" s="17" t="s">
        <v>9926</v>
      </c>
      <c r="C1032" s="17" t="s">
        <v>9927</v>
      </c>
      <c r="D1032" s="17" t="s">
        <v>21</v>
      </c>
      <c r="E1032" s="24">
        <v>2010</v>
      </c>
      <c r="F1032" s="17" t="s">
        <v>35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17">
        <v>1.8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9928</v>
      </c>
      <c r="B1033" s="17" t="s">
        <v>9928</v>
      </c>
      <c r="C1033" s="17" t="s">
        <v>9929</v>
      </c>
      <c r="D1033" s="17" t="s">
        <v>21</v>
      </c>
      <c r="E1033" s="24">
        <v>2010</v>
      </c>
      <c r="F1033" s="17" t="s">
        <v>1070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17">
        <v>2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9930</v>
      </c>
      <c r="B1034" s="17" t="s">
        <v>9930</v>
      </c>
      <c r="C1034" s="17" t="s">
        <v>9931</v>
      </c>
      <c r="D1034" s="17" t="s">
        <v>21</v>
      </c>
      <c r="E1034" s="24">
        <v>2010</v>
      </c>
      <c r="F1034" s="17" t="s">
        <v>37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17">
        <v>2.2000000000000002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9932</v>
      </c>
      <c r="B1035" s="17" t="s">
        <v>9932</v>
      </c>
      <c r="C1035" s="17" t="s">
        <v>9933</v>
      </c>
      <c r="D1035" s="17" t="s">
        <v>21</v>
      </c>
      <c r="E1035" s="24">
        <v>2010</v>
      </c>
      <c r="F1035" s="17" t="s">
        <v>1080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17">
        <v>2.4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9934</v>
      </c>
      <c r="B1036" s="17" t="s">
        <v>9934</v>
      </c>
      <c r="C1036" s="17" t="s">
        <v>9935</v>
      </c>
      <c r="D1036" s="17" t="s">
        <v>21</v>
      </c>
      <c r="E1036" s="24">
        <v>2010</v>
      </c>
      <c r="F1036" s="17" t="s">
        <v>39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17">
        <v>2.7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9936</v>
      </c>
      <c r="B1037" s="17" t="s">
        <v>9936</v>
      </c>
      <c r="C1037" s="17" t="s">
        <v>9937</v>
      </c>
      <c r="D1037" s="17" t="s">
        <v>21</v>
      </c>
      <c r="E1037" s="24">
        <v>2010</v>
      </c>
      <c r="F1037" s="17" t="s">
        <v>1088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17">
        <v>3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9938</v>
      </c>
      <c r="B1038" s="17" t="s">
        <v>9938</v>
      </c>
      <c r="C1038" s="17" t="s">
        <v>9939</v>
      </c>
      <c r="D1038" s="17" t="s">
        <v>21</v>
      </c>
      <c r="E1038" s="24">
        <v>2010</v>
      </c>
      <c r="F1038" s="17" t="s">
        <v>41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17">
        <v>3.3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9940</v>
      </c>
      <c r="B1039" s="17" t="s">
        <v>9940</v>
      </c>
      <c r="C1039" s="17" t="s">
        <v>9941</v>
      </c>
      <c r="D1039" s="17" t="s">
        <v>21</v>
      </c>
      <c r="E1039" s="24">
        <v>2010</v>
      </c>
      <c r="F1039" s="17" t="s">
        <v>1098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17">
        <v>3.6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9942</v>
      </c>
      <c r="B1040" s="17" t="s">
        <v>9942</v>
      </c>
      <c r="C1040" s="17" t="s">
        <v>9943</v>
      </c>
      <c r="D1040" s="17" t="s">
        <v>21</v>
      </c>
      <c r="E1040" s="24">
        <v>2010</v>
      </c>
      <c r="F1040" s="17" t="s">
        <v>43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17">
        <v>3.9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9944</v>
      </c>
      <c r="B1041" s="17" t="s">
        <v>9944</v>
      </c>
      <c r="C1041" s="17" t="s">
        <v>9945</v>
      </c>
      <c r="D1041" s="17" t="s">
        <v>21</v>
      </c>
      <c r="E1041" s="24">
        <v>2010</v>
      </c>
      <c r="F1041" s="17" t="s">
        <v>1106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17">
        <v>4.3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9946</v>
      </c>
      <c r="B1042" s="17" t="s">
        <v>9946</v>
      </c>
      <c r="C1042" s="17" t="s">
        <v>9947</v>
      </c>
      <c r="D1042" s="17" t="s">
        <v>21</v>
      </c>
      <c r="E1042" s="24">
        <v>2010</v>
      </c>
      <c r="F1042" s="17" t="s">
        <v>45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17">
        <v>4.7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9948</v>
      </c>
      <c r="B1043" s="17" t="s">
        <v>9948</v>
      </c>
      <c r="C1043" s="17" t="s">
        <v>9949</v>
      </c>
      <c r="D1043" s="17" t="s">
        <v>21</v>
      </c>
      <c r="E1043" s="24">
        <v>2010</v>
      </c>
      <c r="F1043" s="17" t="s">
        <v>1116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5.0999999999999996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9950</v>
      </c>
      <c r="B1044" s="17" t="s">
        <v>9950</v>
      </c>
      <c r="C1044" s="17" t="s">
        <v>9951</v>
      </c>
      <c r="D1044" s="17" t="s">
        <v>21</v>
      </c>
      <c r="E1044" s="24">
        <v>2010</v>
      </c>
      <c r="F1044" s="17" t="s">
        <v>47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5.6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9952</v>
      </c>
      <c r="B1045" s="17" t="s">
        <v>9952</v>
      </c>
      <c r="C1045" s="17" t="s">
        <v>9953</v>
      </c>
      <c r="D1045" s="17" t="s">
        <v>21</v>
      </c>
      <c r="E1045" s="24">
        <v>2010</v>
      </c>
      <c r="F1045" s="17" t="s">
        <v>1128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6.2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9954</v>
      </c>
      <c r="B1046" s="17" t="s">
        <v>9954</v>
      </c>
      <c r="C1046" s="17" t="s">
        <v>9955</v>
      </c>
      <c r="D1046" s="17" t="s">
        <v>21</v>
      </c>
      <c r="E1046" s="24">
        <v>2010</v>
      </c>
      <c r="F1046" s="17" t="s">
        <v>49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6.8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9956</v>
      </c>
      <c r="B1047" s="17" t="s">
        <v>9956</v>
      </c>
      <c r="C1047" s="17" t="s">
        <v>9957</v>
      </c>
      <c r="D1047" s="17" t="s">
        <v>21</v>
      </c>
      <c r="E1047" s="24">
        <v>2010</v>
      </c>
      <c r="F1047" s="17" t="s">
        <v>1138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7.5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9958</v>
      </c>
      <c r="B1048" s="17" t="s">
        <v>9958</v>
      </c>
      <c r="C1048" s="17" t="s">
        <v>9959</v>
      </c>
      <c r="D1048" s="17" t="s">
        <v>21</v>
      </c>
      <c r="E1048" s="24">
        <v>2010</v>
      </c>
      <c r="F1048" s="17" t="s">
        <v>51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8.1999999999999993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9960</v>
      </c>
      <c r="B1049" s="17" t="s">
        <v>9960</v>
      </c>
      <c r="C1049" s="17" t="s">
        <v>9961</v>
      </c>
      <c r="D1049" s="17" t="s">
        <v>21</v>
      </c>
      <c r="E1049" s="24">
        <v>2010</v>
      </c>
      <c r="F1049" s="17" t="s">
        <v>1148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9.1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9962</v>
      </c>
      <c r="B1050" s="17" t="s">
        <v>9962</v>
      </c>
      <c r="C1050" s="17" t="s">
        <v>9963</v>
      </c>
      <c r="D1050" s="17" t="s">
        <v>21</v>
      </c>
      <c r="E1050" s="24">
        <v>2010</v>
      </c>
      <c r="F1050" s="17" t="s">
        <v>53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21">
        <v>10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9964</v>
      </c>
      <c r="B1051" s="17" t="s">
        <v>9964</v>
      </c>
      <c r="C1051" s="17" t="s">
        <v>9965</v>
      </c>
      <c r="D1051" s="17" t="s">
        <v>21</v>
      </c>
      <c r="E1051" s="24">
        <v>2010</v>
      </c>
      <c r="F1051" s="17" t="s">
        <v>57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21">
        <v>11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9966</v>
      </c>
      <c r="B1052" s="17" t="s">
        <v>9966</v>
      </c>
      <c r="C1052" s="17" t="s">
        <v>9967</v>
      </c>
      <c r="D1052" s="17" t="s">
        <v>21</v>
      </c>
      <c r="E1052" s="24">
        <v>2010</v>
      </c>
      <c r="F1052" s="17" t="s">
        <v>59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21">
        <v>12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9968</v>
      </c>
      <c r="B1053" s="17" t="s">
        <v>9968</v>
      </c>
      <c r="C1053" s="17" t="s">
        <v>9969</v>
      </c>
      <c r="D1053" s="17" t="s">
        <v>21</v>
      </c>
      <c r="E1053" s="24">
        <v>2010</v>
      </c>
      <c r="F1053" s="17" t="s">
        <v>61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21">
        <v>13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9970</v>
      </c>
      <c r="B1054" s="17" t="s">
        <v>9970</v>
      </c>
      <c r="C1054" s="17" t="s">
        <v>9971</v>
      </c>
      <c r="D1054" s="17" t="s">
        <v>21</v>
      </c>
      <c r="E1054" s="24">
        <v>2010</v>
      </c>
      <c r="F1054" s="17" t="s">
        <v>63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21">
        <v>15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9972</v>
      </c>
      <c r="B1055" s="17" t="s">
        <v>9972</v>
      </c>
      <c r="C1055" s="17" t="s">
        <v>9973</v>
      </c>
      <c r="D1055" s="17" t="s">
        <v>21</v>
      </c>
      <c r="E1055" s="24">
        <v>2010</v>
      </c>
      <c r="F1055" s="17" t="s">
        <v>65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21">
        <v>16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9974</v>
      </c>
      <c r="B1056" s="17" t="s">
        <v>9974</v>
      </c>
      <c r="C1056" s="17" t="s">
        <v>9975</v>
      </c>
      <c r="D1056" s="17" t="s">
        <v>21</v>
      </c>
      <c r="E1056" s="24">
        <v>2010</v>
      </c>
      <c r="F1056" s="17" t="s">
        <v>67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21">
        <v>18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9976</v>
      </c>
      <c r="B1057" s="17" t="s">
        <v>9976</v>
      </c>
      <c r="C1057" s="17" t="s">
        <v>9977</v>
      </c>
      <c r="D1057" s="17" t="s">
        <v>21</v>
      </c>
      <c r="E1057" s="24">
        <v>2010</v>
      </c>
      <c r="F1057" s="17" t="s">
        <v>69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21">
        <v>20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9978</v>
      </c>
      <c r="B1058" s="17" t="s">
        <v>9978</v>
      </c>
      <c r="C1058" s="17" t="s">
        <v>9979</v>
      </c>
      <c r="D1058" s="17" t="s">
        <v>21</v>
      </c>
      <c r="E1058" s="24">
        <v>2010</v>
      </c>
      <c r="F1058" s="17" t="s">
        <v>71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21">
        <v>22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9980</v>
      </c>
      <c r="B1059" s="17" t="s">
        <v>9980</v>
      </c>
      <c r="C1059" s="17" t="s">
        <v>9981</v>
      </c>
      <c r="D1059" s="17" t="s">
        <v>21</v>
      </c>
      <c r="E1059" s="24">
        <v>2010</v>
      </c>
      <c r="F1059" s="17" t="s">
        <v>75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21">
        <v>24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9982</v>
      </c>
      <c r="B1060" s="17" t="s">
        <v>9982</v>
      </c>
      <c r="C1060" s="17" t="s">
        <v>9983</v>
      </c>
      <c r="D1060" s="17" t="s">
        <v>21</v>
      </c>
      <c r="E1060" s="24">
        <v>2010</v>
      </c>
      <c r="F1060" s="17" t="s">
        <v>77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21">
        <v>27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9984</v>
      </c>
      <c r="B1061" s="17" t="s">
        <v>9984</v>
      </c>
      <c r="C1061" s="17" t="s">
        <v>9985</v>
      </c>
      <c r="D1061" s="17" t="s">
        <v>21</v>
      </c>
      <c r="E1061" s="24">
        <v>2010</v>
      </c>
      <c r="F1061" s="17" t="s">
        <v>79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21">
        <v>30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9986</v>
      </c>
      <c r="B1062" s="17" t="s">
        <v>9986</v>
      </c>
      <c r="C1062" s="17" t="s">
        <v>9987</v>
      </c>
      <c r="D1062" s="17" t="s">
        <v>21</v>
      </c>
      <c r="E1062" s="24">
        <v>2010</v>
      </c>
      <c r="F1062" s="17" t="s">
        <v>81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21">
        <v>33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9988</v>
      </c>
      <c r="B1063" s="17" t="s">
        <v>9988</v>
      </c>
      <c r="C1063" s="17" t="s">
        <v>9989</v>
      </c>
      <c r="D1063" s="17" t="s">
        <v>21</v>
      </c>
      <c r="E1063" s="24">
        <v>2010</v>
      </c>
      <c r="F1063" s="17" t="s">
        <v>83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21">
        <v>36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9990</v>
      </c>
      <c r="B1064" s="17" t="s">
        <v>9990</v>
      </c>
      <c r="C1064" s="17" t="s">
        <v>9991</v>
      </c>
      <c r="D1064" s="17" t="s">
        <v>21</v>
      </c>
      <c r="E1064" s="24">
        <v>2010</v>
      </c>
      <c r="F1064" s="17" t="s">
        <v>85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21">
        <v>39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9992</v>
      </c>
      <c r="B1065" s="17" t="s">
        <v>9992</v>
      </c>
      <c r="C1065" s="17" t="s">
        <v>9993</v>
      </c>
      <c r="D1065" s="17" t="s">
        <v>21</v>
      </c>
      <c r="E1065" s="24">
        <v>2010</v>
      </c>
      <c r="F1065" s="17" t="s">
        <v>87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21">
        <v>43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9994</v>
      </c>
      <c r="B1066" s="17" t="s">
        <v>9994</v>
      </c>
      <c r="C1066" s="17" t="s">
        <v>9995</v>
      </c>
      <c r="D1066" s="17" t="s">
        <v>21</v>
      </c>
      <c r="E1066" s="24">
        <v>2010</v>
      </c>
      <c r="F1066" s="17" t="s">
        <v>89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21">
        <v>47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9996</v>
      </c>
      <c r="B1067" s="17" t="s">
        <v>9996</v>
      </c>
      <c r="C1067" s="17" t="s">
        <v>9997</v>
      </c>
      <c r="D1067" s="17" t="s">
        <v>21</v>
      </c>
      <c r="E1067" s="24">
        <v>2010</v>
      </c>
      <c r="F1067" s="17" t="s">
        <v>91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51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9998</v>
      </c>
      <c r="B1068" s="17" t="s">
        <v>9998</v>
      </c>
      <c r="C1068" s="17" t="s">
        <v>9999</v>
      </c>
      <c r="D1068" s="17" t="s">
        <v>21</v>
      </c>
      <c r="E1068" s="24">
        <v>2010</v>
      </c>
      <c r="F1068" s="17" t="s">
        <v>93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56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10000</v>
      </c>
      <c r="B1069" s="17" t="s">
        <v>10000</v>
      </c>
      <c r="C1069" s="17" t="s">
        <v>10001</v>
      </c>
      <c r="D1069" s="17" t="s">
        <v>21</v>
      </c>
      <c r="E1069" s="24">
        <v>2010</v>
      </c>
      <c r="F1069" s="17" t="s">
        <v>95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62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10002</v>
      </c>
      <c r="B1070" s="17" t="s">
        <v>10002</v>
      </c>
      <c r="C1070" s="17" t="s">
        <v>10003</v>
      </c>
      <c r="D1070" s="17" t="s">
        <v>21</v>
      </c>
      <c r="E1070" s="24">
        <v>2010</v>
      </c>
      <c r="F1070" s="17" t="s">
        <v>97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68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10004</v>
      </c>
      <c r="B1071" s="17" t="s">
        <v>10004</v>
      </c>
      <c r="C1071" s="17" t="s">
        <v>10005</v>
      </c>
      <c r="D1071" s="17" t="s">
        <v>21</v>
      </c>
      <c r="E1071" s="24">
        <v>2010</v>
      </c>
      <c r="F1071" s="17" t="s">
        <v>99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75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10006</v>
      </c>
      <c r="B1072" s="17" t="s">
        <v>10006</v>
      </c>
      <c r="C1072" s="17" t="s">
        <v>10007</v>
      </c>
      <c r="D1072" s="17" t="s">
        <v>21</v>
      </c>
      <c r="E1072" s="24">
        <v>2010</v>
      </c>
      <c r="F1072" s="17" t="s">
        <v>101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82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10008</v>
      </c>
      <c r="B1073" s="17" t="s">
        <v>10008</v>
      </c>
      <c r="C1073" s="17" t="s">
        <v>10009</v>
      </c>
      <c r="D1073" s="17" t="s">
        <v>21</v>
      </c>
      <c r="E1073" s="24">
        <v>2010</v>
      </c>
      <c r="F1073" s="17" t="s">
        <v>103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91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10010</v>
      </c>
      <c r="B1074" s="17" t="s">
        <v>10010</v>
      </c>
      <c r="C1074" s="17" t="s">
        <v>10011</v>
      </c>
      <c r="D1074" s="17" t="s">
        <v>21</v>
      </c>
      <c r="E1074" s="24">
        <v>2010</v>
      </c>
      <c r="F1074" s="17" t="s">
        <v>105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100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10012</v>
      </c>
      <c r="B1075" s="17" t="s">
        <v>10012</v>
      </c>
      <c r="C1075" s="17" t="s">
        <v>10013</v>
      </c>
      <c r="D1075" s="17" t="s">
        <v>21</v>
      </c>
      <c r="E1075" s="24">
        <v>2010</v>
      </c>
      <c r="F1075" s="17" t="s">
        <v>109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110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10014</v>
      </c>
      <c r="B1076" s="17" t="s">
        <v>10014</v>
      </c>
      <c r="C1076" s="17" t="s">
        <v>10015</v>
      </c>
      <c r="D1076" s="17" t="s">
        <v>21</v>
      </c>
      <c r="E1076" s="24">
        <v>2010</v>
      </c>
      <c r="F1076" s="17" t="s">
        <v>111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120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10016</v>
      </c>
      <c r="B1077" s="17" t="s">
        <v>10016</v>
      </c>
      <c r="C1077" s="17" t="s">
        <v>10017</v>
      </c>
      <c r="D1077" s="17" t="s">
        <v>21</v>
      </c>
      <c r="E1077" s="24">
        <v>2010</v>
      </c>
      <c r="F1077" s="17" t="s">
        <v>113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130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10018</v>
      </c>
      <c r="B1078" s="17" t="s">
        <v>10018</v>
      </c>
      <c r="C1078" s="17" t="s">
        <v>10019</v>
      </c>
      <c r="D1078" s="17" t="s">
        <v>21</v>
      </c>
      <c r="E1078" s="24">
        <v>2010</v>
      </c>
      <c r="F1078" s="17" t="s">
        <v>115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150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10020</v>
      </c>
      <c r="B1079" s="17" t="s">
        <v>10020</v>
      </c>
      <c r="C1079" s="17" t="s">
        <v>10021</v>
      </c>
      <c r="D1079" s="17" t="s">
        <v>21</v>
      </c>
      <c r="E1079" s="24">
        <v>2010</v>
      </c>
      <c r="F1079" s="17" t="s">
        <v>117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160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10022</v>
      </c>
      <c r="B1080" s="17" t="s">
        <v>10022</v>
      </c>
      <c r="C1080" s="17" t="s">
        <v>10023</v>
      </c>
      <c r="D1080" s="17" t="s">
        <v>21</v>
      </c>
      <c r="E1080" s="24">
        <v>2010</v>
      </c>
      <c r="F1080" s="17" t="s">
        <v>119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180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10024</v>
      </c>
      <c r="B1081" s="17" t="s">
        <v>10024</v>
      </c>
      <c r="C1081" s="17" t="s">
        <v>10025</v>
      </c>
      <c r="D1081" s="17" t="s">
        <v>21</v>
      </c>
      <c r="E1081" s="24">
        <v>2010</v>
      </c>
      <c r="F1081" s="17" t="s">
        <v>123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200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10026</v>
      </c>
      <c r="B1082" s="17" t="s">
        <v>10026</v>
      </c>
      <c r="C1082" s="17" t="s">
        <v>10027</v>
      </c>
      <c r="D1082" s="17" t="s">
        <v>21</v>
      </c>
      <c r="E1082" s="24">
        <v>2010</v>
      </c>
      <c r="F1082" s="17" t="s">
        <v>125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220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10028</v>
      </c>
      <c r="B1083" s="17" t="s">
        <v>10028</v>
      </c>
      <c r="C1083" s="17" t="s">
        <v>10029</v>
      </c>
      <c r="D1083" s="17" t="s">
        <v>21</v>
      </c>
      <c r="E1083" s="24">
        <v>2010</v>
      </c>
      <c r="F1083" s="17" t="s">
        <v>129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240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10030</v>
      </c>
      <c r="B1084" s="17" t="s">
        <v>10030</v>
      </c>
      <c r="C1084" s="17" t="s">
        <v>10031</v>
      </c>
      <c r="D1084" s="17" t="s">
        <v>21</v>
      </c>
      <c r="E1084" s="24">
        <v>2010</v>
      </c>
      <c r="F1084" s="17" t="s">
        <v>131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270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10032</v>
      </c>
      <c r="B1085" s="17" t="s">
        <v>10032</v>
      </c>
      <c r="C1085" s="17" t="s">
        <v>10033</v>
      </c>
      <c r="D1085" s="17" t="s">
        <v>21</v>
      </c>
      <c r="E1085" s="24">
        <v>2010</v>
      </c>
      <c r="F1085" s="17" t="s">
        <v>133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300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10034</v>
      </c>
      <c r="B1086" s="17" t="s">
        <v>10034</v>
      </c>
      <c r="C1086" s="17" t="s">
        <v>10035</v>
      </c>
      <c r="D1086" s="17" t="s">
        <v>21</v>
      </c>
      <c r="E1086" s="24">
        <v>2010</v>
      </c>
      <c r="F1086" s="17" t="s">
        <v>137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330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10036</v>
      </c>
      <c r="B1087" s="17" t="s">
        <v>10036</v>
      </c>
      <c r="C1087" s="17" t="s">
        <v>10037</v>
      </c>
      <c r="D1087" s="17" t="s">
        <v>21</v>
      </c>
      <c r="E1087" s="24">
        <v>2010</v>
      </c>
      <c r="F1087" s="17" t="s">
        <v>139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360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10038</v>
      </c>
      <c r="B1088" s="17" t="s">
        <v>10038</v>
      </c>
      <c r="C1088" s="17" t="s">
        <v>10039</v>
      </c>
      <c r="D1088" s="17" t="s">
        <v>21</v>
      </c>
      <c r="E1088" s="24">
        <v>2010</v>
      </c>
      <c r="F1088" s="17" t="s">
        <v>141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390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10040</v>
      </c>
      <c r="B1089" s="17" t="s">
        <v>10040</v>
      </c>
      <c r="C1089" s="17" t="s">
        <v>10041</v>
      </c>
      <c r="D1089" s="17" t="s">
        <v>21</v>
      </c>
      <c r="E1089" s="24">
        <v>2010</v>
      </c>
      <c r="F1089" s="17" t="s">
        <v>143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430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10042</v>
      </c>
      <c r="B1090" s="17" t="s">
        <v>10042</v>
      </c>
      <c r="C1090" s="17" t="s">
        <v>10043</v>
      </c>
      <c r="D1090" s="17" t="s">
        <v>21</v>
      </c>
      <c r="E1090" s="24">
        <v>2010</v>
      </c>
      <c r="F1090" s="17" t="s">
        <v>145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470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10044</v>
      </c>
      <c r="B1091" s="17" t="s">
        <v>10044</v>
      </c>
      <c r="C1091" s="17" t="s">
        <v>10045</v>
      </c>
      <c r="D1091" s="17" t="s">
        <v>21</v>
      </c>
      <c r="E1091" s="24">
        <v>2010</v>
      </c>
      <c r="F1091" s="17" t="s">
        <v>149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510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10046</v>
      </c>
      <c r="B1092" s="17" t="s">
        <v>10046</v>
      </c>
      <c r="C1092" s="17" t="s">
        <v>10047</v>
      </c>
      <c r="D1092" s="17" t="s">
        <v>21</v>
      </c>
      <c r="E1092" s="24">
        <v>2010</v>
      </c>
      <c r="F1092" s="17" t="s">
        <v>151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560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10048</v>
      </c>
      <c r="B1093" s="17" t="s">
        <v>10048</v>
      </c>
      <c r="C1093" s="17" t="s">
        <v>10049</v>
      </c>
      <c r="D1093" s="17" t="s">
        <v>21</v>
      </c>
      <c r="E1093" s="24">
        <v>2010</v>
      </c>
      <c r="F1093" s="17" t="s">
        <v>153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620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10050</v>
      </c>
      <c r="B1094" s="17" t="s">
        <v>10050</v>
      </c>
      <c r="C1094" s="17" t="s">
        <v>10051</v>
      </c>
      <c r="D1094" s="17" t="s">
        <v>21</v>
      </c>
      <c r="E1094" s="24">
        <v>2010</v>
      </c>
      <c r="F1094" s="17" t="s">
        <v>155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680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10052</v>
      </c>
      <c r="B1095" s="17" t="s">
        <v>10052</v>
      </c>
      <c r="C1095" s="17" t="s">
        <v>10053</v>
      </c>
      <c r="D1095" s="17" t="s">
        <v>21</v>
      </c>
      <c r="E1095" s="24">
        <v>2010</v>
      </c>
      <c r="F1095" s="17" t="s">
        <v>157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750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10054</v>
      </c>
      <c r="B1096" s="17" t="s">
        <v>10054</v>
      </c>
      <c r="C1096" s="17" t="s">
        <v>10055</v>
      </c>
      <c r="D1096" s="17" t="s">
        <v>21</v>
      </c>
      <c r="E1096" s="24">
        <v>2010</v>
      </c>
      <c r="F1096" s="17" t="s">
        <v>159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820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10056</v>
      </c>
      <c r="B1097" s="17" t="s">
        <v>10056</v>
      </c>
      <c r="C1097" s="17" t="s">
        <v>10057</v>
      </c>
      <c r="D1097" s="17" t="s">
        <v>21</v>
      </c>
      <c r="E1097" s="24">
        <v>2010</v>
      </c>
      <c r="F1097" s="17" t="s">
        <v>161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910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10058</v>
      </c>
      <c r="B1098" s="17" t="s">
        <v>10058</v>
      </c>
      <c r="C1098" s="17" t="s">
        <v>10059</v>
      </c>
      <c r="D1098" s="17" t="s">
        <v>21</v>
      </c>
      <c r="E1098" s="24">
        <v>2010</v>
      </c>
      <c r="F1098" s="17" t="s">
        <v>163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1000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10060</v>
      </c>
      <c r="B1099" s="17" t="s">
        <v>10060</v>
      </c>
      <c r="C1099" s="17" t="s">
        <v>10061</v>
      </c>
      <c r="D1099" s="17" t="s">
        <v>21</v>
      </c>
      <c r="E1099" s="24">
        <v>2010</v>
      </c>
      <c r="F1099" s="17" t="s">
        <v>165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1100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10062</v>
      </c>
      <c r="B1100" s="17" t="s">
        <v>10062</v>
      </c>
      <c r="C1100" s="17" t="s">
        <v>10063</v>
      </c>
      <c r="D1100" s="17" t="s">
        <v>21</v>
      </c>
      <c r="E1100" s="24">
        <v>2010</v>
      </c>
      <c r="F1100" s="17" t="s">
        <v>167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1200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10064</v>
      </c>
      <c r="B1101" s="17" t="s">
        <v>10064</v>
      </c>
      <c r="C1101" s="17" t="s">
        <v>10065</v>
      </c>
      <c r="D1101" s="17" t="s">
        <v>21</v>
      </c>
      <c r="E1101" s="24">
        <v>2010</v>
      </c>
      <c r="F1101" s="17" t="s">
        <v>169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1300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10066</v>
      </c>
      <c r="B1102" s="17" t="s">
        <v>10066</v>
      </c>
      <c r="C1102" s="17" t="s">
        <v>10067</v>
      </c>
      <c r="D1102" s="17" t="s">
        <v>21</v>
      </c>
      <c r="E1102" s="24">
        <v>2010</v>
      </c>
      <c r="F1102" s="17" t="s">
        <v>171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1500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10068</v>
      </c>
      <c r="B1103" s="17" t="s">
        <v>10068</v>
      </c>
      <c r="C1103" s="17" t="s">
        <v>10069</v>
      </c>
      <c r="D1103" s="17" t="s">
        <v>21</v>
      </c>
      <c r="E1103" s="24">
        <v>2010</v>
      </c>
      <c r="F1103" s="17" t="s">
        <v>175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1600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10070</v>
      </c>
      <c r="B1104" s="17" t="s">
        <v>10070</v>
      </c>
      <c r="C1104" s="17" t="s">
        <v>10071</v>
      </c>
      <c r="D1104" s="17" t="s">
        <v>21</v>
      </c>
      <c r="E1104" s="24">
        <v>2010</v>
      </c>
      <c r="F1104" s="17" t="s">
        <v>181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1800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10072</v>
      </c>
      <c r="B1105" s="17" t="s">
        <v>10072</v>
      </c>
      <c r="C1105" s="17" t="s">
        <v>10073</v>
      </c>
      <c r="D1105" s="17" t="s">
        <v>21</v>
      </c>
      <c r="E1105" s="24">
        <v>2010</v>
      </c>
      <c r="F1105" s="17" t="s">
        <v>183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2000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10074</v>
      </c>
      <c r="B1106" s="17" t="s">
        <v>10074</v>
      </c>
      <c r="C1106" s="17" t="s">
        <v>10075</v>
      </c>
      <c r="D1106" s="17" t="s">
        <v>21</v>
      </c>
      <c r="E1106" s="24">
        <v>2010</v>
      </c>
      <c r="F1106" s="17" t="s">
        <v>187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2200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10076</v>
      </c>
      <c r="B1107" s="17" t="s">
        <v>10076</v>
      </c>
      <c r="C1107" s="17" t="s">
        <v>10077</v>
      </c>
      <c r="D1107" s="17" t="s">
        <v>21</v>
      </c>
      <c r="E1107" s="24">
        <v>2010</v>
      </c>
      <c r="F1107" s="17" t="s">
        <v>191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2400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10078</v>
      </c>
      <c r="B1108" s="17" t="s">
        <v>10078</v>
      </c>
      <c r="C1108" s="17" t="s">
        <v>10079</v>
      </c>
      <c r="D1108" s="17" t="s">
        <v>21</v>
      </c>
      <c r="E1108" s="24">
        <v>2010</v>
      </c>
      <c r="F1108" s="17" t="s">
        <v>193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2700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10080</v>
      </c>
      <c r="B1109" s="17" t="s">
        <v>10080</v>
      </c>
      <c r="C1109" s="17" t="s">
        <v>10081</v>
      </c>
      <c r="D1109" s="17" t="s">
        <v>21</v>
      </c>
      <c r="E1109" s="24">
        <v>2010</v>
      </c>
      <c r="F1109" s="17" t="s">
        <v>197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3000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10082</v>
      </c>
      <c r="B1110" s="17" t="s">
        <v>10082</v>
      </c>
      <c r="C1110" s="17" t="s">
        <v>10083</v>
      </c>
      <c r="D1110" s="17" t="s">
        <v>21</v>
      </c>
      <c r="E1110" s="24">
        <v>2010</v>
      </c>
      <c r="F1110" s="17" t="s">
        <v>201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3300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10084</v>
      </c>
      <c r="B1111" s="17" t="s">
        <v>10084</v>
      </c>
      <c r="C1111" s="17" t="s">
        <v>10085</v>
      </c>
      <c r="D1111" s="17" t="s">
        <v>21</v>
      </c>
      <c r="E1111" s="24">
        <v>2010</v>
      </c>
      <c r="F1111" s="17" t="s">
        <v>203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3600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10086</v>
      </c>
      <c r="B1112" s="17" t="s">
        <v>10086</v>
      </c>
      <c r="C1112" s="17" t="s">
        <v>10087</v>
      </c>
      <c r="D1112" s="17" t="s">
        <v>21</v>
      </c>
      <c r="E1112" s="24">
        <v>2010</v>
      </c>
      <c r="F1112" s="17" t="s">
        <v>205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3900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10088</v>
      </c>
      <c r="B1113" s="17" t="s">
        <v>10088</v>
      </c>
      <c r="C1113" s="17" t="s">
        <v>10089</v>
      </c>
      <c r="D1113" s="17" t="s">
        <v>21</v>
      </c>
      <c r="E1113" s="24">
        <v>2010</v>
      </c>
      <c r="F1113" s="17" t="s">
        <v>207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4300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10090</v>
      </c>
      <c r="B1114" s="17" t="s">
        <v>10090</v>
      </c>
      <c r="C1114" s="17" t="s">
        <v>10091</v>
      </c>
      <c r="D1114" s="17" t="s">
        <v>21</v>
      </c>
      <c r="E1114" s="24">
        <v>2010</v>
      </c>
      <c r="F1114" s="17" t="s">
        <v>209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4700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10092</v>
      </c>
      <c r="B1115" s="17" t="s">
        <v>10092</v>
      </c>
      <c r="C1115" s="17" t="s">
        <v>10093</v>
      </c>
      <c r="D1115" s="17" t="s">
        <v>21</v>
      </c>
      <c r="E1115" s="24">
        <v>2010</v>
      </c>
      <c r="F1115" s="17" t="s">
        <v>213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5100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10094</v>
      </c>
      <c r="B1116" s="17" t="s">
        <v>10094</v>
      </c>
      <c r="C1116" s="17" t="s">
        <v>10095</v>
      </c>
      <c r="D1116" s="17" t="s">
        <v>21</v>
      </c>
      <c r="E1116" s="24">
        <v>2010</v>
      </c>
      <c r="F1116" s="17" t="s">
        <v>215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5600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10096</v>
      </c>
      <c r="B1117" s="17" t="s">
        <v>10096</v>
      </c>
      <c r="C1117" s="17" t="s">
        <v>10097</v>
      </c>
      <c r="D1117" s="17" t="s">
        <v>21</v>
      </c>
      <c r="E1117" s="24">
        <v>2010</v>
      </c>
      <c r="F1117" s="17" t="s">
        <v>217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6200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10098</v>
      </c>
      <c r="B1118" s="17" t="s">
        <v>10098</v>
      </c>
      <c r="C1118" s="17" t="s">
        <v>10099</v>
      </c>
      <c r="D1118" s="17" t="s">
        <v>21</v>
      </c>
      <c r="E1118" s="24">
        <v>2010</v>
      </c>
      <c r="F1118" s="17" t="s">
        <v>219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6800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10100</v>
      </c>
      <c r="B1119" s="17" t="s">
        <v>10100</v>
      </c>
      <c r="C1119" s="17" t="s">
        <v>10101</v>
      </c>
      <c r="D1119" s="17" t="s">
        <v>21</v>
      </c>
      <c r="E1119" s="24">
        <v>2010</v>
      </c>
      <c r="F1119" s="17" t="s">
        <v>221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7500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10102</v>
      </c>
      <c r="B1120" s="17" t="s">
        <v>10102</v>
      </c>
      <c r="C1120" s="17" t="s">
        <v>10103</v>
      </c>
      <c r="D1120" s="17" t="s">
        <v>21</v>
      </c>
      <c r="E1120" s="24">
        <v>2010</v>
      </c>
      <c r="F1120" s="17" t="s">
        <v>223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8200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10104</v>
      </c>
      <c r="B1121" s="17" t="s">
        <v>10104</v>
      </c>
      <c r="C1121" s="17" t="s">
        <v>10105</v>
      </c>
      <c r="D1121" s="17" t="s">
        <v>21</v>
      </c>
      <c r="E1121" s="24">
        <v>2010</v>
      </c>
      <c r="F1121" s="17" t="s">
        <v>225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9100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10106</v>
      </c>
      <c r="B1122" s="17" t="s">
        <v>10106</v>
      </c>
      <c r="C1122" s="17" t="s">
        <v>10107</v>
      </c>
      <c r="D1122" s="17" t="s">
        <v>21</v>
      </c>
      <c r="E1122" s="24">
        <v>2010</v>
      </c>
      <c r="F1122" s="17" t="s">
        <v>229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10000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10108</v>
      </c>
      <c r="B1123" s="17" t="s">
        <v>10108</v>
      </c>
      <c r="C1123" s="17" t="s">
        <v>10109</v>
      </c>
      <c r="D1123" s="17" t="s">
        <v>21</v>
      </c>
      <c r="E1123" s="24">
        <v>2010</v>
      </c>
      <c r="F1123" s="17" t="s">
        <v>233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11000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10110</v>
      </c>
      <c r="B1124" s="17" t="s">
        <v>10110</v>
      </c>
      <c r="C1124" s="17" t="s">
        <v>10111</v>
      </c>
      <c r="D1124" s="17" t="s">
        <v>21</v>
      </c>
      <c r="E1124" s="24">
        <v>2010</v>
      </c>
      <c r="F1124" s="17" t="s">
        <v>235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12000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10112</v>
      </c>
      <c r="B1125" s="17" t="s">
        <v>10112</v>
      </c>
      <c r="C1125" s="17" t="s">
        <v>10113</v>
      </c>
      <c r="D1125" s="17" t="s">
        <v>21</v>
      </c>
      <c r="E1125" s="24">
        <v>2010</v>
      </c>
      <c r="F1125" s="17" t="s">
        <v>239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13000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10114</v>
      </c>
      <c r="B1126" s="17" t="s">
        <v>10114</v>
      </c>
      <c r="C1126" s="17" t="s">
        <v>10115</v>
      </c>
      <c r="D1126" s="17" t="s">
        <v>21</v>
      </c>
      <c r="E1126" s="24">
        <v>2010</v>
      </c>
      <c r="F1126" s="17" t="s">
        <v>243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15000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10116</v>
      </c>
      <c r="B1127" s="17" t="s">
        <v>10116</v>
      </c>
      <c r="C1127" s="17" t="s">
        <v>10117</v>
      </c>
      <c r="D1127" s="17" t="s">
        <v>21</v>
      </c>
      <c r="E1127" s="24">
        <v>2010</v>
      </c>
      <c r="F1127" s="17" t="s">
        <v>247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16000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10118</v>
      </c>
      <c r="B1128" s="17" t="s">
        <v>10118</v>
      </c>
      <c r="C1128" s="17" t="s">
        <v>10119</v>
      </c>
      <c r="D1128" s="17" t="s">
        <v>21</v>
      </c>
      <c r="E1128" s="24">
        <v>2010</v>
      </c>
      <c r="F1128" s="17" t="s">
        <v>251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18000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10120</v>
      </c>
      <c r="B1129" s="17" t="s">
        <v>10120</v>
      </c>
      <c r="C1129" s="17" t="s">
        <v>10121</v>
      </c>
      <c r="D1129" s="17" t="s">
        <v>21</v>
      </c>
      <c r="E1129" s="24">
        <v>2010</v>
      </c>
      <c r="F1129" s="17" t="s">
        <v>255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20000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10122</v>
      </c>
      <c r="B1130" s="17" t="s">
        <v>10122</v>
      </c>
      <c r="C1130" s="17" t="s">
        <v>10123</v>
      </c>
      <c r="D1130" s="17" t="s">
        <v>21</v>
      </c>
      <c r="E1130" s="24">
        <v>2010</v>
      </c>
      <c r="F1130" s="17" t="s">
        <v>257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22000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10124</v>
      </c>
      <c r="B1131" s="17" t="s">
        <v>10124</v>
      </c>
      <c r="C1131" s="17" t="s">
        <v>10125</v>
      </c>
      <c r="D1131" s="17" t="s">
        <v>21</v>
      </c>
      <c r="E1131" s="24">
        <v>2010</v>
      </c>
      <c r="F1131" s="17" t="s">
        <v>259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24000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10126</v>
      </c>
      <c r="B1132" s="17" t="s">
        <v>10126</v>
      </c>
      <c r="C1132" s="17" t="s">
        <v>10127</v>
      </c>
      <c r="D1132" s="17" t="s">
        <v>21</v>
      </c>
      <c r="E1132" s="24">
        <v>2010</v>
      </c>
      <c r="F1132" s="17" t="s">
        <v>263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27000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10128</v>
      </c>
      <c r="B1133" s="17" t="s">
        <v>10128</v>
      </c>
      <c r="C1133" s="17" t="s">
        <v>10129</v>
      </c>
      <c r="D1133" s="17" t="s">
        <v>21</v>
      </c>
      <c r="E1133" s="24">
        <v>2010</v>
      </c>
      <c r="F1133" s="17" t="s">
        <v>265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30000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10130</v>
      </c>
      <c r="B1134" s="17" t="s">
        <v>10130</v>
      </c>
      <c r="C1134" s="17" t="s">
        <v>10131</v>
      </c>
      <c r="D1134" s="17" t="s">
        <v>21</v>
      </c>
      <c r="E1134" s="24">
        <v>2010</v>
      </c>
      <c r="F1134" s="17" t="s">
        <v>267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33000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10132</v>
      </c>
      <c r="B1135" s="17" t="s">
        <v>10132</v>
      </c>
      <c r="C1135" s="17" t="s">
        <v>10133</v>
      </c>
      <c r="D1135" s="17" t="s">
        <v>21</v>
      </c>
      <c r="E1135" s="24">
        <v>2010</v>
      </c>
      <c r="F1135" s="17" t="s">
        <v>269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36000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10134</v>
      </c>
      <c r="B1136" s="17" t="s">
        <v>10134</v>
      </c>
      <c r="C1136" s="17" t="s">
        <v>10135</v>
      </c>
      <c r="D1136" s="17" t="s">
        <v>21</v>
      </c>
      <c r="E1136" s="24">
        <v>2010</v>
      </c>
      <c r="F1136" s="17" t="s">
        <v>273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39000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10136</v>
      </c>
      <c r="B1137" s="17" t="s">
        <v>10136</v>
      </c>
      <c r="C1137" s="17" t="s">
        <v>10137</v>
      </c>
      <c r="D1137" s="17" t="s">
        <v>21</v>
      </c>
      <c r="E1137" s="24">
        <v>2010</v>
      </c>
      <c r="F1137" s="17" t="s">
        <v>277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43000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10138</v>
      </c>
      <c r="B1138" s="17" t="s">
        <v>10138</v>
      </c>
      <c r="C1138" s="17" t="s">
        <v>10139</v>
      </c>
      <c r="D1138" s="17" t="s">
        <v>21</v>
      </c>
      <c r="E1138" s="24">
        <v>2010</v>
      </c>
      <c r="F1138" s="17" t="s">
        <v>279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47000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10140</v>
      </c>
      <c r="B1139" s="17" t="s">
        <v>10140</v>
      </c>
      <c r="C1139" s="17" t="s">
        <v>10141</v>
      </c>
      <c r="D1139" s="17" t="s">
        <v>21</v>
      </c>
      <c r="E1139" s="24">
        <v>2010</v>
      </c>
      <c r="F1139" s="17" t="s">
        <v>283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51000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10142</v>
      </c>
      <c r="B1140" s="17" t="s">
        <v>10142</v>
      </c>
      <c r="C1140" s="17" t="s">
        <v>10143</v>
      </c>
      <c r="D1140" s="17" t="s">
        <v>21</v>
      </c>
      <c r="E1140" s="24">
        <v>2010</v>
      </c>
      <c r="F1140" s="17" t="s">
        <v>287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56000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10144</v>
      </c>
      <c r="B1141" s="17" t="s">
        <v>10144</v>
      </c>
      <c r="C1141" s="17" t="s">
        <v>10145</v>
      </c>
      <c r="D1141" s="17" t="s">
        <v>21</v>
      </c>
      <c r="E1141" s="24">
        <v>2010</v>
      </c>
      <c r="F1141" s="17" t="s">
        <v>291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62000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10146</v>
      </c>
      <c r="B1142" s="17" t="s">
        <v>10146</v>
      </c>
      <c r="C1142" s="17" t="s">
        <v>10147</v>
      </c>
      <c r="D1142" s="17" t="s">
        <v>21</v>
      </c>
      <c r="E1142" s="24">
        <v>2010</v>
      </c>
      <c r="F1142" s="17" t="s">
        <v>295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68000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10148</v>
      </c>
      <c r="B1143" s="17" t="s">
        <v>10148</v>
      </c>
      <c r="C1143" s="17" t="s">
        <v>10149</v>
      </c>
      <c r="D1143" s="17" t="s">
        <v>21</v>
      </c>
      <c r="E1143" s="24">
        <v>2010</v>
      </c>
      <c r="F1143" s="17" t="s">
        <v>299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75000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10150</v>
      </c>
      <c r="B1144" s="17" t="s">
        <v>10150</v>
      </c>
      <c r="C1144" s="17" t="s">
        <v>10151</v>
      </c>
      <c r="D1144" s="17" t="s">
        <v>21</v>
      </c>
      <c r="E1144" s="24">
        <v>2010</v>
      </c>
      <c r="F1144" s="17" t="s">
        <v>301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82000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10152</v>
      </c>
      <c r="B1145" s="17" t="s">
        <v>10152</v>
      </c>
      <c r="C1145" s="17" t="s">
        <v>10153</v>
      </c>
      <c r="D1145" s="17" t="s">
        <v>21</v>
      </c>
      <c r="E1145" s="24">
        <v>2010</v>
      </c>
      <c r="F1145" s="17" t="s">
        <v>303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91000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10154</v>
      </c>
      <c r="B1146" s="17" t="s">
        <v>10154</v>
      </c>
      <c r="C1146" s="17" t="s">
        <v>10155</v>
      </c>
      <c r="D1146" s="17" t="s">
        <v>21</v>
      </c>
      <c r="E1146" s="24">
        <v>2010</v>
      </c>
      <c r="F1146" s="17" t="s">
        <v>305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100000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10156</v>
      </c>
      <c r="B1147" s="17" t="s">
        <v>10156</v>
      </c>
      <c r="C1147" s="17" t="s">
        <v>10157</v>
      </c>
      <c r="D1147" s="17" t="s">
        <v>21</v>
      </c>
      <c r="E1147" s="24">
        <v>2010</v>
      </c>
      <c r="F1147" s="17" t="s">
        <v>309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110000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10158</v>
      </c>
      <c r="B1148" s="17" t="s">
        <v>10158</v>
      </c>
      <c r="C1148" s="17" t="s">
        <v>10159</v>
      </c>
      <c r="D1148" s="17" t="s">
        <v>21</v>
      </c>
      <c r="E1148" s="24">
        <v>2010</v>
      </c>
      <c r="F1148" s="17" t="s">
        <v>313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120000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10160</v>
      </c>
      <c r="B1149" s="17" t="s">
        <v>10160</v>
      </c>
      <c r="C1149" s="17" t="s">
        <v>10161</v>
      </c>
      <c r="D1149" s="17" t="s">
        <v>21</v>
      </c>
      <c r="E1149" s="24">
        <v>2010</v>
      </c>
      <c r="F1149" s="17" t="s">
        <v>317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130000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10162</v>
      </c>
      <c r="B1150" s="17" t="s">
        <v>10162</v>
      </c>
      <c r="C1150" s="17" t="s">
        <v>10163</v>
      </c>
      <c r="D1150" s="17" t="s">
        <v>21</v>
      </c>
      <c r="E1150" s="24">
        <v>2010</v>
      </c>
      <c r="F1150" s="17" t="s">
        <v>321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150000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10164</v>
      </c>
      <c r="B1151" s="17" t="s">
        <v>10164</v>
      </c>
      <c r="C1151" s="17" t="s">
        <v>10165</v>
      </c>
      <c r="D1151" s="17" t="s">
        <v>21</v>
      </c>
      <c r="E1151" s="24">
        <v>2010</v>
      </c>
      <c r="F1151" s="17" t="s">
        <v>323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160000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10166</v>
      </c>
      <c r="B1152" s="17" t="s">
        <v>10166</v>
      </c>
      <c r="C1152" s="17" t="s">
        <v>10167</v>
      </c>
      <c r="D1152" s="17" t="s">
        <v>21</v>
      </c>
      <c r="E1152" s="24">
        <v>2010</v>
      </c>
      <c r="F1152" s="17" t="s">
        <v>327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180000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10168</v>
      </c>
      <c r="B1153" s="17" t="s">
        <v>10168</v>
      </c>
      <c r="C1153" s="17" t="s">
        <v>10169</v>
      </c>
      <c r="D1153" s="17" t="s">
        <v>21</v>
      </c>
      <c r="E1153" s="24">
        <v>2010</v>
      </c>
      <c r="F1153" s="17" t="s">
        <v>331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200000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10170</v>
      </c>
      <c r="B1154" s="17" t="s">
        <v>10170</v>
      </c>
      <c r="C1154" s="17" t="s">
        <v>10171</v>
      </c>
      <c r="D1154" s="17" t="s">
        <v>21</v>
      </c>
      <c r="E1154" s="24">
        <v>2010</v>
      </c>
      <c r="F1154" s="17" t="s">
        <v>333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220000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10172</v>
      </c>
      <c r="B1155" s="17" t="s">
        <v>10172</v>
      </c>
      <c r="C1155" s="17" t="s">
        <v>10173</v>
      </c>
      <c r="D1155" s="17" t="s">
        <v>21</v>
      </c>
      <c r="E1155" s="24">
        <v>2010</v>
      </c>
      <c r="F1155" s="17" t="s">
        <v>335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240000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10174</v>
      </c>
      <c r="B1156" s="17" t="s">
        <v>10174</v>
      </c>
      <c r="C1156" s="17" t="s">
        <v>10175</v>
      </c>
      <c r="D1156" s="17" t="s">
        <v>21</v>
      </c>
      <c r="E1156" s="24">
        <v>2010</v>
      </c>
      <c r="F1156" s="17" t="s">
        <v>337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270000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10176</v>
      </c>
      <c r="B1157" s="17" t="s">
        <v>10176</v>
      </c>
      <c r="C1157" s="17" t="s">
        <v>10177</v>
      </c>
      <c r="D1157" s="17" t="s">
        <v>21</v>
      </c>
      <c r="E1157" s="24">
        <v>2010</v>
      </c>
      <c r="F1157" s="17" t="s">
        <v>339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300000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10178</v>
      </c>
      <c r="B1158" s="17" t="s">
        <v>10178</v>
      </c>
      <c r="C1158" s="16" t="s">
        <v>10179</v>
      </c>
      <c r="D1158" s="16" t="s">
        <v>21</v>
      </c>
      <c r="E1158" s="24">
        <v>2010</v>
      </c>
      <c r="F1158" s="17" t="s">
        <v>341</v>
      </c>
      <c r="G1158" s="17" t="str">
        <f>Config!$B$3</f>
        <v>SCH/R_IEC.SchLib</v>
      </c>
      <c r="H1158" s="16" t="s">
        <v>419</v>
      </c>
      <c r="I1158" s="18" t="s">
        <v>461</v>
      </c>
      <c r="J1158" s="40"/>
      <c r="K1158" s="40"/>
      <c r="L1158" s="40"/>
      <c r="M1158" s="21">
        <v>330000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10180</v>
      </c>
      <c r="B1159" s="17" t="s">
        <v>10180</v>
      </c>
      <c r="C1159" s="17" t="s">
        <v>10181</v>
      </c>
      <c r="D1159" s="17" t="s">
        <v>21</v>
      </c>
      <c r="E1159" s="24">
        <v>2010</v>
      </c>
      <c r="F1159" s="17" t="s">
        <v>345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360000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10182</v>
      </c>
      <c r="B1160" s="17" t="s">
        <v>10182</v>
      </c>
      <c r="C1160" s="17" t="s">
        <v>10183</v>
      </c>
      <c r="D1160" s="17" t="s">
        <v>21</v>
      </c>
      <c r="E1160" s="24">
        <v>2010</v>
      </c>
      <c r="F1160" s="17" t="s">
        <v>349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390000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10184</v>
      </c>
      <c r="B1161" s="17" t="s">
        <v>10184</v>
      </c>
      <c r="C1161" s="17" t="s">
        <v>10185</v>
      </c>
      <c r="D1161" s="17" t="s">
        <v>21</v>
      </c>
      <c r="E1161" s="24">
        <v>2010</v>
      </c>
      <c r="F1161" s="17" t="s">
        <v>351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430000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10186</v>
      </c>
      <c r="B1162" s="17" t="s">
        <v>10186</v>
      </c>
      <c r="C1162" s="17" t="s">
        <v>10187</v>
      </c>
      <c r="D1162" s="17" t="s">
        <v>21</v>
      </c>
      <c r="E1162" s="24">
        <v>2010</v>
      </c>
      <c r="F1162" s="17" t="s">
        <v>353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470000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10188</v>
      </c>
      <c r="B1163" s="17" t="s">
        <v>10188</v>
      </c>
      <c r="C1163" s="17" t="s">
        <v>10189</v>
      </c>
      <c r="D1163" s="17" t="s">
        <v>21</v>
      </c>
      <c r="E1163" s="24">
        <v>2010</v>
      </c>
      <c r="F1163" s="17" t="s">
        <v>355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510000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10190</v>
      </c>
      <c r="B1164" s="17" t="s">
        <v>10190</v>
      </c>
      <c r="C1164" s="17" t="s">
        <v>10191</v>
      </c>
      <c r="D1164" s="17" t="s">
        <v>21</v>
      </c>
      <c r="E1164" s="24">
        <v>2010</v>
      </c>
      <c r="F1164" s="17" t="s">
        <v>357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560000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10192</v>
      </c>
      <c r="B1165" s="17" t="s">
        <v>10192</v>
      </c>
      <c r="C1165" s="17" t="s">
        <v>10193</v>
      </c>
      <c r="D1165" s="17" t="s">
        <v>21</v>
      </c>
      <c r="E1165" s="24">
        <v>2010</v>
      </c>
      <c r="F1165" s="17" t="s">
        <v>359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620000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10194</v>
      </c>
      <c r="B1166" s="17" t="s">
        <v>10194</v>
      </c>
      <c r="C1166" s="17" t="s">
        <v>10195</v>
      </c>
      <c r="D1166" s="17" t="s">
        <v>21</v>
      </c>
      <c r="E1166" s="24">
        <v>2010</v>
      </c>
      <c r="F1166" s="17" t="s">
        <v>361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680000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10196</v>
      </c>
      <c r="B1167" s="17" t="s">
        <v>10196</v>
      </c>
      <c r="C1167" s="17" t="s">
        <v>10197</v>
      </c>
      <c r="D1167" s="17" t="s">
        <v>21</v>
      </c>
      <c r="E1167" s="24">
        <v>2010</v>
      </c>
      <c r="F1167" s="17" t="s">
        <v>363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750000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10198</v>
      </c>
      <c r="B1168" s="17" t="s">
        <v>10198</v>
      </c>
      <c r="C1168" s="17" t="s">
        <v>10199</v>
      </c>
      <c r="D1168" s="17" t="s">
        <v>21</v>
      </c>
      <c r="E1168" s="24">
        <v>2010</v>
      </c>
      <c r="F1168" s="17" t="s">
        <v>365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820000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10200</v>
      </c>
      <c r="B1169" s="17" t="s">
        <v>10200</v>
      </c>
      <c r="C1169" s="17" t="s">
        <v>10201</v>
      </c>
      <c r="D1169" s="17" t="s">
        <v>21</v>
      </c>
      <c r="E1169" s="24">
        <v>2010</v>
      </c>
      <c r="F1169" s="17" t="s">
        <v>367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910000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10202</v>
      </c>
      <c r="B1170" s="17" t="s">
        <v>10202</v>
      </c>
      <c r="C1170" s="17" t="s">
        <v>10203</v>
      </c>
      <c r="D1170" s="17" t="s">
        <v>21</v>
      </c>
      <c r="E1170" s="24">
        <v>2010</v>
      </c>
      <c r="F1170" s="17" t="s">
        <v>369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1000000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10204</v>
      </c>
      <c r="B1171" s="17" t="s">
        <v>10204</v>
      </c>
      <c r="C1171" s="17" t="s">
        <v>10205</v>
      </c>
      <c r="D1171" s="17" t="s">
        <v>21</v>
      </c>
      <c r="E1171" s="24">
        <v>2010</v>
      </c>
      <c r="F1171" s="17" t="s">
        <v>371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1100000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10206</v>
      </c>
      <c r="B1172" s="17" t="s">
        <v>10206</v>
      </c>
      <c r="C1172" s="17" t="s">
        <v>10207</v>
      </c>
      <c r="D1172" s="17" t="s">
        <v>21</v>
      </c>
      <c r="E1172" s="24">
        <v>2010</v>
      </c>
      <c r="F1172" s="17" t="s">
        <v>373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1200000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10208</v>
      </c>
      <c r="B1173" s="17" t="s">
        <v>10208</v>
      </c>
      <c r="C1173" s="17" t="s">
        <v>10209</v>
      </c>
      <c r="D1173" s="17" t="s">
        <v>21</v>
      </c>
      <c r="E1173" s="24">
        <v>2010</v>
      </c>
      <c r="F1173" s="17" t="s">
        <v>375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1300000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10210</v>
      </c>
      <c r="B1174" s="17" t="s">
        <v>10210</v>
      </c>
      <c r="C1174" s="17" t="s">
        <v>10211</v>
      </c>
      <c r="D1174" s="17" t="s">
        <v>21</v>
      </c>
      <c r="E1174" s="24">
        <v>2010</v>
      </c>
      <c r="F1174" s="17" t="s">
        <v>377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1500000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10212</v>
      </c>
      <c r="B1175" s="17" t="s">
        <v>10212</v>
      </c>
      <c r="C1175" s="17" t="s">
        <v>10213</v>
      </c>
      <c r="D1175" s="17" t="s">
        <v>21</v>
      </c>
      <c r="E1175" s="24">
        <v>2010</v>
      </c>
      <c r="F1175" s="17" t="s">
        <v>379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1600000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10214</v>
      </c>
      <c r="B1176" s="17" t="s">
        <v>10214</v>
      </c>
      <c r="C1176" s="17" t="s">
        <v>10215</v>
      </c>
      <c r="D1176" s="17" t="s">
        <v>21</v>
      </c>
      <c r="E1176" s="24">
        <v>2010</v>
      </c>
      <c r="F1176" s="17" t="s">
        <v>381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1800000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10216</v>
      </c>
      <c r="B1177" s="17" t="s">
        <v>10216</v>
      </c>
      <c r="C1177" s="17" t="s">
        <v>10217</v>
      </c>
      <c r="D1177" s="17" t="s">
        <v>21</v>
      </c>
      <c r="E1177" s="24">
        <v>2010</v>
      </c>
      <c r="F1177" s="17" t="s">
        <v>383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2000000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10218</v>
      </c>
      <c r="B1178" s="17" t="s">
        <v>10218</v>
      </c>
      <c r="C1178" s="17" t="s">
        <v>10219</v>
      </c>
      <c r="D1178" s="17" t="s">
        <v>21</v>
      </c>
      <c r="E1178" s="24">
        <v>2010</v>
      </c>
      <c r="F1178" s="17" t="s">
        <v>385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2200000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10220</v>
      </c>
      <c r="B1179" s="17" t="s">
        <v>10220</v>
      </c>
      <c r="C1179" s="17" t="s">
        <v>10221</v>
      </c>
      <c r="D1179" s="17" t="s">
        <v>21</v>
      </c>
      <c r="E1179" s="24">
        <v>2010</v>
      </c>
      <c r="F1179" s="17" t="s">
        <v>387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2400000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10222</v>
      </c>
      <c r="B1180" s="17" t="s">
        <v>10222</v>
      </c>
      <c r="C1180" s="17" t="s">
        <v>10223</v>
      </c>
      <c r="D1180" s="17" t="s">
        <v>21</v>
      </c>
      <c r="E1180" s="24">
        <v>2010</v>
      </c>
      <c r="F1180" s="17" t="s">
        <v>389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2700000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10224</v>
      </c>
      <c r="B1181" s="17" t="s">
        <v>10224</v>
      </c>
      <c r="C1181" s="17" t="s">
        <v>10225</v>
      </c>
      <c r="D1181" s="17" t="s">
        <v>21</v>
      </c>
      <c r="E1181" s="24">
        <v>2010</v>
      </c>
      <c r="F1181" s="17" t="s">
        <v>391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3000000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10226</v>
      </c>
      <c r="B1182" s="17" t="s">
        <v>10226</v>
      </c>
      <c r="C1182" s="17" t="s">
        <v>10227</v>
      </c>
      <c r="D1182" s="17" t="s">
        <v>21</v>
      </c>
      <c r="E1182" s="24">
        <v>2010</v>
      </c>
      <c r="F1182" s="17" t="s">
        <v>393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3300000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10228</v>
      </c>
      <c r="B1183" s="17" t="s">
        <v>10228</v>
      </c>
      <c r="C1183" s="17" t="s">
        <v>10229</v>
      </c>
      <c r="D1183" s="17" t="s">
        <v>21</v>
      </c>
      <c r="E1183" s="24">
        <v>2010</v>
      </c>
      <c r="F1183" s="17" t="s">
        <v>395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3600000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10230</v>
      </c>
      <c r="B1184" s="17" t="s">
        <v>10230</v>
      </c>
      <c r="C1184" s="17" t="s">
        <v>10231</v>
      </c>
      <c r="D1184" s="17" t="s">
        <v>21</v>
      </c>
      <c r="E1184" s="24">
        <v>2010</v>
      </c>
      <c r="F1184" s="17" t="s">
        <v>397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3900000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10232</v>
      </c>
      <c r="B1185" s="17" t="s">
        <v>10232</v>
      </c>
      <c r="C1185" s="17" t="s">
        <v>10233</v>
      </c>
      <c r="D1185" s="17" t="s">
        <v>21</v>
      </c>
      <c r="E1185" s="24">
        <v>2010</v>
      </c>
      <c r="F1185" s="17" t="s">
        <v>399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4300000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10234</v>
      </c>
      <c r="B1186" s="17" t="s">
        <v>10234</v>
      </c>
      <c r="C1186" s="17" t="s">
        <v>10235</v>
      </c>
      <c r="D1186" s="17" t="s">
        <v>21</v>
      </c>
      <c r="E1186" s="24">
        <v>2010</v>
      </c>
      <c r="F1186" s="17" t="s">
        <v>401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4700000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10236</v>
      </c>
      <c r="B1187" s="17" t="s">
        <v>10236</v>
      </c>
      <c r="C1187" s="17" t="s">
        <v>10237</v>
      </c>
      <c r="D1187" s="17" t="s">
        <v>21</v>
      </c>
      <c r="E1187" s="24">
        <v>2010</v>
      </c>
      <c r="F1187" s="17" t="s">
        <v>403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5100000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10238</v>
      </c>
      <c r="B1188" s="17" t="s">
        <v>10238</v>
      </c>
      <c r="C1188" s="17" t="s">
        <v>10239</v>
      </c>
      <c r="D1188" s="17" t="s">
        <v>21</v>
      </c>
      <c r="E1188" s="24">
        <v>2010</v>
      </c>
      <c r="F1188" s="17" t="s">
        <v>405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5600000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10240</v>
      </c>
      <c r="B1189" s="17" t="s">
        <v>10240</v>
      </c>
      <c r="C1189" s="17" t="s">
        <v>10241</v>
      </c>
      <c r="D1189" s="17" t="s">
        <v>21</v>
      </c>
      <c r="E1189" s="24">
        <v>2010</v>
      </c>
      <c r="F1189" s="17" t="s">
        <v>407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6200000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10242</v>
      </c>
      <c r="B1190" s="17" t="s">
        <v>10242</v>
      </c>
      <c r="C1190" s="17" t="s">
        <v>10243</v>
      </c>
      <c r="D1190" s="17" t="s">
        <v>21</v>
      </c>
      <c r="E1190" s="24">
        <v>2010</v>
      </c>
      <c r="F1190" s="17" t="s">
        <v>409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6800000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10244</v>
      </c>
      <c r="B1191" s="17" t="s">
        <v>10244</v>
      </c>
      <c r="C1191" s="17" t="s">
        <v>10245</v>
      </c>
      <c r="D1191" s="17" t="s">
        <v>21</v>
      </c>
      <c r="E1191" s="24">
        <v>2010</v>
      </c>
      <c r="F1191" s="17" t="s">
        <v>411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7500000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10246</v>
      </c>
      <c r="B1192" s="17" t="s">
        <v>10246</v>
      </c>
      <c r="C1192" s="17" t="s">
        <v>10247</v>
      </c>
      <c r="D1192" s="17" t="s">
        <v>21</v>
      </c>
      <c r="E1192" s="24">
        <v>2010</v>
      </c>
      <c r="F1192" s="17" t="s">
        <v>413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8200000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10248</v>
      </c>
      <c r="B1193" s="17" t="s">
        <v>10248</v>
      </c>
      <c r="C1193" s="17" t="s">
        <v>10249</v>
      </c>
      <c r="D1193" s="17" t="s">
        <v>21</v>
      </c>
      <c r="E1193" s="24">
        <v>2010</v>
      </c>
      <c r="F1193" s="17" t="s">
        <v>415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9100000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10250</v>
      </c>
      <c r="B1194" s="17" t="s">
        <v>10250</v>
      </c>
      <c r="C1194" s="17" t="s">
        <v>10251</v>
      </c>
      <c r="D1194" s="17" t="s">
        <v>21</v>
      </c>
      <c r="E1194" s="24">
        <v>2010</v>
      </c>
      <c r="F1194" s="17" t="s">
        <v>417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10000000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6" t="s">
        <v>9574</v>
      </c>
      <c r="B1195" s="16" t="s">
        <v>9574</v>
      </c>
      <c r="C1195" s="16" t="s">
        <v>9575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419</v>
      </c>
      <c r="I1195" s="18" t="s">
        <v>461</v>
      </c>
      <c r="J1195" s="17" t="s">
        <v>7477</v>
      </c>
      <c r="K1195" s="17"/>
      <c r="L1195" s="17"/>
      <c r="M1195" s="19">
        <v>0</v>
      </c>
      <c r="N1195" s="17"/>
      <c r="O1195" s="16"/>
      <c r="P1195" s="17"/>
      <c r="Q1195" s="16"/>
      <c r="R1195" s="17"/>
      <c r="S1195" s="16"/>
      <c r="T1195" s="17"/>
      <c r="U1195" s="16"/>
      <c r="V1195" s="16"/>
      <c r="W1195" s="17"/>
      <c r="X1195" s="17"/>
      <c r="Y1195" s="16"/>
      <c r="Z1195" s="17"/>
      <c r="AA1195" s="17"/>
      <c r="AB1195" s="17"/>
    </row>
    <row r="1196" spans="1:28">
      <c r="A1196" s="17" t="s">
        <v>9576</v>
      </c>
      <c r="B1196" s="17" t="s">
        <v>9576</v>
      </c>
      <c r="C1196" s="17" t="s">
        <v>9577</v>
      </c>
      <c r="D1196" s="17" t="s">
        <v>21</v>
      </c>
      <c r="E1196" s="24">
        <v>2512</v>
      </c>
      <c r="F1196" s="17" t="s">
        <v>29</v>
      </c>
      <c r="G1196" s="17" t="str">
        <f>Config!$B$3</f>
        <v>SCH/R_IEC.SchLib</v>
      </c>
      <c r="H1196" s="17" t="s">
        <v>419</v>
      </c>
      <c r="I1196" s="17" t="s">
        <v>461</v>
      </c>
      <c r="J1196" s="17" t="s">
        <v>7477</v>
      </c>
      <c r="K1196" s="17"/>
      <c r="L1196" s="17"/>
      <c r="M1196" s="17">
        <v>1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9578</v>
      </c>
      <c r="B1197" s="17" t="s">
        <v>9578</v>
      </c>
      <c r="C1197" s="17" t="s">
        <v>9579</v>
      </c>
      <c r="D1197" s="17" t="s">
        <v>21</v>
      </c>
      <c r="E1197" s="24">
        <v>2512</v>
      </c>
      <c r="F1197" s="17" t="s">
        <v>1042</v>
      </c>
      <c r="G1197" s="17" t="str">
        <f>Config!$B$3</f>
        <v>SCH/R_IEC.SchLib</v>
      </c>
      <c r="H1197" s="17" t="s">
        <v>419</v>
      </c>
      <c r="I1197" s="17" t="s">
        <v>461</v>
      </c>
      <c r="J1197" s="17" t="s">
        <v>7477</v>
      </c>
      <c r="K1197" s="17"/>
      <c r="L1197" s="17"/>
      <c r="M1197" s="17">
        <v>1.1000000000000001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9580</v>
      </c>
      <c r="B1198" s="17" t="s">
        <v>9580</v>
      </c>
      <c r="C1198" s="17" t="s">
        <v>9581</v>
      </c>
      <c r="D1198" s="17" t="s">
        <v>21</v>
      </c>
      <c r="E1198" s="24">
        <v>2512</v>
      </c>
      <c r="F1198" s="17" t="s">
        <v>31</v>
      </c>
      <c r="G1198" s="17" t="str">
        <f>Config!$B$3</f>
        <v>SCH/R_IEC.SchLib</v>
      </c>
      <c r="H1198" s="17" t="s">
        <v>419</v>
      </c>
      <c r="I1198" s="17" t="s">
        <v>461</v>
      </c>
      <c r="J1198" s="17" t="s">
        <v>7477</v>
      </c>
      <c r="K1198" s="17"/>
      <c r="L1198" s="17"/>
      <c r="M1198" s="17">
        <v>1.2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9582</v>
      </c>
      <c r="B1199" s="17" t="s">
        <v>9582</v>
      </c>
      <c r="C1199" s="17" t="s">
        <v>9583</v>
      </c>
      <c r="D1199" s="17" t="s">
        <v>21</v>
      </c>
      <c r="E1199" s="24">
        <v>2512</v>
      </c>
      <c r="F1199" s="17" t="s">
        <v>1052</v>
      </c>
      <c r="G1199" s="17" t="str">
        <f>Config!$B$3</f>
        <v>SCH/R_IEC.SchLib</v>
      </c>
      <c r="H1199" s="17" t="s">
        <v>419</v>
      </c>
      <c r="I1199" s="17" t="s">
        <v>461</v>
      </c>
      <c r="J1199" s="17" t="s">
        <v>7477</v>
      </c>
      <c r="K1199" s="17"/>
      <c r="L1199" s="17"/>
      <c r="M1199" s="17">
        <v>1.3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9584</v>
      </c>
      <c r="B1200" s="17" t="s">
        <v>9584</v>
      </c>
      <c r="C1200" s="17" t="s">
        <v>9585</v>
      </c>
      <c r="D1200" s="17" t="s">
        <v>21</v>
      </c>
      <c r="E1200" s="24">
        <v>2512</v>
      </c>
      <c r="F1200" s="17" t="s">
        <v>33</v>
      </c>
      <c r="G1200" s="17" t="str">
        <f>Config!$B$3</f>
        <v>SCH/R_IEC.SchLib</v>
      </c>
      <c r="H1200" s="17" t="s">
        <v>419</v>
      </c>
      <c r="I1200" s="17" t="s">
        <v>461</v>
      </c>
      <c r="J1200" s="17" t="s">
        <v>7477</v>
      </c>
      <c r="K1200" s="17"/>
      <c r="L1200" s="17"/>
      <c r="M1200" s="17">
        <v>1.5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9586</v>
      </c>
      <c r="B1201" s="17" t="s">
        <v>9586</v>
      </c>
      <c r="C1201" s="17" t="s">
        <v>9587</v>
      </c>
      <c r="D1201" s="17" t="s">
        <v>21</v>
      </c>
      <c r="E1201" s="24">
        <v>2512</v>
      </c>
      <c r="F1201" s="17" t="s">
        <v>1062</v>
      </c>
      <c r="G1201" s="17" t="str">
        <f>Config!$B$3</f>
        <v>SCH/R_IEC.SchLib</v>
      </c>
      <c r="H1201" s="17" t="s">
        <v>419</v>
      </c>
      <c r="I1201" s="17" t="s">
        <v>461</v>
      </c>
      <c r="J1201" s="17" t="s">
        <v>7477</v>
      </c>
      <c r="K1201" s="17"/>
      <c r="L1201" s="17"/>
      <c r="M1201" s="17">
        <v>1.6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9588</v>
      </c>
      <c r="B1202" s="17" t="s">
        <v>9588</v>
      </c>
      <c r="C1202" s="17" t="s">
        <v>9589</v>
      </c>
      <c r="D1202" s="17" t="s">
        <v>21</v>
      </c>
      <c r="E1202" s="24">
        <v>2512</v>
      </c>
      <c r="F1202" s="17" t="s">
        <v>35</v>
      </c>
      <c r="G1202" s="17" t="str">
        <f>Config!$B$3</f>
        <v>SCH/R_IEC.SchLib</v>
      </c>
      <c r="H1202" s="17" t="s">
        <v>419</v>
      </c>
      <c r="I1202" s="17" t="s">
        <v>461</v>
      </c>
      <c r="J1202" s="17" t="s">
        <v>7477</v>
      </c>
      <c r="K1202" s="17"/>
      <c r="L1202" s="17"/>
      <c r="M1202" s="17">
        <v>1.8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9590</v>
      </c>
      <c r="B1203" s="17" t="s">
        <v>9590</v>
      </c>
      <c r="C1203" s="17" t="s">
        <v>9591</v>
      </c>
      <c r="D1203" s="17" t="s">
        <v>21</v>
      </c>
      <c r="E1203" s="24">
        <v>2512</v>
      </c>
      <c r="F1203" s="17" t="s">
        <v>1070</v>
      </c>
      <c r="G1203" s="17" t="str">
        <f>Config!$B$3</f>
        <v>SCH/R_IEC.SchLib</v>
      </c>
      <c r="H1203" s="17" t="s">
        <v>419</v>
      </c>
      <c r="I1203" s="17" t="s">
        <v>461</v>
      </c>
      <c r="J1203" s="17" t="s">
        <v>7477</v>
      </c>
      <c r="K1203" s="17"/>
      <c r="L1203" s="17"/>
      <c r="M1203" s="17">
        <v>2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9592</v>
      </c>
      <c r="B1204" s="17" t="s">
        <v>9592</v>
      </c>
      <c r="C1204" s="17" t="s">
        <v>9593</v>
      </c>
      <c r="D1204" s="17" t="s">
        <v>21</v>
      </c>
      <c r="E1204" s="24">
        <v>2512</v>
      </c>
      <c r="F1204" s="17" t="s">
        <v>37</v>
      </c>
      <c r="G1204" s="17" t="str">
        <f>Config!$B$3</f>
        <v>SCH/R_IEC.SchLib</v>
      </c>
      <c r="H1204" s="17" t="s">
        <v>419</v>
      </c>
      <c r="I1204" s="17" t="s">
        <v>461</v>
      </c>
      <c r="J1204" s="17" t="s">
        <v>7477</v>
      </c>
      <c r="K1204" s="17"/>
      <c r="L1204" s="17"/>
      <c r="M1204" s="17">
        <v>2.2000000000000002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9594</v>
      </c>
      <c r="B1205" s="17" t="s">
        <v>9594</v>
      </c>
      <c r="C1205" s="17" t="s">
        <v>9595</v>
      </c>
      <c r="D1205" s="17" t="s">
        <v>21</v>
      </c>
      <c r="E1205" s="24">
        <v>2512</v>
      </c>
      <c r="F1205" s="17" t="s">
        <v>1080</v>
      </c>
      <c r="G1205" s="17" t="str">
        <f>Config!$B$3</f>
        <v>SCH/R_IEC.SchLib</v>
      </c>
      <c r="H1205" s="17" t="s">
        <v>419</v>
      </c>
      <c r="I1205" s="17" t="s">
        <v>461</v>
      </c>
      <c r="J1205" s="17" t="s">
        <v>7477</v>
      </c>
      <c r="K1205" s="17"/>
      <c r="L1205" s="17"/>
      <c r="M1205" s="17">
        <v>2.4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9596</v>
      </c>
      <c r="B1206" s="17" t="s">
        <v>9596</v>
      </c>
      <c r="C1206" s="17" t="s">
        <v>9597</v>
      </c>
      <c r="D1206" s="17" t="s">
        <v>21</v>
      </c>
      <c r="E1206" s="24">
        <v>2512</v>
      </c>
      <c r="F1206" s="17" t="s">
        <v>39</v>
      </c>
      <c r="G1206" s="17" t="str">
        <f>Config!$B$3</f>
        <v>SCH/R_IEC.SchLib</v>
      </c>
      <c r="H1206" s="17" t="s">
        <v>419</v>
      </c>
      <c r="I1206" s="17" t="s">
        <v>461</v>
      </c>
      <c r="J1206" s="17" t="s">
        <v>7477</v>
      </c>
      <c r="K1206" s="17"/>
      <c r="L1206" s="17"/>
      <c r="M1206" s="17">
        <v>2.7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9598</v>
      </c>
      <c r="B1207" s="17" t="s">
        <v>9598</v>
      </c>
      <c r="C1207" s="17" t="s">
        <v>9599</v>
      </c>
      <c r="D1207" s="17" t="s">
        <v>21</v>
      </c>
      <c r="E1207" s="24">
        <v>2512</v>
      </c>
      <c r="F1207" s="17" t="s">
        <v>1088</v>
      </c>
      <c r="G1207" s="17" t="str">
        <f>Config!$B$3</f>
        <v>SCH/R_IEC.SchLib</v>
      </c>
      <c r="H1207" s="17" t="s">
        <v>419</v>
      </c>
      <c r="I1207" s="17" t="s">
        <v>461</v>
      </c>
      <c r="J1207" s="17" t="s">
        <v>7477</v>
      </c>
      <c r="K1207" s="17"/>
      <c r="L1207" s="17"/>
      <c r="M1207" s="17">
        <v>3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9600</v>
      </c>
      <c r="B1208" s="17" t="s">
        <v>9600</v>
      </c>
      <c r="C1208" s="17" t="s">
        <v>9601</v>
      </c>
      <c r="D1208" s="17" t="s">
        <v>21</v>
      </c>
      <c r="E1208" s="24">
        <v>2512</v>
      </c>
      <c r="F1208" s="17" t="s">
        <v>41</v>
      </c>
      <c r="G1208" s="17" t="str">
        <f>Config!$B$3</f>
        <v>SCH/R_IEC.SchLib</v>
      </c>
      <c r="H1208" s="17" t="s">
        <v>419</v>
      </c>
      <c r="I1208" s="17" t="s">
        <v>461</v>
      </c>
      <c r="J1208" s="17" t="s">
        <v>7477</v>
      </c>
      <c r="K1208" s="17"/>
      <c r="L1208" s="17"/>
      <c r="M1208" s="17">
        <v>3.3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9602</v>
      </c>
      <c r="B1209" s="17" t="s">
        <v>9602</v>
      </c>
      <c r="C1209" s="17" t="s">
        <v>9603</v>
      </c>
      <c r="D1209" s="17" t="s">
        <v>21</v>
      </c>
      <c r="E1209" s="24">
        <v>2512</v>
      </c>
      <c r="F1209" s="17" t="s">
        <v>1098</v>
      </c>
      <c r="G1209" s="17" t="str">
        <f>Config!$B$3</f>
        <v>SCH/R_IEC.SchLib</v>
      </c>
      <c r="H1209" s="17" t="s">
        <v>419</v>
      </c>
      <c r="I1209" s="17" t="s">
        <v>461</v>
      </c>
      <c r="J1209" s="17" t="s">
        <v>7477</v>
      </c>
      <c r="K1209" s="17"/>
      <c r="L1209" s="17"/>
      <c r="M1209" s="17">
        <v>3.6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9604</v>
      </c>
      <c r="B1210" s="17" t="s">
        <v>9604</v>
      </c>
      <c r="C1210" s="17" t="s">
        <v>9605</v>
      </c>
      <c r="D1210" s="17" t="s">
        <v>21</v>
      </c>
      <c r="E1210" s="24">
        <v>2512</v>
      </c>
      <c r="F1210" s="17" t="s">
        <v>43</v>
      </c>
      <c r="G1210" s="17" t="str">
        <f>Config!$B$3</f>
        <v>SCH/R_IEC.SchLib</v>
      </c>
      <c r="H1210" s="17" t="s">
        <v>419</v>
      </c>
      <c r="I1210" s="17" t="s">
        <v>461</v>
      </c>
      <c r="J1210" s="17" t="s">
        <v>7477</v>
      </c>
      <c r="K1210" s="17"/>
      <c r="L1210" s="17"/>
      <c r="M1210" s="17">
        <v>3.9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9606</v>
      </c>
      <c r="B1211" s="17" t="s">
        <v>9606</v>
      </c>
      <c r="C1211" s="17" t="s">
        <v>9607</v>
      </c>
      <c r="D1211" s="17" t="s">
        <v>21</v>
      </c>
      <c r="E1211" s="24">
        <v>2512</v>
      </c>
      <c r="F1211" s="17" t="s">
        <v>1106</v>
      </c>
      <c r="G1211" s="17" t="str">
        <f>Config!$B$3</f>
        <v>SCH/R_IEC.SchLib</v>
      </c>
      <c r="H1211" s="17" t="s">
        <v>419</v>
      </c>
      <c r="I1211" s="17" t="s">
        <v>461</v>
      </c>
      <c r="J1211" s="17" t="s">
        <v>7477</v>
      </c>
      <c r="K1211" s="17"/>
      <c r="L1211" s="17"/>
      <c r="M1211" s="17">
        <v>4.3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9608</v>
      </c>
      <c r="B1212" s="17" t="s">
        <v>9608</v>
      </c>
      <c r="C1212" s="17" t="s">
        <v>9609</v>
      </c>
      <c r="D1212" s="17" t="s">
        <v>21</v>
      </c>
      <c r="E1212" s="24">
        <v>2512</v>
      </c>
      <c r="F1212" s="17" t="s">
        <v>45</v>
      </c>
      <c r="G1212" s="17" t="str">
        <f>Config!$B$3</f>
        <v>SCH/R_IEC.SchLib</v>
      </c>
      <c r="H1212" s="17" t="s">
        <v>419</v>
      </c>
      <c r="I1212" s="17" t="s">
        <v>461</v>
      </c>
      <c r="J1212" s="17" t="s">
        <v>7477</v>
      </c>
      <c r="K1212" s="17"/>
      <c r="L1212" s="17"/>
      <c r="M1212" s="17">
        <v>4.7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7" t="s">
        <v>9610</v>
      </c>
      <c r="B1213" s="17" t="s">
        <v>9610</v>
      </c>
      <c r="C1213" s="17" t="s">
        <v>9611</v>
      </c>
      <c r="D1213" s="17" t="s">
        <v>21</v>
      </c>
      <c r="E1213" s="24">
        <v>2512</v>
      </c>
      <c r="F1213" s="17" t="s">
        <v>1116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5.0999999999999996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9612</v>
      </c>
      <c r="B1214" s="17" t="s">
        <v>9612</v>
      </c>
      <c r="C1214" s="17" t="s">
        <v>9613</v>
      </c>
      <c r="D1214" s="17" t="s">
        <v>21</v>
      </c>
      <c r="E1214" s="24">
        <v>2512</v>
      </c>
      <c r="F1214" s="17" t="s">
        <v>47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5.6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9614</v>
      </c>
      <c r="B1215" s="17" t="s">
        <v>9614</v>
      </c>
      <c r="C1215" s="17" t="s">
        <v>9615</v>
      </c>
      <c r="D1215" s="17" t="s">
        <v>21</v>
      </c>
      <c r="E1215" s="24">
        <v>2512</v>
      </c>
      <c r="F1215" s="17" t="s">
        <v>1128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6.2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9616</v>
      </c>
      <c r="B1216" s="17" t="s">
        <v>9616</v>
      </c>
      <c r="C1216" s="17" t="s">
        <v>9617</v>
      </c>
      <c r="D1216" s="17" t="s">
        <v>21</v>
      </c>
      <c r="E1216" s="24">
        <v>2512</v>
      </c>
      <c r="F1216" s="17" t="s">
        <v>49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6.8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9618</v>
      </c>
      <c r="B1217" s="17" t="s">
        <v>9618</v>
      </c>
      <c r="C1217" s="17" t="s">
        <v>9619</v>
      </c>
      <c r="D1217" s="17" t="s">
        <v>21</v>
      </c>
      <c r="E1217" s="24">
        <v>2512</v>
      </c>
      <c r="F1217" s="17" t="s">
        <v>1138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7.5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9620</v>
      </c>
      <c r="B1218" s="17" t="s">
        <v>9620</v>
      </c>
      <c r="C1218" s="17" t="s">
        <v>9621</v>
      </c>
      <c r="D1218" s="17" t="s">
        <v>21</v>
      </c>
      <c r="E1218" s="24">
        <v>2512</v>
      </c>
      <c r="F1218" s="17" t="s">
        <v>51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8.1999999999999993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9622</v>
      </c>
      <c r="B1219" s="17" t="s">
        <v>9622</v>
      </c>
      <c r="C1219" s="17" t="s">
        <v>9623</v>
      </c>
      <c r="D1219" s="17" t="s">
        <v>21</v>
      </c>
      <c r="E1219" s="24">
        <v>2512</v>
      </c>
      <c r="F1219" s="17" t="s">
        <v>1148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9.1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9624</v>
      </c>
      <c r="B1220" s="17" t="s">
        <v>9624</v>
      </c>
      <c r="C1220" s="17" t="s">
        <v>9625</v>
      </c>
      <c r="D1220" s="17" t="s">
        <v>21</v>
      </c>
      <c r="E1220" s="24">
        <v>2512</v>
      </c>
      <c r="F1220" s="17" t="s">
        <v>53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21">
        <v>10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9626</v>
      </c>
      <c r="B1221" s="17" t="s">
        <v>9626</v>
      </c>
      <c r="C1221" s="17" t="s">
        <v>9627</v>
      </c>
      <c r="D1221" s="17" t="s">
        <v>21</v>
      </c>
      <c r="E1221" s="24">
        <v>2512</v>
      </c>
      <c r="F1221" s="17" t="s">
        <v>57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21">
        <v>11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9628</v>
      </c>
      <c r="B1222" s="17" t="s">
        <v>9628</v>
      </c>
      <c r="C1222" s="17" t="s">
        <v>9629</v>
      </c>
      <c r="D1222" s="17" t="s">
        <v>21</v>
      </c>
      <c r="E1222" s="24">
        <v>2512</v>
      </c>
      <c r="F1222" s="17" t="s">
        <v>59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21">
        <v>12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9630</v>
      </c>
      <c r="B1223" s="17" t="s">
        <v>9630</v>
      </c>
      <c r="C1223" s="17" t="s">
        <v>9631</v>
      </c>
      <c r="D1223" s="17" t="s">
        <v>21</v>
      </c>
      <c r="E1223" s="24">
        <v>2512</v>
      </c>
      <c r="F1223" s="17" t="s">
        <v>61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21">
        <v>13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9632</v>
      </c>
      <c r="B1224" s="17" t="s">
        <v>9632</v>
      </c>
      <c r="C1224" s="17" t="s">
        <v>9633</v>
      </c>
      <c r="D1224" s="17" t="s">
        <v>21</v>
      </c>
      <c r="E1224" s="24">
        <v>2512</v>
      </c>
      <c r="F1224" s="17" t="s">
        <v>63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21">
        <v>15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9634</v>
      </c>
      <c r="B1225" s="17" t="s">
        <v>9634</v>
      </c>
      <c r="C1225" s="17" t="s">
        <v>9635</v>
      </c>
      <c r="D1225" s="17" t="s">
        <v>21</v>
      </c>
      <c r="E1225" s="24">
        <v>2512</v>
      </c>
      <c r="F1225" s="17" t="s">
        <v>65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21">
        <v>16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9636</v>
      </c>
      <c r="B1226" s="17" t="s">
        <v>9636</v>
      </c>
      <c r="C1226" s="17" t="s">
        <v>9637</v>
      </c>
      <c r="D1226" s="17" t="s">
        <v>21</v>
      </c>
      <c r="E1226" s="24">
        <v>2512</v>
      </c>
      <c r="F1226" s="17" t="s">
        <v>67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21">
        <v>18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9638</v>
      </c>
      <c r="B1227" s="17" t="s">
        <v>9638</v>
      </c>
      <c r="C1227" s="17" t="s">
        <v>9639</v>
      </c>
      <c r="D1227" s="17" t="s">
        <v>21</v>
      </c>
      <c r="E1227" s="24">
        <v>2512</v>
      </c>
      <c r="F1227" s="17" t="s">
        <v>69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21">
        <v>20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9640</v>
      </c>
      <c r="B1228" s="17" t="s">
        <v>9640</v>
      </c>
      <c r="C1228" s="17" t="s">
        <v>9641</v>
      </c>
      <c r="D1228" s="17" t="s">
        <v>21</v>
      </c>
      <c r="E1228" s="24">
        <v>2512</v>
      </c>
      <c r="F1228" s="17" t="s">
        <v>71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21">
        <v>22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9642</v>
      </c>
      <c r="B1229" s="17" t="s">
        <v>9642</v>
      </c>
      <c r="C1229" s="17" t="s">
        <v>9643</v>
      </c>
      <c r="D1229" s="17" t="s">
        <v>21</v>
      </c>
      <c r="E1229" s="24">
        <v>2512</v>
      </c>
      <c r="F1229" s="17" t="s">
        <v>75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21">
        <v>24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9644</v>
      </c>
      <c r="B1230" s="17" t="s">
        <v>9644</v>
      </c>
      <c r="C1230" s="17" t="s">
        <v>9645</v>
      </c>
      <c r="D1230" s="17" t="s">
        <v>21</v>
      </c>
      <c r="E1230" s="24">
        <v>2512</v>
      </c>
      <c r="F1230" s="17" t="s">
        <v>77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21">
        <v>27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9646</v>
      </c>
      <c r="B1231" s="17" t="s">
        <v>9646</v>
      </c>
      <c r="C1231" s="17" t="s">
        <v>9647</v>
      </c>
      <c r="D1231" s="17" t="s">
        <v>21</v>
      </c>
      <c r="E1231" s="24">
        <v>2512</v>
      </c>
      <c r="F1231" s="17" t="s">
        <v>79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21">
        <v>30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9648</v>
      </c>
      <c r="B1232" s="17" t="s">
        <v>9648</v>
      </c>
      <c r="C1232" s="17" t="s">
        <v>9649</v>
      </c>
      <c r="D1232" s="17" t="s">
        <v>21</v>
      </c>
      <c r="E1232" s="24">
        <v>2512</v>
      </c>
      <c r="F1232" s="17" t="s">
        <v>81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21">
        <v>33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9650</v>
      </c>
      <c r="B1233" s="17" t="s">
        <v>9650</v>
      </c>
      <c r="C1233" s="17" t="s">
        <v>9651</v>
      </c>
      <c r="D1233" s="17" t="s">
        <v>21</v>
      </c>
      <c r="E1233" s="24">
        <v>2512</v>
      </c>
      <c r="F1233" s="17" t="s">
        <v>83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21">
        <v>36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9652</v>
      </c>
      <c r="B1234" s="17" t="s">
        <v>9652</v>
      </c>
      <c r="C1234" s="17" t="s">
        <v>9653</v>
      </c>
      <c r="D1234" s="17" t="s">
        <v>21</v>
      </c>
      <c r="E1234" s="24">
        <v>2512</v>
      </c>
      <c r="F1234" s="17" t="s">
        <v>85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21">
        <v>39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9654</v>
      </c>
      <c r="B1235" s="17" t="s">
        <v>9654</v>
      </c>
      <c r="C1235" s="17" t="s">
        <v>9655</v>
      </c>
      <c r="D1235" s="17" t="s">
        <v>21</v>
      </c>
      <c r="E1235" s="24">
        <v>2512</v>
      </c>
      <c r="F1235" s="17" t="s">
        <v>87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21">
        <v>43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9656</v>
      </c>
      <c r="B1236" s="17" t="s">
        <v>9656</v>
      </c>
      <c r="C1236" s="17" t="s">
        <v>9657</v>
      </c>
      <c r="D1236" s="17" t="s">
        <v>21</v>
      </c>
      <c r="E1236" s="24">
        <v>2512</v>
      </c>
      <c r="F1236" s="17" t="s">
        <v>89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21">
        <v>47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9658</v>
      </c>
      <c r="B1237" s="17" t="s">
        <v>9658</v>
      </c>
      <c r="C1237" s="17" t="s">
        <v>9659</v>
      </c>
      <c r="D1237" s="17" t="s">
        <v>21</v>
      </c>
      <c r="E1237" s="24">
        <v>2512</v>
      </c>
      <c r="F1237" s="17" t="s">
        <v>91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51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9660</v>
      </c>
      <c r="B1238" s="17" t="s">
        <v>9660</v>
      </c>
      <c r="C1238" s="17" t="s">
        <v>9661</v>
      </c>
      <c r="D1238" s="17" t="s">
        <v>21</v>
      </c>
      <c r="E1238" s="24">
        <v>2512</v>
      </c>
      <c r="F1238" s="17" t="s">
        <v>93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56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9662</v>
      </c>
      <c r="B1239" s="17" t="s">
        <v>9662</v>
      </c>
      <c r="C1239" s="17" t="s">
        <v>9663</v>
      </c>
      <c r="D1239" s="17" t="s">
        <v>21</v>
      </c>
      <c r="E1239" s="24">
        <v>2512</v>
      </c>
      <c r="F1239" s="17" t="s">
        <v>95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62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9664</v>
      </c>
      <c r="B1240" s="17" t="s">
        <v>9664</v>
      </c>
      <c r="C1240" s="17" t="s">
        <v>9665</v>
      </c>
      <c r="D1240" s="17" t="s">
        <v>21</v>
      </c>
      <c r="E1240" s="24">
        <v>2512</v>
      </c>
      <c r="F1240" s="17" t="s">
        <v>97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68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9666</v>
      </c>
      <c r="B1241" s="17" t="s">
        <v>9666</v>
      </c>
      <c r="C1241" s="17" t="s">
        <v>9667</v>
      </c>
      <c r="D1241" s="17" t="s">
        <v>21</v>
      </c>
      <c r="E1241" s="24">
        <v>2512</v>
      </c>
      <c r="F1241" s="17" t="s">
        <v>99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75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9668</v>
      </c>
      <c r="B1242" s="17" t="s">
        <v>9668</v>
      </c>
      <c r="C1242" s="17" t="s">
        <v>9669</v>
      </c>
      <c r="D1242" s="17" t="s">
        <v>21</v>
      </c>
      <c r="E1242" s="24">
        <v>2512</v>
      </c>
      <c r="F1242" s="17" t="s">
        <v>101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82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9670</v>
      </c>
      <c r="B1243" s="17" t="s">
        <v>9670</v>
      </c>
      <c r="C1243" s="17" t="s">
        <v>9671</v>
      </c>
      <c r="D1243" s="17" t="s">
        <v>21</v>
      </c>
      <c r="E1243" s="24">
        <v>2512</v>
      </c>
      <c r="F1243" s="17" t="s">
        <v>103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91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9672</v>
      </c>
      <c r="B1244" s="17" t="s">
        <v>9672</v>
      </c>
      <c r="C1244" s="17" t="s">
        <v>9673</v>
      </c>
      <c r="D1244" s="17" t="s">
        <v>21</v>
      </c>
      <c r="E1244" s="24">
        <v>2512</v>
      </c>
      <c r="F1244" s="17" t="s">
        <v>105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100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9674</v>
      </c>
      <c r="B1245" s="17" t="s">
        <v>9674</v>
      </c>
      <c r="C1245" s="17" t="s">
        <v>9675</v>
      </c>
      <c r="D1245" s="17" t="s">
        <v>21</v>
      </c>
      <c r="E1245" s="24">
        <v>2512</v>
      </c>
      <c r="F1245" s="17" t="s">
        <v>109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110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9676</v>
      </c>
      <c r="B1246" s="17" t="s">
        <v>9676</v>
      </c>
      <c r="C1246" s="17" t="s">
        <v>9677</v>
      </c>
      <c r="D1246" s="17" t="s">
        <v>21</v>
      </c>
      <c r="E1246" s="24">
        <v>2512</v>
      </c>
      <c r="F1246" s="17" t="s">
        <v>111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120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9678</v>
      </c>
      <c r="B1247" s="17" t="s">
        <v>9678</v>
      </c>
      <c r="C1247" s="17" t="s">
        <v>9679</v>
      </c>
      <c r="D1247" s="17" t="s">
        <v>21</v>
      </c>
      <c r="E1247" s="24">
        <v>2512</v>
      </c>
      <c r="F1247" s="17" t="s">
        <v>113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130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9680</v>
      </c>
      <c r="B1248" s="17" t="s">
        <v>9680</v>
      </c>
      <c r="C1248" s="17" t="s">
        <v>9681</v>
      </c>
      <c r="D1248" s="17" t="s">
        <v>21</v>
      </c>
      <c r="E1248" s="24">
        <v>2512</v>
      </c>
      <c r="F1248" s="17" t="s">
        <v>115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150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9682</v>
      </c>
      <c r="B1249" s="17" t="s">
        <v>9682</v>
      </c>
      <c r="C1249" s="17" t="s">
        <v>9683</v>
      </c>
      <c r="D1249" s="17" t="s">
        <v>21</v>
      </c>
      <c r="E1249" s="24">
        <v>2512</v>
      </c>
      <c r="F1249" s="17" t="s">
        <v>117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160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9684</v>
      </c>
      <c r="B1250" s="17" t="s">
        <v>9684</v>
      </c>
      <c r="C1250" s="17" t="s">
        <v>9685</v>
      </c>
      <c r="D1250" s="17" t="s">
        <v>21</v>
      </c>
      <c r="E1250" s="24">
        <v>2512</v>
      </c>
      <c r="F1250" s="17" t="s">
        <v>119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180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9686</v>
      </c>
      <c r="B1251" s="17" t="s">
        <v>9686</v>
      </c>
      <c r="C1251" s="17" t="s">
        <v>9687</v>
      </c>
      <c r="D1251" s="17" t="s">
        <v>21</v>
      </c>
      <c r="E1251" s="24">
        <v>2512</v>
      </c>
      <c r="F1251" s="17" t="s">
        <v>123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200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9688</v>
      </c>
      <c r="B1252" s="17" t="s">
        <v>9688</v>
      </c>
      <c r="C1252" s="17" t="s">
        <v>9689</v>
      </c>
      <c r="D1252" s="17" t="s">
        <v>21</v>
      </c>
      <c r="E1252" s="24">
        <v>2512</v>
      </c>
      <c r="F1252" s="17" t="s">
        <v>125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220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9690</v>
      </c>
      <c r="B1253" s="17" t="s">
        <v>9690</v>
      </c>
      <c r="C1253" s="17" t="s">
        <v>9691</v>
      </c>
      <c r="D1253" s="17" t="s">
        <v>21</v>
      </c>
      <c r="E1253" s="24">
        <v>2512</v>
      </c>
      <c r="F1253" s="17" t="s">
        <v>129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240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9692</v>
      </c>
      <c r="B1254" s="17" t="s">
        <v>9692</v>
      </c>
      <c r="C1254" s="17" t="s">
        <v>9693</v>
      </c>
      <c r="D1254" s="17" t="s">
        <v>21</v>
      </c>
      <c r="E1254" s="24">
        <v>2512</v>
      </c>
      <c r="F1254" s="17" t="s">
        <v>131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270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9694</v>
      </c>
      <c r="B1255" s="17" t="s">
        <v>9694</v>
      </c>
      <c r="C1255" s="17" t="s">
        <v>9695</v>
      </c>
      <c r="D1255" s="17" t="s">
        <v>21</v>
      </c>
      <c r="E1255" s="24">
        <v>2512</v>
      </c>
      <c r="F1255" s="17" t="s">
        <v>133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300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9696</v>
      </c>
      <c r="B1256" s="17" t="s">
        <v>9696</v>
      </c>
      <c r="C1256" s="17" t="s">
        <v>9697</v>
      </c>
      <c r="D1256" s="17" t="s">
        <v>21</v>
      </c>
      <c r="E1256" s="24">
        <v>2512</v>
      </c>
      <c r="F1256" s="17" t="s">
        <v>137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330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9698</v>
      </c>
      <c r="B1257" s="17" t="s">
        <v>9698</v>
      </c>
      <c r="C1257" s="17" t="s">
        <v>9699</v>
      </c>
      <c r="D1257" s="17" t="s">
        <v>21</v>
      </c>
      <c r="E1257" s="24">
        <v>2512</v>
      </c>
      <c r="F1257" s="17" t="s">
        <v>139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360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9700</v>
      </c>
      <c r="B1258" s="17" t="s">
        <v>9700</v>
      </c>
      <c r="C1258" s="17" t="s">
        <v>9701</v>
      </c>
      <c r="D1258" s="17" t="s">
        <v>21</v>
      </c>
      <c r="E1258" s="24">
        <v>2512</v>
      </c>
      <c r="F1258" s="17" t="s">
        <v>141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390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9702</v>
      </c>
      <c r="B1259" s="17" t="s">
        <v>9702</v>
      </c>
      <c r="C1259" s="17" t="s">
        <v>9703</v>
      </c>
      <c r="D1259" s="17" t="s">
        <v>21</v>
      </c>
      <c r="E1259" s="24">
        <v>2512</v>
      </c>
      <c r="F1259" s="17" t="s">
        <v>143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430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9704</v>
      </c>
      <c r="B1260" s="17" t="s">
        <v>9704</v>
      </c>
      <c r="C1260" s="17" t="s">
        <v>9705</v>
      </c>
      <c r="D1260" s="17" t="s">
        <v>21</v>
      </c>
      <c r="E1260" s="24">
        <v>2512</v>
      </c>
      <c r="F1260" s="17" t="s">
        <v>145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470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9706</v>
      </c>
      <c r="B1261" s="17" t="s">
        <v>9706</v>
      </c>
      <c r="C1261" s="17" t="s">
        <v>9707</v>
      </c>
      <c r="D1261" s="17" t="s">
        <v>21</v>
      </c>
      <c r="E1261" s="24">
        <v>2512</v>
      </c>
      <c r="F1261" s="17" t="s">
        <v>149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510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9708</v>
      </c>
      <c r="B1262" s="17" t="s">
        <v>9708</v>
      </c>
      <c r="C1262" s="17" t="s">
        <v>9709</v>
      </c>
      <c r="D1262" s="17" t="s">
        <v>21</v>
      </c>
      <c r="E1262" s="24">
        <v>2512</v>
      </c>
      <c r="F1262" s="17" t="s">
        <v>151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560</v>
      </c>
      <c r="N1262" s="17" t="s">
        <v>14079</v>
      </c>
      <c r="O1262" s="17" t="s">
        <v>477</v>
      </c>
      <c r="P1262" s="17" t="s">
        <v>13702</v>
      </c>
      <c r="Q1262" s="17" t="s">
        <v>25</v>
      </c>
      <c r="R1262" s="17" t="s">
        <v>13703</v>
      </c>
      <c r="S1262" t="s">
        <v>477</v>
      </c>
      <c r="T1262" s="17" t="s">
        <v>13704</v>
      </c>
      <c r="U1262" t="s">
        <v>25</v>
      </c>
      <c r="V1262" s="17" t="s">
        <v>13705</v>
      </c>
      <c r="W1262" s="17"/>
      <c r="X1262" s="17"/>
      <c r="Y1262" s="17"/>
      <c r="Z1262" s="17"/>
      <c r="AA1262" s="17"/>
      <c r="AB1262" s="17"/>
    </row>
    <row r="1263" spans="1:28">
      <c r="A1263" s="17" t="s">
        <v>9710</v>
      </c>
      <c r="B1263" s="17" t="s">
        <v>9710</v>
      </c>
      <c r="C1263" s="17" t="s">
        <v>9711</v>
      </c>
      <c r="D1263" s="17" t="s">
        <v>21</v>
      </c>
      <c r="E1263" s="24">
        <v>2512</v>
      </c>
      <c r="F1263" s="17" t="s">
        <v>153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620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9712</v>
      </c>
      <c r="B1264" s="17" t="s">
        <v>9712</v>
      </c>
      <c r="C1264" s="17" t="s">
        <v>9713</v>
      </c>
      <c r="D1264" s="17" t="s">
        <v>21</v>
      </c>
      <c r="E1264" s="24">
        <v>2512</v>
      </c>
      <c r="F1264" s="17" t="s">
        <v>155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680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9714</v>
      </c>
      <c r="B1265" s="17" t="s">
        <v>9714</v>
      </c>
      <c r="C1265" s="17" t="s">
        <v>9715</v>
      </c>
      <c r="D1265" s="17" t="s">
        <v>21</v>
      </c>
      <c r="E1265" s="24">
        <v>2512</v>
      </c>
      <c r="F1265" s="17" t="s">
        <v>157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750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9716</v>
      </c>
      <c r="B1266" s="17" t="s">
        <v>9716</v>
      </c>
      <c r="C1266" s="17" t="s">
        <v>9717</v>
      </c>
      <c r="D1266" s="17" t="s">
        <v>21</v>
      </c>
      <c r="E1266" s="24">
        <v>2512</v>
      </c>
      <c r="F1266" s="17" t="s">
        <v>159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820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9718</v>
      </c>
      <c r="B1267" s="17" t="s">
        <v>9718</v>
      </c>
      <c r="C1267" s="17" t="s">
        <v>9719</v>
      </c>
      <c r="D1267" s="17" t="s">
        <v>21</v>
      </c>
      <c r="E1267" s="24">
        <v>2512</v>
      </c>
      <c r="F1267" s="17" t="s">
        <v>161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910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9720</v>
      </c>
      <c r="B1268" s="17" t="s">
        <v>9720</v>
      </c>
      <c r="C1268" s="17" t="s">
        <v>9721</v>
      </c>
      <c r="D1268" s="17" t="s">
        <v>21</v>
      </c>
      <c r="E1268" s="24">
        <v>2512</v>
      </c>
      <c r="F1268" s="17" t="s">
        <v>163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1000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9722</v>
      </c>
      <c r="B1269" s="17" t="s">
        <v>9722</v>
      </c>
      <c r="C1269" s="17" t="s">
        <v>9723</v>
      </c>
      <c r="D1269" s="17" t="s">
        <v>21</v>
      </c>
      <c r="E1269" s="24">
        <v>2512</v>
      </c>
      <c r="F1269" s="17" t="s">
        <v>165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1100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6" t="s">
        <v>8082</v>
      </c>
      <c r="B1270" s="16" t="s">
        <v>8082</v>
      </c>
      <c r="C1270" s="16" t="s">
        <v>8083</v>
      </c>
      <c r="D1270" s="16" t="s">
        <v>21</v>
      </c>
      <c r="E1270" s="16" t="s">
        <v>7475</v>
      </c>
      <c r="F1270" s="16" t="s">
        <v>167</v>
      </c>
      <c r="G1270" s="17" t="str">
        <f>Config!$B$3</f>
        <v>SCH/R_IEC.SchLib</v>
      </c>
      <c r="H1270" s="16" t="s">
        <v>419</v>
      </c>
      <c r="I1270" s="18" t="s">
        <v>461</v>
      </c>
      <c r="J1270" s="16" t="s">
        <v>7477</v>
      </c>
      <c r="K1270" s="16"/>
      <c r="L1270" s="16"/>
      <c r="M1270" s="20">
        <v>1200</v>
      </c>
      <c r="N1270" s="17" t="s">
        <v>14079</v>
      </c>
      <c r="O1270" s="16" t="s">
        <v>477</v>
      </c>
      <c r="P1270" s="16" t="s">
        <v>8086</v>
      </c>
      <c r="Q1270" s="16" t="s">
        <v>25</v>
      </c>
      <c r="R1270" s="16" t="s">
        <v>8087</v>
      </c>
      <c r="S1270" s="16" t="s">
        <v>477</v>
      </c>
      <c r="T1270" s="16" t="s">
        <v>8084</v>
      </c>
      <c r="U1270" s="16" t="s">
        <v>25</v>
      </c>
      <c r="V1270" s="16" t="s">
        <v>8085</v>
      </c>
      <c r="W1270" s="17"/>
      <c r="X1270" s="17"/>
      <c r="Y1270" s="17"/>
      <c r="Z1270" s="17"/>
      <c r="AA1270" s="17"/>
      <c r="AB1270" s="17" t="str">
        <f t="shared" ref="AB1270" si="9">"GPR"&amp;E1270&amp;F1270</f>
        <v>GPR25121K2</v>
      </c>
    </row>
    <row r="1271" spans="1:28">
      <c r="A1271" s="17" t="s">
        <v>9724</v>
      </c>
      <c r="B1271" s="17" t="s">
        <v>9724</v>
      </c>
      <c r="C1271" s="17" t="s">
        <v>9725</v>
      </c>
      <c r="D1271" s="17" t="s">
        <v>21</v>
      </c>
      <c r="E1271" s="24">
        <v>2512</v>
      </c>
      <c r="F1271" s="17" t="s">
        <v>169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1300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9726</v>
      </c>
      <c r="B1272" s="17" t="s">
        <v>9726</v>
      </c>
      <c r="C1272" s="17" t="s">
        <v>9727</v>
      </c>
      <c r="D1272" s="17" t="s">
        <v>21</v>
      </c>
      <c r="E1272" s="24">
        <v>2512</v>
      </c>
      <c r="F1272" s="17" t="s">
        <v>171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1500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9728</v>
      </c>
      <c r="B1273" s="17" t="s">
        <v>9728</v>
      </c>
      <c r="C1273" s="17" t="s">
        <v>9729</v>
      </c>
      <c r="D1273" s="17" t="s">
        <v>21</v>
      </c>
      <c r="E1273" s="24">
        <v>2512</v>
      </c>
      <c r="F1273" s="17" t="s">
        <v>175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1600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9730</v>
      </c>
      <c r="B1274" s="17" t="s">
        <v>9730</v>
      </c>
      <c r="C1274" s="17" t="s">
        <v>9731</v>
      </c>
      <c r="D1274" s="17" t="s">
        <v>21</v>
      </c>
      <c r="E1274" s="24">
        <v>2512</v>
      </c>
      <c r="F1274" s="17" t="s">
        <v>181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1800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9732</v>
      </c>
      <c r="B1275" s="17" t="s">
        <v>9732</v>
      </c>
      <c r="C1275" s="17" t="s">
        <v>9733</v>
      </c>
      <c r="D1275" s="17" t="s">
        <v>21</v>
      </c>
      <c r="E1275" s="24">
        <v>2512</v>
      </c>
      <c r="F1275" s="17" t="s">
        <v>183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2000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9734</v>
      </c>
      <c r="B1276" s="17" t="s">
        <v>9734</v>
      </c>
      <c r="C1276" s="17" t="s">
        <v>9735</v>
      </c>
      <c r="D1276" s="17" t="s">
        <v>21</v>
      </c>
      <c r="E1276" s="24">
        <v>2512</v>
      </c>
      <c r="F1276" s="17" t="s">
        <v>187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2200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9736</v>
      </c>
      <c r="B1277" s="17" t="s">
        <v>9736</v>
      </c>
      <c r="C1277" s="17" t="s">
        <v>9737</v>
      </c>
      <c r="D1277" s="17" t="s">
        <v>21</v>
      </c>
      <c r="E1277" s="24">
        <v>2512</v>
      </c>
      <c r="F1277" s="17" t="s">
        <v>191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2400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9738</v>
      </c>
      <c r="B1278" s="17" t="s">
        <v>9738</v>
      </c>
      <c r="C1278" s="17" t="s">
        <v>9739</v>
      </c>
      <c r="D1278" s="17" t="s">
        <v>21</v>
      </c>
      <c r="E1278" s="24">
        <v>2512</v>
      </c>
      <c r="F1278" s="17" t="s">
        <v>193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2700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9740</v>
      </c>
      <c r="B1279" s="17" t="s">
        <v>9740</v>
      </c>
      <c r="C1279" s="17" t="s">
        <v>9741</v>
      </c>
      <c r="D1279" s="17" t="s">
        <v>21</v>
      </c>
      <c r="E1279" s="24">
        <v>2512</v>
      </c>
      <c r="F1279" s="17" t="s">
        <v>197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3000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9742</v>
      </c>
      <c r="B1280" s="17" t="s">
        <v>9742</v>
      </c>
      <c r="C1280" s="17" t="s">
        <v>9743</v>
      </c>
      <c r="D1280" s="17" t="s">
        <v>21</v>
      </c>
      <c r="E1280" s="24">
        <v>2512</v>
      </c>
      <c r="F1280" s="17" t="s">
        <v>201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3300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9744</v>
      </c>
      <c r="B1281" s="17" t="s">
        <v>9744</v>
      </c>
      <c r="C1281" s="17" t="s">
        <v>9745</v>
      </c>
      <c r="D1281" s="17" t="s">
        <v>21</v>
      </c>
      <c r="E1281" s="24">
        <v>2512</v>
      </c>
      <c r="F1281" s="17" t="s">
        <v>203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3600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9746</v>
      </c>
      <c r="B1282" s="17" t="s">
        <v>9746</v>
      </c>
      <c r="C1282" s="17" t="s">
        <v>9747</v>
      </c>
      <c r="D1282" s="17" t="s">
        <v>21</v>
      </c>
      <c r="E1282" s="24">
        <v>2512</v>
      </c>
      <c r="F1282" s="17" t="s">
        <v>205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3900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9748</v>
      </c>
      <c r="B1283" s="17" t="s">
        <v>9748</v>
      </c>
      <c r="C1283" s="17" t="s">
        <v>9749</v>
      </c>
      <c r="D1283" s="17" t="s">
        <v>21</v>
      </c>
      <c r="E1283" s="24">
        <v>2512</v>
      </c>
      <c r="F1283" s="17" t="s">
        <v>207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4300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9750</v>
      </c>
      <c r="B1284" s="17" t="s">
        <v>9750</v>
      </c>
      <c r="C1284" s="17" t="s">
        <v>9751</v>
      </c>
      <c r="D1284" s="17" t="s">
        <v>21</v>
      </c>
      <c r="E1284" s="24">
        <v>2512</v>
      </c>
      <c r="F1284" s="17" t="s">
        <v>209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4700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9752</v>
      </c>
      <c r="B1285" s="17" t="s">
        <v>9752</v>
      </c>
      <c r="C1285" s="17" t="s">
        <v>9753</v>
      </c>
      <c r="D1285" s="17" t="s">
        <v>21</v>
      </c>
      <c r="E1285" s="24">
        <v>2512</v>
      </c>
      <c r="F1285" s="17" t="s">
        <v>213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5100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9754</v>
      </c>
      <c r="B1286" s="17" t="s">
        <v>9754</v>
      </c>
      <c r="C1286" s="17" t="s">
        <v>9755</v>
      </c>
      <c r="D1286" s="17" t="s">
        <v>21</v>
      </c>
      <c r="E1286" s="24">
        <v>2512</v>
      </c>
      <c r="F1286" s="17" t="s">
        <v>215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5600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9756</v>
      </c>
      <c r="B1287" s="17" t="s">
        <v>9756</v>
      </c>
      <c r="C1287" s="17" t="s">
        <v>9757</v>
      </c>
      <c r="D1287" s="17" t="s">
        <v>21</v>
      </c>
      <c r="E1287" s="24">
        <v>2512</v>
      </c>
      <c r="F1287" s="17" t="s">
        <v>217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6200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7" t="s">
        <v>9758</v>
      </c>
      <c r="B1288" s="17" t="s">
        <v>9758</v>
      </c>
      <c r="C1288" s="17" t="s">
        <v>9759</v>
      </c>
      <c r="D1288" s="17" t="s">
        <v>21</v>
      </c>
      <c r="E1288" s="24">
        <v>2512</v>
      </c>
      <c r="F1288" s="17" t="s">
        <v>219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6800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9760</v>
      </c>
      <c r="B1289" s="17" t="s">
        <v>9760</v>
      </c>
      <c r="C1289" s="17" t="s">
        <v>9761</v>
      </c>
      <c r="D1289" s="17" t="s">
        <v>21</v>
      </c>
      <c r="E1289" s="24">
        <v>2512</v>
      </c>
      <c r="F1289" s="17" t="s">
        <v>221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7500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9762</v>
      </c>
      <c r="B1290" s="17" t="s">
        <v>9762</v>
      </c>
      <c r="C1290" s="17" t="s">
        <v>9763</v>
      </c>
      <c r="D1290" s="17" t="s">
        <v>21</v>
      </c>
      <c r="E1290" s="24">
        <v>2512</v>
      </c>
      <c r="F1290" s="17" t="s">
        <v>223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8200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9764</v>
      </c>
      <c r="B1291" s="17" t="s">
        <v>9764</v>
      </c>
      <c r="C1291" s="17" t="s">
        <v>9765</v>
      </c>
      <c r="D1291" s="17" t="s">
        <v>21</v>
      </c>
      <c r="E1291" s="24">
        <v>2512</v>
      </c>
      <c r="F1291" s="17" t="s">
        <v>225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9100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9766</v>
      </c>
      <c r="B1292" s="17" t="s">
        <v>9766</v>
      </c>
      <c r="C1292" s="17" t="s">
        <v>9767</v>
      </c>
      <c r="D1292" s="17" t="s">
        <v>21</v>
      </c>
      <c r="E1292" s="24">
        <v>2512</v>
      </c>
      <c r="F1292" s="17" t="s">
        <v>229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10000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9768</v>
      </c>
      <c r="B1293" s="17" t="s">
        <v>9768</v>
      </c>
      <c r="C1293" s="17" t="s">
        <v>9769</v>
      </c>
      <c r="D1293" s="17" t="s">
        <v>21</v>
      </c>
      <c r="E1293" s="24">
        <v>2512</v>
      </c>
      <c r="F1293" s="17" t="s">
        <v>233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11000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9770</v>
      </c>
      <c r="B1294" s="17" t="s">
        <v>9770</v>
      </c>
      <c r="C1294" s="17" t="s">
        <v>9771</v>
      </c>
      <c r="D1294" s="17" t="s">
        <v>21</v>
      </c>
      <c r="E1294" s="24">
        <v>2512</v>
      </c>
      <c r="F1294" s="17" t="s">
        <v>235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12000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9772</v>
      </c>
      <c r="B1295" s="17" t="s">
        <v>9772</v>
      </c>
      <c r="C1295" s="17" t="s">
        <v>9773</v>
      </c>
      <c r="D1295" s="17" t="s">
        <v>21</v>
      </c>
      <c r="E1295" s="24">
        <v>2512</v>
      </c>
      <c r="F1295" s="17" t="s">
        <v>239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13000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9774</v>
      </c>
      <c r="B1296" s="17" t="s">
        <v>9774</v>
      </c>
      <c r="C1296" s="17" t="s">
        <v>9775</v>
      </c>
      <c r="D1296" s="17" t="s">
        <v>21</v>
      </c>
      <c r="E1296" s="24">
        <v>2512</v>
      </c>
      <c r="F1296" s="17" t="s">
        <v>243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15000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9776</v>
      </c>
      <c r="B1297" s="17" t="s">
        <v>9776</v>
      </c>
      <c r="C1297" s="17" t="s">
        <v>9777</v>
      </c>
      <c r="D1297" s="17" t="s">
        <v>21</v>
      </c>
      <c r="E1297" s="24">
        <v>2512</v>
      </c>
      <c r="F1297" s="17" t="s">
        <v>247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16000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9778</v>
      </c>
      <c r="B1298" s="17" t="s">
        <v>9778</v>
      </c>
      <c r="C1298" s="17" t="s">
        <v>9779</v>
      </c>
      <c r="D1298" s="17" t="s">
        <v>21</v>
      </c>
      <c r="E1298" s="24">
        <v>2512</v>
      </c>
      <c r="F1298" s="17" t="s">
        <v>251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18000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9780</v>
      </c>
      <c r="B1299" s="17" t="s">
        <v>9780</v>
      </c>
      <c r="C1299" s="17" t="s">
        <v>9781</v>
      </c>
      <c r="D1299" s="17" t="s">
        <v>21</v>
      </c>
      <c r="E1299" s="24">
        <v>2512</v>
      </c>
      <c r="F1299" s="17" t="s">
        <v>255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20000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9782</v>
      </c>
      <c r="B1300" s="17" t="s">
        <v>9782</v>
      </c>
      <c r="C1300" s="17" t="s">
        <v>9783</v>
      </c>
      <c r="D1300" s="17" t="s">
        <v>21</v>
      </c>
      <c r="E1300" s="24">
        <v>2512</v>
      </c>
      <c r="F1300" s="17" t="s">
        <v>257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22000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9784</v>
      </c>
      <c r="B1301" s="17" t="s">
        <v>9784</v>
      </c>
      <c r="C1301" s="17" t="s">
        <v>9785</v>
      </c>
      <c r="D1301" s="17" t="s">
        <v>21</v>
      </c>
      <c r="E1301" s="24">
        <v>2512</v>
      </c>
      <c r="F1301" s="17" t="s">
        <v>259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24000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9786</v>
      </c>
      <c r="B1302" s="17" t="s">
        <v>9786</v>
      </c>
      <c r="C1302" s="17" t="s">
        <v>9787</v>
      </c>
      <c r="D1302" s="17" t="s">
        <v>21</v>
      </c>
      <c r="E1302" s="24">
        <v>2512</v>
      </c>
      <c r="F1302" s="17" t="s">
        <v>263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27000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9788</v>
      </c>
      <c r="B1303" s="17" t="s">
        <v>9788</v>
      </c>
      <c r="C1303" s="17" t="s">
        <v>9789</v>
      </c>
      <c r="D1303" s="17" t="s">
        <v>21</v>
      </c>
      <c r="E1303" s="24">
        <v>2512</v>
      </c>
      <c r="F1303" s="17" t="s">
        <v>265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30000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9790</v>
      </c>
      <c r="B1304" s="17" t="s">
        <v>9790</v>
      </c>
      <c r="C1304" s="17" t="s">
        <v>9791</v>
      </c>
      <c r="D1304" s="17" t="s">
        <v>21</v>
      </c>
      <c r="E1304" s="24">
        <v>2512</v>
      </c>
      <c r="F1304" s="17" t="s">
        <v>267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33000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9792</v>
      </c>
      <c r="B1305" s="17" t="s">
        <v>9792</v>
      </c>
      <c r="C1305" s="17" t="s">
        <v>9793</v>
      </c>
      <c r="D1305" s="17" t="s">
        <v>21</v>
      </c>
      <c r="E1305" s="24">
        <v>2512</v>
      </c>
      <c r="F1305" s="17" t="s">
        <v>269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36000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9794</v>
      </c>
      <c r="B1306" s="17" t="s">
        <v>9794</v>
      </c>
      <c r="C1306" s="17" t="s">
        <v>9795</v>
      </c>
      <c r="D1306" s="17" t="s">
        <v>21</v>
      </c>
      <c r="E1306" s="24">
        <v>2512</v>
      </c>
      <c r="F1306" s="17" t="s">
        <v>273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39000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9796</v>
      </c>
      <c r="B1307" s="17" t="s">
        <v>9796</v>
      </c>
      <c r="C1307" s="17" t="s">
        <v>9797</v>
      </c>
      <c r="D1307" s="17" t="s">
        <v>21</v>
      </c>
      <c r="E1307" s="24">
        <v>2512</v>
      </c>
      <c r="F1307" s="17" t="s">
        <v>277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43000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9798</v>
      </c>
      <c r="B1308" s="17" t="s">
        <v>9798</v>
      </c>
      <c r="C1308" s="17" t="s">
        <v>9799</v>
      </c>
      <c r="D1308" s="17" t="s">
        <v>21</v>
      </c>
      <c r="E1308" s="24">
        <v>2512</v>
      </c>
      <c r="F1308" s="17" t="s">
        <v>279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47000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9800</v>
      </c>
      <c r="B1309" s="17" t="s">
        <v>9800</v>
      </c>
      <c r="C1309" s="17" t="s">
        <v>9801</v>
      </c>
      <c r="D1309" s="17" t="s">
        <v>21</v>
      </c>
      <c r="E1309" s="24">
        <v>2512</v>
      </c>
      <c r="F1309" s="17" t="s">
        <v>283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51000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9802</v>
      </c>
      <c r="B1310" s="17" t="s">
        <v>9802</v>
      </c>
      <c r="C1310" s="17" t="s">
        <v>9803</v>
      </c>
      <c r="D1310" s="17" t="s">
        <v>21</v>
      </c>
      <c r="E1310" s="24">
        <v>2512</v>
      </c>
      <c r="F1310" s="17" t="s">
        <v>287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56000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9804</v>
      </c>
      <c r="B1311" s="17" t="s">
        <v>9804</v>
      </c>
      <c r="C1311" s="17" t="s">
        <v>9805</v>
      </c>
      <c r="D1311" s="17" t="s">
        <v>21</v>
      </c>
      <c r="E1311" s="24">
        <v>2512</v>
      </c>
      <c r="F1311" s="17" t="s">
        <v>291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62000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9806</v>
      </c>
      <c r="B1312" s="17" t="s">
        <v>9806</v>
      </c>
      <c r="C1312" s="17" t="s">
        <v>9807</v>
      </c>
      <c r="D1312" s="17" t="s">
        <v>21</v>
      </c>
      <c r="E1312" s="24">
        <v>2512</v>
      </c>
      <c r="F1312" s="17" t="s">
        <v>295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68000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9808</v>
      </c>
      <c r="B1313" s="17" t="s">
        <v>9808</v>
      </c>
      <c r="C1313" s="17" t="s">
        <v>9809</v>
      </c>
      <c r="D1313" s="17" t="s">
        <v>21</v>
      </c>
      <c r="E1313" s="24">
        <v>2512</v>
      </c>
      <c r="F1313" s="17" t="s">
        <v>299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75000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9810</v>
      </c>
      <c r="B1314" s="17" t="s">
        <v>9810</v>
      </c>
      <c r="C1314" s="17" t="s">
        <v>9811</v>
      </c>
      <c r="D1314" s="17" t="s">
        <v>21</v>
      </c>
      <c r="E1314" s="24">
        <v>2512</v>
      </c>
      <c r="F1314" s="17" t="s">
        <v>301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82000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9812</v>
      </c>
      <c r="B1315" s="17" t="s">
        <v>9812</v>
      </c>
      <c r="C1315" s="17" t="s">
        <v>9813</v>
      </c>
      <c r="D1315" s="17" t="s">
        <v>21</v>
      </c>
      <c r="E1315" s="24">
        <v>2512</v>
      </c>
      <c r="F1315" s="17" t="s">
        <v>303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91000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9814</v>
      </c>
      <c r="B1316" s="17" t="s">
        <v>9814</v>
      </c>
      <c r="C1316" s="17" t="s">
        <v>9815</v>
      </c>
      <c r="D1316" s="17" t="s">
        <v>21</v>
      </c>
      <c r="E1316" s="24">
        <v>2512</v>
      </c>
      <c r="F1316" s="17" t="s">
        <v>305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100000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9816</v>
      </c>
      <c r="B1317" s="17" t="s">
        <v>9816</v>
      </c>
      <c r="C1317" s="17" t="s">
        <v>9817</v>
      </c>
      <c r="D1317" s="17" t="s">
        <v>21</v>
      </c>
      <c r="E1317" s="24">
        <v>2512</v>
      </c>
      <c r="F1317" s="17" t="s">
        <v>309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110000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9818</v>
      </c>
      <c r="B1318" s="17" t="s">
        <v>9818</v>
      </c>
      <c r="C1318" s="17" t="s">
        <v>9819</v>
      </c>
      <c r="D1318" s="17" t="s">
        <v>21</v>
      </c>
      <c r="E1318" s="24">
        <v>2512</v>
      </c>
      <c r="F1318" s="17" t="s">
        <v>313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120000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9820</v>
      </c>
      <c r="B1319" s="17" t="s">
        <v>9820</v>
      </c>
      <c r="C1319" s="17" t="s">
        <v>9821</v>
      </c>
      <c r="D1319" s="17" t="s">
        <v>21</v>
      </c>
      <c r="E1319" s="24">
        <v>2512</v>
      </c>
      <c r="F1319" s="17" t="s">
        <v>317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130000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9822</v>
      </c>
      <c r="B1320" s="17" t="s">
        <v>9822</v>
      </c>
      <c r="C1320" s="17" t="s">
        <v>9823</v>
      </c>
      <c r="D1320" s="17" t="s">
        <v>21</v>
      </c>
      <c r="E1320" s="24">
        <v>2512</v>
      </c>
      <c r="F1320" s="17" t="s">
        <v>321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150000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9824</v>
      </c>
      <c r="B1321" s="17" t="s">
        <v>9824</v>
      </c>
      <c r="C1321" s="17" t="s">
        <v>9825</v>
      </c>
      <c r="D1321" s="17" t="s">
        <v>21</v>
      </c>
      <c r="E1321" s="24">
        <v>2512</v>
      </c>
      <c r="F1321" s="17" t="s">
        <v>323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160000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9826</v>
      </c>
      <c r="B1322" s="17" t="s">
        <v>9826</v>
      </c>
      <c r="C1322" s="17" t="s">
        <v>9827</v>
      </c>
      <c r="D1322" s="17" t="s">
        <v>21</v>
      </c>
      <c r="E1322" s="24">
        <v>2512</v>
      </c>
      <c r="F1322" s="17" t="s">
        <v>327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180000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9828</v>
      </c>
      <c r="B1323" s="17" t="s">
        <v>9828</v>
      </c>
      <c r="C1323" s="17" t="s">
        <v>9829</v>
      </c>
      <c r="D1323" s="17" t="s">
        <v>21</v>
      </c>
      <c r="E1323" s="24">
        <v>2512</v>
      </c>
      <c r="F1323" s="17" t="s">
        <v>331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200000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9830</v>
      </c>
      <c r="B1324" s="17" t="s">
        <v>9830</v>
      </c>
      <c r="C1324" s="17" t="s">
        <v>9831</v>
      </c>
      <c r="D1324" s="17" t="s">
        <v>21</v>
      </c>
      <c r="E1324" s="24">
        <v>2512</v>
      </c>
      <c r="F1324" s="17" t="s">
        <v>333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220000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9832</v>
      </c>
      <c r="B1325" s="17" t="s">
        <v>9832</v>
      </c>
      <c r="C1325" s="17" t="s">
        <v>9833</v>
      </c>
      <c r="D1325" s="17" t="s">
        <v>21</v>
      </c>
      <c r="E1325" s="24">
        <v>2512</v>
      </c>
      <c r="F1325" s="17" t="s">
        <v>335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240000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9834</v>
      </c>
      <c r="B1326" s="17" t="s">
        <v>9834</v>
      </c>
      <c r="C1326" s="17" t="s">
        <v>9835</v>
      </c>
      <c r="D1326" s="17" t="s">
        <v>21</v>
      </c>
      <c r="E1326" s="24">
        <v>2512</v>
      </c>
      <c r="F1326" s="17" t="s">
        <v>337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270000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9836</v>
      </c>
      <c r="B1327" s="17" t="s">
        <v>9836</v>
      </c>
      <c r="C1327" s="17" t="s">
        <v>9837</v>
      </c>
      <c r="D1327" s="17" t="s">
        <v>21</v>
      </c>
      <c r="E1327" s="24">
        <v>2512</v>
      </c>
      <c r="F1327" s="17" t="s">
        <v>339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300000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9838</v>
      </c>
      <c r="B1328" s="17" t="s">
        <v>9838</v>
      </c>
      <c r="C1328" s="16" t="s">
        <v>9839</v>
      </c>
      <c r="D1328" s="16" t="s">
        <v>21</v>
      </c>
      <c r="E1328" s="24">
        <v>2512</v>
      </c>
      <c r="F1328" s="17" t="s">
        <v>341</v>
      </c>
      <c r="G1328" s="17" t="str">
        <f>Config!$B$3</f>
        <v>SCH/R_IEC.SchLib</v>
      </c>
      <c r="H1328" s="16" t="s">
        <v>419</v>
      </c>
      <c r="I1328" s="18" t="s">
        <v>461</v>
      </c>
      <c r="J1328" s="17" t="s">
        <v>7477</v>
      </c>
      <c r="K1328" s="17"/>
      <c r="L1328" s="17"/>
      <c r="M1328" s="21">
        <v>330000</v>
      </c>
      <c r="N1328" s="17"/>
      <c r="O1328" s="16"/>
      <c r="P1328" s="17"/>
      <c r="Q1328" s="16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9840</v>
      </c>
      <c r="B1329" s="17" t="s">
        <v>9840</v>
      </c>
      <c r="C1329" s="17" t="s">
        <v>9841</v>
      </c>
      <c r="D1329" s="17" t="s">
        <v>21</v>
      </c>
      <c r="E1329" s="24">
        <v>2512</v>
      </c>
      <c r="F1329" s="17" t="s">
        <v>345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360000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9842</v>
      </c>
      <c r="B1330" s="17" t="s">
        <v>9842</v>
      </c>
      <c r="C1330" s="17" t="s">
        <v>9843</v>
      </c>
      <c r="D1330" s="17" t="s">
        <v>21</v>
      </c>
      <c r="E1330" s="24">
        <v>2512</v>
      </c>
      <c r="F1330" s="17" t="s">
        <v>349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390000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9844</v>
      </c>
      <c r="B1331" s="17" t="s">
        <v>9844</v>
      </c>
      <c r="C1331" s="17" t="s">
        <v>9845</v>
      </c>
      <c r="D1331" s="17" t="s">
        <v>21</v>
      </c>
      <c r="E1331" s="24">
        <v>2512</v>
      </c>
      <c r="F1331" s="17" t="s">
        <v>351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430000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9846</v>
      </c>
      <c r="B1332" s="17" t="s">
        <v>9846</v>
      </c>
      <c r="C1332" s="17" t="s">
        <v>9847</v>
      </c>
      <c r="D1332" s="17" t="s">
        <v>21</v>
      </c>
      <c r="E1332" s="24">
        <v>2512</v>
      </c>
      <c r="F1332" s="17" t="s">
        <v>353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470000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9848</v>
      </c>
      <c r="B1333" s="17" t="s">
        <v>9848</v>
      </c>
      <c r="C1333" s="17" t="s">
        <v>9849</v>
      </c>
      <c r="D1333" s="17" t="s">
        <v>21</v>
      </c>
      <c r="E1333" s="24">
        <v>2512</v>
      </c>
      <c r="F1333" s="17" t="s">
        <v>355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510000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9850</v>
      </c>
      <c r="B1334" s="17" t="s">
        <v>9850</v>
      </c>
      <c r="C1334" s="17" t="s">
        <v>9851</v>
      </c>
      <c r="D1334" s="17" t="s">
        <v>21</v>
      </c>
      <c r="E1334" s="24">
        <v>2512</v>
      </c>
      <c r="F1334" s="17" t="s">
        <v>357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560000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9852</v>
      </c>
      <c r="B1335" s="17" t="s">
        <v>9852</v>
      </c>
      <c r="C1335" s="17" t="s">
        <v>9853</v>
      </c>
      <c r="D1335" s="17" t="s">
        <v>21</v>
      </c>
      <c r="E1335" s="24">
        <v>2512</v>
      </c>
      <c r="F1335" s="17" t="s">
        <v>359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620000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9854</v>
      </c>
      <c r="B1336" s="17" t="s">
        <v>9854</v>
      </c>
      <c r="C1336" s="17" t="s">
        <v>9855</v>
      </c>
      <c r="D1336" s="17" t="s">
        <v>21</v>
      </c>
      <c r="E1336" s="24">
        <v>2512</v>
      </c>
      <c r="F1336" s="17" t="s">
        <v>361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680000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9856</v>
      </c>
      <c r="B1337" s="17" t="s">
        <v>9856</v>
      </c>
      <c r="C1337" s="17" t="s">
        <v>9857</v>
      </c>
      <c r="D1337" s="17" t="s">
        <v>21</v>
      </c>
      <c r="E1337" s="24">
        <v>2512</v>
      </c>
      <c r="F1337" s="17" t="s">
        <v>363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750000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9858</v>
      </c>
      <c r="B1338" s="17" t="s">
        <v>9858</v>
      </c>
      <c r="C1338" s="17" t="s">
        <v>9859</v>
      </c>
      <c r="D1338" s="17" t="s">
        <v>21</v>
      </c>
      <c r="E1338" s="24">
        <v>2512</v>
      </c>
      <c r="F1338" s="17" t="s">
        <v>365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820000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9860</v>
      </c>
      <c r="B1339" s="17" t="s">
        <v>9860</v>
      </c>
      <c r="C1339" s="17" t="s">
        <v>9861</v>
      </c>
      <c r="D1339" s="17" t="s">
        <v>21</v>
      </c>
      <c r="E1339" s="24">
        <v>2512</v>
      </c>
      <c r="F1339" s="17" t="s">
        <v>367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910000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9862</v>
      </c>
      <c r="B1340" s="17" t="s">
        <v>9862</v>
      </c>
      <c r="C1340" s="17" t="s">
        <v>9863</v>
      </c>
      <c r="D1340" s="17" t="s">
        <v>21</v>
      </c>
      <c r="E1340" s="24">
        <v>2512</v>
      </c>
      <c r="F1340" s="17" t="s">
        <v>369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1000000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9864</v>
      </c>
      <c r="B1341" s="17" t="s">
        <v>9864</v>
      </c>
      <c r="C1341" s="17" t="s">
        <v>9865</v>
      </c>
      <c r="D1341" s="17" t="s">
        <v>21</v>
      </c>
      <c r="E1341" s="24">
        <v>2512</v>
      </c>
      <c r="F1341" s="17" t="s">
        <v>371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1100000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9866</v>
      </c>
      <c r="B1342" s="17" t="s">
        <v>9866</v>
      </c>
      <c r="C1342" s="17" t="s">
        <v>9867</v>
      </c>
      <c r="D1342" s="17" t="s">
        <v>21</v>
      </c>
      <c r="E1342" s="24">
        <v>2512</v>
      </c>
      <c r="F1342" s="17" t="s">
        <v>373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1200000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9868</v>
      </c>
      <c r="B1343" s="17" t="s">
        <v>9868</v>
      </c>
      <c r="C1343" s="17" t="s">
        <v>9869</v>
      </c>
      <c r="D1343" s="17" t="s">
        <v>21</v>
      </c>
      <c r="E1343" s="24">
        <v>2512</v>
      </c>
      <c r="F1343" s="17" t="s">
        <v>375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1300000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9870</v>
      </c>
      <c r="B1344" s="17" t="s">
        <v>9870</v>
      </c>
      <c r="C1344" s="17" t="s">
        <v>9871</v>
      </c>
      <c r="D1344" s="17" t="s">
        <v>21</v>
      </c>
      <c r="E1344" s="24">
        <v>2512</v>
      </c>
      <c r="F1344" s="17" t="s">
        <v>377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1500000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9872</v>
      </c>
      <c r="B1345" s="17" t="s">
        <v>9872</v>
      </c>
      <c r="C1345" s="17" t="s">
        <v>9873</v>
      </c>
      <c r="D1345" s="17" t="s">
        <v>21</v>
      </c>
      <c r="E1345" s="24">
        <v>2512</v>
      </c>
      <c r="F1345" s="17" t="s">
        <v>379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1600000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9874</v>
      </c>
      <c r="B1346" s="17" t="s">
        <v>9874</v>
      </c>
      <c r="C1346" s="17" t="s">
        <v>9875</v>
      </c>
      <c r="D1346" s="17" t="s">
        <v>21</v>
      </c>
      <c r="E1346" s="24">
        <v>2512</v>
      </c>
      <c r="F1346" s="17" t="s">
        <v>381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1800000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9876</v>
      </c>
      <c r="B1347" s="17" t="s">
        <v>9876</v>
      </c>
      <c r="C1347" s="17" t="s">
        <v>9877</v>
      </c>
      <c r="D1347" s="17" t="s">
        <v>21</v>
      </c>
      <c r="E1347" s="24">
        <v>2512</v>
      </c>
      <c r="F1347" s="17" t="s">
        <v>383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2000000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9878</v>
      </c>
      <c r="B1348" s="17" t="s">
        <v>9878</v>
      </c>
      <c r="C1348" s="17" t="s">
        <v>9879</v>
      </c>
      <c r="D1348" s="17" t="s">
        <v>21</v>
      </c>
      <c r="E1348" s="24">
        <v>2512</v>
      </c>
      <c r="F1348" s="17" t="s">
        <v>385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2200000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9880</v>
      </c>
      <c r="B1349" s="17" t="s">
        <v>9880</v>
      </c>
      <c r="C1349" s="17" t="s">
        <v>9881</v>
      </c>
      <c r="D1349" s="17" t="s">
        <v>21</v>
      </c>
      <c r="E1349" s="24">
        <v>2512</v>
      </c>
      <c r="F1349" s="17" t="s">
        <v>387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2400000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9882</v>
      </c>
      <c r="B1350" s="17" t="s">
        <v>9882</v>
      </c>
      <c r="C1350" s="17" t="s">
        <v>9883</v>
      </c>
      <c r="D1350" s="17" t="s">
        <v>21</v>
      </c>
      <c r="E1350" s="24">
        <v>2512</v>
      </c>
      <c r="F1350" s="17" t="s">
        <v>389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2700000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9884</v>
      </c>
      <c r="B1351" s="17" t="s">
        <v>9884</v>
      </c>
      <c r="C1351" s="17" t="s">
        <v>9885</v>
      </c>
      <c r="D1351" s="17" t="s">
        <v>21</v>
      </c>
      <c r="E1351" s="24">
        <v>2512</v>
      </c>
      <c r="F1351" s="17" t="s">
        <v>391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3000000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9886</v>
      </c>
      <c r="B1352" s="17" t="s">
        <v>9886</v>
      </c>
      <c r="C1352" s="17" t="s">
        <v>9887</v>
      </c>
      <c r="D1352" s="17" t="s">
        <v>21</v>
      </c>
      <c r="E1352" s="24">
        <v>2512</v>
      </c>
      <c r="F1352" s="17" t="s">
        <v>393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3300000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9888</v>
      </c>
      <c r="B1353" s="17" t="s">
        <v>9888</v>
      </c>
      <c r="C1353" s="17" t="s">
        <v>9889</v>
      </c>
      <c r="D1353" s="17" t="s">
        <v>21</v>
      </c>
      <c r="E1353" s="24">
        <v>2512</v>
      </c>
      <c r="F1353" s="17" t="s">
        <v>395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3600000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9890</v>
      </c>
      <c r="B1354" s="17" t="s">
        <v>9890</v>
      </c>
      <c r="C1354" s="17" t="s">
        <v>9891</v>
      </c>
      <c r="D1354" s="17" t="s">
        <v>21</v>
      </c>
      <c r="E1354" s="24">
        <v>2512</v>
      </c>
      <c r="F1354" s="17" t="s">
        <v>397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3900000</v>
      </c>
      <c r="N1354" s="17" t="s">
        <v>14079</v>
      </c>
      <c r="O1354" s="17" t="s">
        <v>477</v>
      </c>
      <c r="P1354" s="17" t="s">
        <v>12711</v>
      </c>
      <c r="Q1354" t="s">
        <v>25</v>
      </c>
      <c r="R1354" s="17" t="s">
        <v>12712</v>
      </c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9892</v>
      </c>
      <c r="B1355" s="17" t="s">
        <v>9892</v>
      </c>
      <c r="C1355" s="17" t="s">
        <v>9893</v>
      </c>
      <c r="D1355" s="17" t="s">
        <v>21</v>
      </c>
      <c r="E1355" s="24">
        <v>2512</v>
      </c>
      <c r="F1355" s="17" t="s">
        <v>399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4300000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9894</v>
      </c>
      <c r="B1356" s="17" t="s">
        <v>9894</v>
      </c>
      <c r="C1356" s="17" t="s">
        <v>9895</v>
      </c>
      <c r="D1356" s="17" t="s">
        <v>21</v>
      </c>
      <c r="E1356" s="24">
        <v>2512</v>
      </c>
      <c r="F1356" s="17" t="s">
        <v>401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4700000</v>
      </c>
      <c r="N1356" s="17" t="s">
        <v>14079</v>
      </c>
      <c r="O1356" t="s">
        <v>477</v>
      </c>
      <c r="P1356" t="s">
        <v>12713</v>
      </c>
      <c r="Q1356" t="s">
        <v>25</v>
      </c>
      <c r="R1356" t="s">
        <v>12714</v>
      </c>
      <c r="S1356" s="17" t="s">
        <v>477</v>
      </c>
      <c r="T1356" s="17" t="s">
        <v>12709</v>
      </c>
      <c r="U1356" t="s">
        <v>25</v>
      </c>
      <c r="V1356" s="17" t="s">
        <v>12710</v>
      </c>
      <c r="W1356" s="17"/>
      <c r="X1356" s="17"/>
      <c r="Y1356" s="17"/>
      <c r="Z1356" s="17"/>
      <c r="AA1356" s="17"/>
      <c r="AB1356" s="17"/>
    </row>
    <row r="1357" spans="1:28">
      <c r="A1357" s="17" t="s">
        <v>9896</v>
      </c>
      <c r="B1357" s="17" t="s">
        <v>9896</v>
      </c>
      <c r="C1357" s="17" t="s">
        <v>9897</v>
      </c>
      <c r="D1357" s="17" t="s">
        <v>21</v>
      </c>
      <c r="E1357" s="24">
        <v>2512</v>
      </c>
      <c r="F1357" s="17" t="s">
        <v>403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5100000</v>
      </c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9898</v>
      </c>
      <c r="B1358" s="17" t="s">
        <v>9898</v>
      </c>
      <c r="C1358" s="17" t="s">
        <v>9899</v>
      </c>
      <c r="D1358" s="17" t="s">
        <v>21</v>
      </c>
      <c r="E1358" s="24">
        <v>2512</v>
      </c>
      <c r="F1358" s="17" t="s">
        <v>405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5600000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9900</v>
      </c>
      <c r="B1359" s="17" t="s">
        <v>9900</v>
      </c>
      <c r="C1359" s="17" t="s">
        <v>9901</v>
      </c>
      <c r="D1359" s="17" t="s">
        <v>21</v>
      </c>
      <c r="E1359" s="24">
        <v>2512</v>
      </c>
      <c r="F1359" s="17" t="s">
        <v>407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6200000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9902</v>
      </c>
      <c r="B1360" s="17" t="s">
        <v>9902</v>
      </c>
      <c r="C1360" s="17" t="s">
        <v>9903</v>
      </c>
      <c r="D1360" s="17" t="s">
        <v>21</v>
      </c>
      <c r="E1360" s="24">
        <v>2512</v>
      </c>
      <c r="F1360" s="17" t="s">
        <v>409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6800000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9904</v>
      </c>
      <c r="B1361" s="17" t="s">
        <v>9904</v>
      </c>
      <c r="C1361" s="17" t="s">
        <v>9905</v>
      </c>
      <c r="D1361" s="17" t="s">
        <v>21</v>
      </c>
      <c r="E1361" s="24">
        <v>2512</v>
      </c>
      <c r="F1361" s="17" t="s">
        <v>411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7500000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9906</v>
      </c>
      <c r="B1362" s="17" t="s">
        <v>9906</v>
      </c>
      <c r="C1362" s="17" t="s">
        <v>9907</v>
      </c>
      <c r="D1362" s="17" t="s">
        <v>21</v>
      </c>
      <c r="E1362" s="24">
        <v>2512</v>
      </c>
      <c r="F1362" s="17" t="s">
        <v>413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8200000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9908</v>
      </c>
      <c r="B1363" s="17" t="s">
        <v>9908</v>
      </c>
      <c r="C1363" s="17" t="s">
        <v>9909</v>
      </c>
      <c r="D1363" s="17" t="s">
        <v>21</v>
      </c>
      <c r="E1363" s="24">
        <v>2512</v>
      </c>
      <c r="F1363" s="17" t="s">
        <v>415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9100000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9910</v>
      </c>
      <c r="B1364" s="17" t="s">
        <v>9910</v>
      </c>
      <c r="C1364" s="17" t="s">
        <v>9911</v>
      </c>
      <c r="D1364" s="17" t="s">
        <v>21</v>
      </c>
      <c r="E1364" s="24">
        <v>2512</v>
      </c>
      <c r="F1364" s="17" t="s">
        <v>417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10000000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 ht="14.65" customHeight="1">
      <c r="A1365" s="17" t="s">
        <v>4301</v>
      </c>
      <c r="B1365" s="17" t="s">
        <v>4301</v>
      </c>
      <c r="C1365" s="17" t="s">
        <v>4295</v>
      </c>
      <c r="D1365" s="17" t="s">
        <v>21</v>
      </c>
      <c r="E1365" s="24" t="s">
        <v>22</v>
      </c>
      <c r="F1365" s="17" t="s">
        <v>229</v>
      </c>
      <c r="G1365" s="17" t="str">
        <f>Config!$B$3</f>
        <v>SCH/R_IEC.SchLib</v>
      </c>
      <c r="H1365" s="17" t="s">
        <v>4296</v>
      </c>
      <c r="I1365" s="17" t="s">
        <v>461</v>
      </c>
      <c r="J1365" s="17" t="s">
        <v>462</v>
      </c>
      <c r="K1365" s="17"/>
      <c r="L1365" s="17"/>
      <c r="M1365" s="21">
        <v>10000</v>
      </c>
      <c r="N1365" s="17" t="s">
        <v>4297</v>
      </c>
      <c r="O1365" s="17" t="s">
        <v>4298</v>
      </c>
      <c r="P1365" s="17" t="s">
        <v>4299</v>
      </c>
      <c r="Q1365" s="17" t="s">
        <v>25</v>
      </c>
      <c r="R1365" s="22" t="s">
        <v>4300</v>
      </c>
      <c r="S1365" s="17"/>
      <c r="T1365" s="17"/>
      <c r="U1365" s="17"/>
      <c r="V1365" s="17"/>
      <c r="W1365" s="17" t="s">
        <v>4303</v>
      </c>
      <c r="X1365" s="17" t="s">
        <v>4302</v>
      </c>
      <c r="Y1365" s="17" t="s">
        <v>4559</v>
      </c>
      <c r="Z1365" s="17" t="s">
        <v>4304</v>
      </c>
      <c r="AA1365" s="17" t="s">
        <v>4727</v>
      </c>
      <c r="AB1365" s="17" t="str">
        <f t="shared" ref="AB1365:AB1368" si="10">"GPR"&amp;E1365&amp;F1365</f>
        <v>GPR060310K</v>
      </c>
    </row>
    <row r="1366" spans="1:28">
      <c r="A1366" s="17" t="s">
        <v>4360</v>
      </c>
      <c r="B1366" s="17" t="s">
        <v>4360</v>
      </c>
      <c r="C1366" s="17" t="s">
        <v>4361</v>
      </c>
      <c r="D1366" s="17" t="s">
        <v>21</v>
      </c>
      <c r="E1366" s="24">
        <v>1206</v>
      </c>
      <c r="F1366" s="17" t="s">
        <v>4362</v>
      </c>
      <c r="G1366" s="17" t="str">
        <f>Config!$B$3</f>
        <v>SCH/R_IEC.SchLib</v>
      </c>
      <c r="H1366" s="17" t="s">
        <v>4363</v>
      </c>
      <c r="I1366" s="17" t="s">
        <v>461</v>
      </c>
      <c r="J1366" s="17" t="s">
        <v>4364</v>
      </c>
      <c r="K1366" s="17"/>
      <c r="L1366" s="17"/>
      <c r="M1366" s="21">
        <v>1.5</v>
      </c>
      <c r="N1366" s="17" t="s">
        <v>4367</v>
      </c>
      <c r="O1366" s="17" t="s">
        <v>4368</v>
      </c>
      <c r="P1366" s="17" t="s">
        <v>4366</v>
      </c>
      <c r="Q1366" s="17" t="s">
        <v>25</v>
      </c>
      <c r="R1366" s="17" t="s">
        <v>4365</v>
      </c>
      <c r="S1366" s="17"/>
      <c r="T1366" s="17"/>
      <c r="U1366" s="17"/>
      <c r="V1366" s="17"/>
      <c r="W1366" s="17" t="s">
        <v>4368</v>
      </c>
      <c r="X1366" s="17" t="s">
        <v>4366</v>
      </c>
      <c r="Y1366" s="17" t="s">
        <v>4559</v>
      </c>
      <c r="Z1366" s="23" t="s">
        <v>4369</v>
      </c>
      <c r="AA1366" s="17" t="s">
        <v>4727</v>
      </c>
      <c r="AB1366" s="17" t="str">
        <f t="shared" si="10"/>
        <v>GPR12061.5A</v>
      </c>
    </row>
    <row r="1367" spans="1:28">
      <c r="A1367" s="16" t="s">
        <v>4538</v>
      </c>
      <c r="B1367" s="16" t="s">
        <v>4538</v>
      </c>
      <c r="C1367" s="16" t="s">
        <v>4539</v>
      </c>
      <c r="D1367" s="16" t="s">
        <v>21</v>
      </c>
      <c r="E1367" s="16" t="s">
        <v>22</v>
      </c>
      <c r="F1367" s="16" t="s">
        <v>4540</v>
      </c>
      <c r="G1367" s="17" t="str">
        <f>Config!$B$3</f>
        <v>SCH/R_IEC.SchLib</v>
      </c>
      <c r="H1367" s="16" t="s">
        <v>419</v>
      </c>
      <c r="I1367" s="18" t="s">
        <v>461</v>
      </c>
      <c r="J1367" s="16" t="s">
        <v>462</v>
      </c>
      <c r="K1367" s="16"/>
      <c r="L1367" s="16"/>
      <c r="M1367" s="20">
        <v>732000</v>
      </c>
      <c r="N1367" s="17" t="s">
        <v>14079</v>
      </c>
      <c r="O1367" s="16" t="s">
        <v>477</v>
      </c>
      <c r="P1367" s="16" t="s">
        <v>4542</v>
      </c>
      <c r="Q1367" s="16" t="s">
        <v>25</v>
      </c>
      <c r="R1367" s="16" t="s">
        <v>4541</v>
      </c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 t="str">
        <f t="shared" si="10"/>
        <v>GPR0603732K</v>
      </c>
    </row>
    <row r="1368" spans="1:28">
      <c r="A1368" s="16" t="s">
        <v>4548</v>
      </c>
      <c r="B1368" s="16" t="s">
        <v>4548</v>
      </c>
      <c r="C1368" s="16" t="s">
        <v>4543</v>
      </c>
      <c r="D1368" s="16" t="s">
        <v>21</v>
      </c>
      <c r="E1368" s="16" t="s">
        <v>22</v>
      </c>
      <c r="F1368" s="16" t="s">
        <v>4549</v>
      </c>
      <c r="G1368" s="17" t="str">
        <f>Config!$B$3</f>
        <v>SCH/R_IEC.SchLib</v>
      </c>
      <c r="H1368" s="16" t="s">
        <v>419</v>
      </c>
      <c r="I1368" s="18" t="s">
        <v>461</v>
      </c>
      <c r="J1368" s="16" t="s">
        <v>462</v>
      </c>
      <c r="K1368" s="16"/>
      <c r="L1368" s="16"/>
      <c r="M1368" s="20">
        <v>499000</v>
      </c>
      <c r="N1368" s="19" t="s">
        <v>4547</v>
      </c>
      <c r="O1368" s="16" t="s">
        <v>4546</v>
      </c>
      <c r="P1368" s="16" t="s">
        <v>4545</v>
      </c>
      <c r="Q1368" s="16" t="s">
        <v>25</v>
      </c>
      <c r="R1368" s="16" t="s">
        <v>4544</v>
      </c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 t="str">
        <f t="shared" si="10"/>
        <v>GPR0603499K</v>
      </c>
    </row>
    <row r="1369" spans="1:28">
      <c r="A1369" s="17" t="s">
        <v>8114</v>
      </c>
      <c r="B1369" s="17" t="s">
        <v>8114</v>
      </c>
      <c r="C1369" s="16" t="s">
        <v>8115</v>
      </c>
      <c r="D1369" s="16" t="s">
        <v>21</v>
      </c>
      <c r="E1369" s="24" t="s">
        <v>22</v>
      </c>
      <c r="F1369" s="17" t="s">
        <v>6448</v>
      </c>
      <c r="G1369" s="17" t="str">
        <f>Config!$B$3</f>
        <v>SCH/R_IEC.SchLib</v>
      </c>
      <c r="H1369" s="16" t="s">
        <v>419</v>
      </c>
      <c r="I1369" s="18" t="s">
        <v>461</v>
      </c>
      <c r="J1369" s="16" t="s">
        <v>462</v>
      </c>
      <c r="K1369" s="16"/>
      <c r="L1369" s="16"/>
      <c r="M1369" s="21">
        <v>51.1</v>
      </c>
      <c r="N1369" s="17" t="s">
        <v>14079</v>
      </c>
      <c r="O1369" s="16" t="s">
        <v>477</v>
      </c>
      <c r="P1369" s="17" t="s">
        <v>8111</v>
      </c>
      <c r="Q1369" s="16" t="s">
        <v>25</v>
      </c>
      <c r="R1369" s="17" t="s">
        <v>8112</v>
      </c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 t="str">
        <f t="shared" ref="AB1369" si="11">"GPR"&amp;E1369&amp;F1369</f>
        <v>GPR060351R1</v>
      </c>
    </row>
    <row r="1370" spans="1:28">
      <c r="A1370" s="17" t="s">
        <v>8113</v>
      </c>
      <c r="B1370" s="17" t="s">
        <v>8113</v>
      </c>
      <c r="C1370" s="16" t="s">
        <v>8116</v>
      </c>
      <c r="D1370" s="16" t="s">
        <v>21</v>
      </c>
      <c r="E1370" s="24" t="s">
        <v>22</v>
      </c>
      <c r="F1370" s="17" t="s">
        <v>8110</v>
      </c>
      <c r="G1370" s="17" t="str">
        <f>Config!$B$3</f>
        <v>SCH/R_IEC.SchLib</v>
      </c>
      <c r="H1370" s="16" t="s">
        <v>419</v>
      </c>
      <c r="I1370" s="18" t="s">
        <v>461</v>
      </c>
      <c r="J1370" s="16" t="s">
        <v>462</v>
      </c>
      <c r="K1370" s="16"/>
      <c r="L1370" s="16"/>
      <c r="M1370" s="21">
        <v>51100</v>
      </c>
      <c r="N1370" s="17" t="s">
        <v>14079</v>
      </c>
      <c r="O1370" s="16" t="s">
        <v>477</v>
      </c>
      <c r="P1370" s="17" t="s">
        <v>6379</v>
      </c>
      <c r="Q1370" s="16" t="s">
        <v>25</v>
      </c>
      <c r="R1370" s="17" t="s">
        <v>6380</v>
      </c>
      <c r="S1370" s="17"/>
      <c r="T1370" s="17"/>
      <c r="U1370" s="17"/>
      <c r="V1370" s="17"/>
      <c r="W1370" s="17" t="s">
        <v>6382</v>
      </c>
      <c r="X1370" s="17" t="s">
        <v>6381</v>
      </c>
      <c r="Y1370" s="17" t="s">
        <v>4559</v>
      </c>
      <c r="Z1370" s="17" t="s">
        <v>6383</v>
      </c>
      <c r="AA1370" s="17"/>
      <c r="AB1370" s="17" t="str">
        <f t="shared" ref="AB1370:AB1374" si="12">"GPR"&amp;E1370&amp;F1370</f>
        <v>GPR060351K1</v>
      </c>
    </row>
    <row r="1371" spans="1:28">
      <c r="A1371" s="17" t="s">
        <v>6415</v>
      </c>
      <c r="B1371" s="17" t="s">
        <v>6415</v>
      </c>
      <c r="C1371" s="16" t="s">
        <v>6414</v>
      </c>
      <c r="D1371" s="16" t="s">
        <v>21</v>
      </c>
      <c r="E1371" s="24">
        <v>1206</v>
      </c>
      <c r="F1371" s="17" t="s">
        <v>6447</v>
      </c>
      <c r="G1371" s="17" t="str">
        <f>Config!$B$3</f>
        <v>SCH/R_IEC.SchLib</v>
      </c>
      <c r="H1371" s="16" t="s">
        <v>419</v>
      </c>
      <c r="I1371" s="18" t="s">
        <v>461</v>
      </c>
      <c r="J1371" s="16" t="s">
        <v>6413</v>
      </c>
      <c r="K1371" s="16"/>
      <c r="L1371" s="16"/>
      <c r="M1371" s="21">
        <v>60.4</v>
      </c>
      <c r="N1371" s="17" t="s">
        <v>14079</v>
      </c>
      <c r="O1371" s="16" t="s">
        <v>477</v>
      </c>
      <c r="P1371" s="17" t="s">
        <v>6419</v>
      </c>
      <c r="Q1371" s="16" t="s">
        <v>25</v>
      </c>
      <c r="R1371" s="17" t="s">
        <v>6418</v>
      </c>
      <c r="S1371" s="17"/>
      <c r="T1371" s="17"/>
      <c r="U1371" s="17"/>
      <c r="V1371" s="17"/>
      <c r="W1371" s="17" t="s">
        <v>6382</v>
      </c>
      <c r="X1371" s="17" t="s">
        <v>6416</v>
      </c>
      <c r="Y1371" s="17" t="s">
        <v>4559</v>
      </c>
      <c r="Z1371" s="17" t="s">
        <v>6417</v>
      </c>
      <c r="AA1371" s="17"/>
      <c r="AB1371" s="17" t="str">
        <f t="shared" si="12"/>
        <v>GPR120660R4</v>
      </c>
    </row>
    <row r="1372" spans="1:28">
      <c r="A1372" s="17" t="s">
        <v>6434</v>
      </c>
      <c r="B1372" s="17" t="s">
        <v>6434</v>
      </c>
      <c r="C1372" s="16" t="s">
        <v>6435</v>
      </c>
      <c r="D1372" s="16" t="s">
        <v>21</v>
      </c>
      <c r="E1372" s="24">
        <v>1206</v>
      </c>
      <c r="F1372" s="17" t="s">
        <v>63</v>
      </c>
      <c r="G1372" s="17" t="str">
        <f>Config!$B$3</f>
        <v>SCH/R_IEC.SchLib</v>
      </c>
      <c r="H1372" s="16" t="s">
        <v>419</v>
      </c>
      <c r="I1372" s="18" t="s">
        <v>461</v>
      </c>
      <c r="J1372" s="16" t="s">
        <v>6413</v>
      </c>
      <c r="K1372" s="16"/>
      <c r="L1372" s="16"/>
      <c r="M1372" s="21">
        <v>15</v>
      </c>
      <c r="N1372" s="17" t="s">
        <v>14079</v>
      </c>
      <c r="O1372" s="16" t="s">
        <v>477</v>
      </c>
      <c r="P1372" s="17" t="s">
        <v>6437</v>
      </c>
      <c r="Q1372" s="16" t="s">
        <v>25</v>
      </c>
      <c r="R1372" s="17" t="s">
        <v>6436</v>
      </c>
      <c r="S1372" s="17"/>
      <c r="T1372" s="17"/>
      <c r="U1372" s="17"/>
      <c r="V1372" s="17"/>
      <c r="W1372" s="17" t="s">
        <v>6382</v>
      </c>
      <c r="X1372" s="17" t="s">
        <v>6438</v>
      </c>
      <c r="Y1372" s="17" t="s">
        <v>4559</v>
      </c>
      <c r="Z1372" s="17" t="s">
        <v>6439</v>
      </c>
      <c r="AA1372" s="17"/>
      <c r="AB1372" s="17" t="str">
        <f t="shared" si="12"/>
        <v>GPR120615R</v>
      </c>
    </row>
    <row r="1373" spans="1:28">
      <c r="A1373" t="s">
        <v>6765</v>
      </c>
      <c r="B1373" t="s">
        <v>6765</v>
      </c>
      <c r="C1373" s="16" t="s">
        <v>6766</v>
      </c>
      <c r="D1373" s="16" t="s">
        <v>21</v>
      </c>
      <c r="E1373" s="14" t="s">
        <v>6767</v>
      </c>
      <c r="F1373" t="s">
        <v>6764</v>
      </c>
      <c r="G1373" s="17" t="str">
        <f>Config!$B$3</f>
        <v>SCH/R_IEC.SchLib</v>
      </c>
      <c r="H1373" s="16" t="s">
        <v>419</v>
      </c>
      <c r="I1373" s="18" t="s">
        <v>461</v>
      </c>
      <c r="J1373" s="16" t="s">
        <v>6413</v>
      </c>
      <c r="K1373" s="16"/>
      <c r="L1373" s="16"/>
      <c r="M1373" s="3">
        <v>0.25</v>
      </c>
      <c r="N1373" s="17" t="s">
        <v>14079</v>
      </c>
      <c r="O1373" s="16" t="s">
        <v>477</v>
      </c>
      <c r="P1373" s="17" t="s">
        <v>7814</v>
      </c>
      <c r="Q1373" s="16" t="s">
        <v>25</v>
      </c>
      <c r="R1373" s="16" t="s">
        <v>6804</v>
      </c>
      <c r="W1373" s="29" t="s">
        <v>6807</v>
      </c>
      <c r="X1373" s="5" t="s">
        <v>6806</v>
      </c>
      <c r="Y1373" s="17" t="s">
        <v>4559</v>
      </c>
      <c r="Z1373" s="5" t="s">
        <v>6805</v>
      </c>
      <c r="AB1373" s="17" t="str">
        <f t="shared" si="12"/>
        <v>GPR12060R25</v>
      </c>
    </row>
    <row r="1374" spans="1:28">
      <c r="A1374" t="s">
        <v>6770</v>
      </c>
      <c r="B1374" t="s">
        <v>6770</v>
      </c>
      <c r="C1374" s="16" t="s">
        <v>6771</v>
      </c>
      <c r="D1374" s="16" t="s">
        <v>21</v>
      </c>
      <c r="E1374" s="14" t="s">
        <v>22</v>
      </c>
      <c r="F1374" t="s">
        <v>6772</v>
      </c>
      <c r="G1374" s="17" t="str">
        <f>Config!$B$3</f>
        <v>SCH/R_IEC.SchLib</v>
      </c>
      <c r="H1374" s="16" t="s">
        <v>419</v>
      </c>
      <c r="I1374" s="18" t="s">
        <v>461</v>
      </c>
      <c r="J1374" s="16" t="s">
        <v>462</v>
      </c>
      <c r="K1374" s="16"/>
      <c r="L1374" s="16"/>
      <c r="M1374" s="3">
        <v>191000</v>
      </c>
      <c r="N1374" s="17" t="s">
        <v>14079</v>
      </c>
      <c r="O1374" s="16" t="s">
        <v>477</v>
      </c>
      <c r="P1374" t="s">
        <v>6809</v>
      </c>
      <c r="Q1374" s="16" t="s">
        <v>25</v>
      </c>
      <c r="R1374" t="s">
        <v>6808</v>
      </c>
      <c r="W1374" s="17" t="s">
        <v>6382</v>
      </c>
      <c r="X1374" s="5" t="s">
        <v>6810</v>
      </c>
      <c r="Y1374" s="17" t="s">
        <v>4559</v>
      </c>
      <c r="Z1374" s="5" t="s">
        <v>6811</v>
      </c>
      <c r="AB1374" s="17" t="str">
        <f t="shared" si="12"/>
        <v>GPR0603191K</v>
      </c>
    </row>
    <row r="1375" spans="1:28">
      <c r="A1375" t="s">
        <v>6990</v>
      </c>
      <c r="B1375" t="s">
        <v>6991</v>
      </c>
      <c r="C1375" s="30" t="s">
        <v>6992</v>
      </c>
      <c r="D1375" s="16" t="s">
        <v>6977</v>
      </c>
      <c r="E1375" s="14" t="s">
        <v>6993</v>
      </c>
      <c r="G1375" s="17" t="str">
        <f>Config!$B$3</f>
        <v>SCH/R_IEC.SchLib</v>
      </c>
      <c r="H1375" s="17" t="s">
        <v>4363</v>
      </c>
      <c r="I1375" s="38" t="str">
        <f>_xlfn.CONCAT(PrivateLibraryPath,"PCB/Schurter.PcbLib")</f>
        <v>../altium_lib_private/PCB/Schurter.PcbLib</v>
      </c>
      <c r="J1375" s="16" t="s">
        <v>6994</v>
      </c>
      <c r="K1375" s="16"/>
      <c r="L1375" s="16"/>
      <c r="N1375" s="28" t="s">
        <v>6995</v>
      </c>
      <c r="O1375" s="16" t="s">
        <v>6977</v>
      </c>
      <c r="P1375" t="s">
        <v>6996</v>
      </c>
      <c r="Q1375" s="16" t="s">
        <v>25</v>
      </c>
      <c r="R1375" t="s">
        <v>6997</v>
      </c>
    </row>
    <row r="1376" spans="1:28" ht="16.5">
      <c r="A1376" t="s">
        <v>7016</v>
      </c>
      <c r="B1376" t="s">
        <v>7016</v>
      </c>
      <c r="C1376" s="16" t="s">
        <v>7017</v>
      </c>
      <c r="D1376" s="16" t="s">
        <v>21</v>
      </c>
      <c r="E1376" s="14" t="s">
        <v>22</v>
      </c>
      <c r="F1376" t="s">
        <v>7018</v>
      </c>
      <c r="G1376" s="17" t="str">
        <f>Config!$B$3</f>
        <v>SCH/R_IEC.SchLib</v>
      </c>
      <c r="H1376" s="16" t="s">
        <v>419</v>
      </c>
      <c r="I1376" s="18" t="s">
        <v>461</v>
      </c>
      <c r="J1376" s="16" t="s">
        <v>462</v>
      </c>
      <c r="K1376" s="16"/>
      <c r="L1376" s="16"/>
      <c r="M1376" s="3">
        <v>4420</v>
      </c>
      <c r="N1376" s="17" t="s">
        <v>14079</v>
      </c>
      <c r="O1376" s="16" t="s">
        <v>477</v>
      </c>
      <c r="P1376" t="s">
        <v>7019</v>
      </c>
      <c r="Q1376" s="16" t="s">
        <v>25</v>
      </c>
      <c r="R1376" t="s">
        <v>7020</v>
      </c>
      <c r="S1376" s="17" t="s">
        <v>477</v>
      </c>
      <c r="T1376" t="s">
        <v>7022</v>
      </c>
      <c r="U1376" t="s">
        <v>25</v>
      </c>
      <c r="V1376" t="s">
        <v>7021</v>
      </c>
      <c r="W1376" s="9" t="s">
        <v>477</v>
      </c>
      <c r="X1376" s="9" t="s">
        <v>7019</v>
      </c>
      <c r="Y1376" s="17" t="s">
        <v>4559</v>
      </c>
      <c r="Z1376" s="9" t="s">
        <v>7024</v>
      </c>
    </row>
    <row r="1377" spans="1:27" ht="16.5">
      <c r="A1377" t="s">
        <v>7031</v>
      </c>
      <c r="B1377" t="s">
        <v>7031</v>
      </c>
      <c r="C1377" s="16" t="s">
        <v>7033</v>
      </c>
      <c r="D1377" s="16" t="s">
        <v>21</v>
      </c>
      <c r="E1377" s="14" t="s">
        <v>22</v>
      </c>
      <c r="F1377" t="s">
        <v>7027</v>
      </c>
      <c r="G1377" s="17" t="str">
        <f>Config!$B$3</f>
        <v>SCH/R_IEC.SchLib</v>
      </c>
      <c r="H1377" s="16" t="s">
        <v>419</v>
      </c>
      <c r="I1377" s="18" t="s">
        <v>461</v>
      </c>
      <c r="J1377" s="16" t="s">
        <v>462</v>
      </c>
      <c r="K1377" s="16"/>
      <c r="L1377" s="16"/>
      <c r="M1377" s="3">
        <v>24300</v>
      </c>
      <c r="N1377" s="17" t="s">
        <v>14079</v>
      </c>
      <c r="O1377" s="16" t="s">
        <v>477</v>
      </c>
      <c r="P1377" t="s">
        <v>7036</v>
      </c>
      <c r="Q1377" s="16" t="s">
        <v>25</v>
      </c>
      <c r="R1377" t="s">
        <v>7035</v>
      </c>
      <c r="S1377" s="17" t="s">
        <v>477</v>
      </c>
      <c r="T1377" t="s">
        <v>7038</v>
      </c>
      <c r="U1377" t="s">
        <v>25</v>
      </c>
      <c r="V1377" t="s">
        <v>7037</v>
      </c>
      <c r="W1377" s="9" t="s">
        <v>477</v>
      </c>
      <c r="X1377" s="9" t="s">
        <v>7030</v>
      </c>
      <c r="Y1377" t="s">
        <v>4559</v>
      </c>
      <c r="Z1377" s="9" t="s">
        <v>7029</v>
      </c>
      <c r="AA1377" s="17" t="s">
        <v>4727</v>
      </c>
    </row>
    <row r="1378" spans="1:27" ht="16.5">
      <c r="A1378" t="s">
        <v>7032</v>
      </c>
      <c r="B1378" t="s">
        <v>7032</v>
      </c>
      <c r="C1378" s="16" t="s">
        <v>7034</v>
      </c>
      <c r="D1378" s="16" t="s">
        <v>21</v>
      </c>
      <c r="E1378" s="14" t="s">
        <v>22</v>
      </c>
      <c r="F1378" t="s">
        <v>7026</v>
      </c>
      <c r="G1378" s="17" t="str">
        <f>Config!$B$3</f>
        <v>SCH/R_IEC.SchLib</v>
      </c>
      <c r="H1378" s="16" t="s">
        <v>419</v>
      </c>
      <c r="I1378" s="18" t="s">
        <v>461</v>
      </c>
      <c r="J1378" s="16" t="s">
        <v>462</v>
      </c>
      <c r="K1378" s="16"/>
      <c r="L1378" s="16"/>
      <c r="M1378" s="3">
        <v>14300</v>
      </c>
      <c r="N1378" s="17" t="s">
        <v>14079</v>
      </c>
      <c r="O1378" s="16" t="s">
        <v>477</v>
      </c>
      <c r="P1378" t="s">
        <v>7028</v>
      </c>
      <c r="Q1378" s="16" t="s">
        <v>25</v>
      </c>
      <c r="R1378" t="s">
        <v>7039</v>
      </c>
      <c r="W1378" s="9" t="s">
        <v>477</v>
      </c>
      <c r="X1378" t="s">
        <v>7028</v>
      </c>
      <c r="Y1378" t="s">
        <v>4559</v>
      </c>
      <c r="Z1378" t="s">
        <v>7025</v>
      </c>
      <c r="AA1378" s="17" t="s">
        <v>4727</v>
      </c>
    </row>
    <row r="1379" spans="1:27" ht="15.75">
      <c r="A1379" t="s">
        <v>7473</v>
      </c>
      <c r="B1379" t="s">
        <v>7473</v>
      </c>
      <c r="C1379" s="16" t="s">
        <v>7474</v>
      </c>
      <c r="D1379" s="16" t="s">
        <v>21</v>
      </c>
      <c r="E1379" s="14" t="s">
        <v>7475</v>
      </c>
      <c r="F1379" t="s">
        <v>7476</v>
      </c>
      <c r="G1379" s="17" t="str">
        <f>Config!$B$3</f>
        <v>SCH/R_IEC.SchLib</v>
      </c>
      <c r="H1379" s="16" t="s">
        <v>419</v>
      </c>
      <c r="I1379" s="18" t="s">
        <v>461</v>
      </c>
      <c r="J1379" s="16" t="s">
        <v>7477</v>
      </c>
      <c r="K1379" s="16"/>
      <c r="L1379" s="16"/>
      <c r="M1379" s="3">
        <v>5.0000000000000001E-3</v>
      </c>
      <c r="N1379" t="s">
        <v>7481</v>
      </c>
      <c r="O1379" t="s">
        <v>7479</v>
      </c>
      <c r="P1379" t="s">
        <v>7480</v>
      </c>
      <c r="Q1379" s="16" t="s">
        <v>25</v>
      </c>
      <c r="R1379" t="s">
        <v>7478</v>
      </c>
      <c r="W1379" s="8" t="s">
        <v>13538</v>
      </c>
      <c r="X1379" s="8" t="s">
        <v>13537</v>
      </c>
      <c r="Y1379" t="s">
        <v>4559</v>
      </c>
      <c r="Z1379" t="s">
        <v>13536</v>
      </c>
    </row>
    <row r="1380" spans="1:27" ht="15.75">
      <c r="A1380" t="s">
        <v>12544</v>
      </c>
      <c r="B1380" t="s">
        <v>12544</v>
      </c>
      <c r="C1380" s="16" t="s">
        <v>12545</v>
      </c>
      <c r="D1380" s="16" t="s">
        <v>21</v>
      </c>
      <c r="E1380" s="14" t="s">
        <v>7475</v>
      </c>
      <c r="F1380" t="s">
        <v>12546</v>
      </c>
      <c r="G1380" s="17" t="str">
        <f>Config!$B$3</f>
        <v>SCH/R_IEC.SchLib</v>
      </c>
      <c r="H1380" s="16" t="s">
        <v>419</v>
      </c>
      <c r="I1380" s="18" t="s">
        <v>461</v>
      </c>
      <c r="J1380" s="16" t="s">
        <v>7477</v>
      </c>
      <c r="K1380" s="16"/>
      <c r="L1380" s="16"/>
      <c r="M1380" s="3">
        <v>0.01</v>
      </c>
      <c r="N1380" t="s">
        <v>14573</v>
      </c>
      <c r="O1380" s="16" t="s">
        <v>477</v>
      </c>
      <c r="P1380" t="s">
        <v>12547</v>
      </c>
      <c r="Q1380" s="16" t="s">
        <v>25</v>
      </c>
      <c r="R1380" t="s">
        <v>12548</v>
      </c>
      <c r="W1380" s="8" t="s">
        <v>13538</v>
      </c>
      <c r="X1380" s="8" t="s">
        <v>13540</v>
      </c>
      <c r="Y1380" t="s">
        <v>4559</v>
      </c>
      <c r="Z1380" s="8" t="s">
        <v>13539</v>
      </c>
    </row>
    <row r="1381" spans="1:27">
      <c r="A1381" t="s">
        <v>7485</v>
      </c>
      <c r="B1381" t="s">
        <v>7485</v>
      </c>
      <c r="C1381" s="16" t="s">
        <v>7486</v>
      </c>
      <c r="D1381" s="16" t="s">
        <v>21</v>
      </c>
      <c r="E1381" s="14" t="s">
        <v>7475</v>
      </c>
      <c r="F1381" t="s">
        <v>7484</v>
      </c>
      <c r="G1381" s="17" t="str">
        <f>Config!$B$3</f>
        <v>SCH/R_IEC.SchLib</v>
      </c>
      <c r="H1381" s="16" t="s">
        <v>419</v>
      </c>
      <c r="I1381" s="18" t="s">
        <v>461</v>
      </c>
      <c r="J1381" s="16" t="s">
        <v>7477</v>
      </c>
      <c r="K1381" s="16"/>
      <c r="L1381" s="16"/>
      <c r="M1381" s="3">
        <v>2.5000000000000001E-2</v>
      </c>
      <c r="N1381" t="s">
        <v>7481</v>
      </c>
      <c r="O1381" t="s">
        <v>7479</v>
      </c>
      <c r="P1381" t="s">
        <v>7482</v>
      </c>
      <c r="Q1381" s="16" t="s">
        <v>25</v>
      </c>
      <c r="R1381" t="s">
        <v>7483</v>
      </c>
    </row>
    <row r="1382" spans="1:27">
      <c r="A1382" s="17" t="s">
        <v>7487</v>
      </c>
      <c r="B1382" s="17" t="s">
        <v>7487</v>
      </c>
      <c r="C1382" s="17" t="s">
        <v>7488</v>
      </c>
      <c r="D1382" s="16" t="s">
        <v>21</v>
      </c>
      <c r="E1382" s="14" t="s">
        <v>22</v>
      </c>
      <c r="F1382" t="s">
        <v>305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17"/>
      <c r="L1382" s="17"/>
      <c r="M1382" s="3">
        <v>100000</v>
      </c>
      <c r="N1382" t="s">
        <v>7489</v>
      </c>
      <c r="O1382" t="s">
        <v>6409</v>
      </c>
      <c r="P1382" t="s">
        <v>7491</v>
      </c>
      <c r="Q1382" s="16" t="s">
        <v>25</v>
      </c>
      <c r="R1382" t="s">
        <v>7490</v>
      </c>
    </row>
    <row r="1383" spans="1:27">
      <c r="A1383" t="s">
        <v>7499</v>
      </c>
      <c r="B1383" t="s">
        <v>7499</v>
      </c>
      <c r="C1383" s="16" t="s">
        <v>7500</v>
      </c>
      <c r="D1383" s="16" t="s">
        <v>21</v>
      </c>
      <c r="E1383" s="14" t="s">
        <v>7501</v>
      </c>
      <c r="F1383" t="s">
        <v>7502</v>
      </c>
      <c r="G1383" s="17" t="str">
        <f>Config!$B$3</f>
        <v>SCH/R_IEC.SchLib</v>
      </c>
      <c r="H1383" s="16" t="s">
        <v>4296</v>
      </c>
      <c r="I1383" s="18" t="s">
        <v>7503</v>
      </c>
      <c r="J1383" s="16" t="s">
        <v>7504</v>
      </c>
      <c r="K1383" s="16"/>
      <c r="L1383" s="16"/>
      <c r="M1383" s="3">
        <v>25</v>
      </c>
      <c r="N1383" s="26" t="s">
        <v>7505</v>
      </c>
      <c r="O1383" t="s">
        <v>7506</v>
      </c>
      <c r="P1383" t="s">
        <v>7508</v>
      </c>
      <c r="Q1383" s="16" t="s">
        <v>25</v>
      </c>
      <c r="R1383" t="s">
        <v>7507</v>
      </c>
    </row>
    <row r="1384" spans="1:27">
      <c r="A1384" t="s">
        <v>7509</v>
      </c>
      <c r="B1384" t="s">
        <v>7509</v>
      </c>
      <c r="C1384" s="16" t="s">
        <v>7510</v>
      </c>
      <c r="D1384" s="16" t="s">
        <v>21</v>
      </c>
      <c r="E1384" s="14" t="s">
        <v>7514</v>
      </c>
      <c r="F1384" t="s">
        <v>7511</v>
      </c>
      <c r="G1384" s="17" t="str">
        <f>Config!$B$3</f>
        <v>SCH/R_IEC.SchLib</v>
      </c>
      <c r="H1384" s="16" t="s">
        <v>7512</v>
      </c>
      <c r="I1384" s="18" t="s">
        <v>7503</v>
      </c>
      <c r="J1384" s="16" t="s">
        <v>7513</v>
      </c>
      <c r="K1384" s="16"/>
      <c r="L1384" s="16"/>
      <c r="M1384" s="3">
        <v>391</v>
      </c>
      <c r="N1384" s="26" t="s">
        <v>7515</v>
      </c>
      <c r="O1384" t="s">
        <v>6409</v>
      </c>
      <c r="P1384" t="s">
        <v>7509</v>
      </c>
      <c r="Q1384" s="16" t="s">
        <v>25</v>
      </c>
      <c r="R1384" t="s">
        <v>7516</v>
      </c>
    </row>
    <row r="1385" spans="1:27">
      <c r="A1385" t="s">
        <v>7533</v>
      </c>
      <c r="B1385" t="s">
        <v>7533</v>
      </c>
      <c r="C1385" s="16" t="s">
        <v>7554</v>
      </c>
      <c r="D1385" s="16" t="s">
        <v>6977</v>
      </c>
      <c r="E1385" s="14" t="s">
        <v>7575</v>
      </c>
      <c r="F1385" t="s">
        <v>7576</v>
      </c>
      <c r="G1385" s="17" t="str">
        <f>Config!$B$3</f>
        <v>SCH/R_IEC.SchLib</v>
      </c>
      <c r="H1385" s="17" t="s">
        <v>4363</v>
      </c>
      <c r="I1385" s="38" t="str">
        <f t="shared" ref="I1385:I1406" si="13">_xlfn.CONCAT(PrivateLibraryPath,"PCB/Schurter.PcbLib")</f>
        <v>../altium_lib_private/PCB/Schurter.PcbLib</v>
      </c>
      <c r="J1385" s="16" t="s">
        <v>7575</v>
      </c>
      <c r="K1385" s="16"/>
      <c r="L1385" s="16"/>
      <c r="M1385">
        <v>0.08</v>
      </c>
      <c r="N1385" t="s">
        <v>7622</v>
      </c>
      <c r="O1385" s="16" t="s">
        <v>6977</v>
      </c>
      <c r="P1385" t="s">
        <v>7597</v>
      </c>
      <c r="Q1385" s="16" t="s">
        <v>25</v>
      </c>
      <c r="R1385" t="s">
        <v>7623</v>
      </c>
    </row>
    <row r="1386" spans="1:27">
      <c r="A1386" t="s">
        <v>7534</v>
      </c>
      <c r="B1386" t="s">
        <v>7534</v>
      </c>
      <c r="C1386" t="s">
        <v>7555</v>
      </c>
      <c r="D1386" s="16" t="s">
        <v>6977</v>
      </c>
      <c r="E1386" s="14" t="s">
        <v>7575</v>
      </c>
      <c r="F1386" t="s">
        <v>7577</v>
      </c>
      <c r="G1386" s="17" t="str">
        <f>Config!$B$3</f>
        <v>SCH/R_IEC.SchLib</v>
      </c>
      <c r="H1386" s="17" t="s">
        <v>4363</v>
      </c>
      <c r="I1386" s="38" t="str">
        <f t="shared" si="13"/>
        <v>../altium_lib_private/PCB/Schurter.PcbLib</v>
      </c>
      <c r="J1386" s="16" t="s">
        <v>7575</v>
      </c>
      <c r="K1386" s="16"/>
      <c r="L1386" s="16"/>
      <c r="M1386">
        <v>0.1</v>
      </c>
      <c r="N1386" t="s">
        <v>7622</v>
      </c>
      <c r="O1386" s="16" t="s">
        <v>6977</v>
      </c>
      <c r="P1386" t="s">
        <v>7598</v>
      </c>
      <c r="Q1386" s="16" t="s">
        <v>25</v>
      </c>
      <c r="R1386" t="s">
        <v>7624</v>
      </c>
    </row>
    <row r="1387" spans="1:27">
      <c r="A1387" t="s">
        <v>7535</v>
      </c>
      <c r="B1387" t="s">
        <v>7535</v>
      </c>
      <c r="C1387" t="s">
        <v>7556</v>
      </c>
      <c r="D1387" s="16" t="s">
        <v>6977</v>
      </c>
      <c r="E1387" s="14" t="s">
        <v>7575</v>
      </c>
      <c r="F1387" t="s">
        <v>7578</v>
      </c>
      <c r="G1387" s="17" t="str">
        <f>Config!$B$3</f>
        <v>SCH/R_IEC.SchLib</v>
      </c>
      <c r="H1387" s="17" t="s">
        <v>4363</v>
      </c>
      <c r="I1387" s="38" t="str">
        <f t="shared" si="13"/>
        <v>../altium_lib_private/PCB/Schurter.PcbLib</v>
      </c>
      <c r="J1387" s="16" t="s">
        <v>7575</v>
      </c>
      <c r="K1387" s="16"/>
      <c r="L1387" s="16"/>
      <c r="M1387">
        <v>0.125</v>
      </c>
      <c r="N1387" t="s">
        <v>7622</v>
      </c>
      <c r="O1387" s="16" t="s">
        <v>6977</v>
      </c>
      <c r="P1387" t="s">
        <v>7599</v>
      </c>
      <c r="Q1387" s="16" t="s">
        <v>25</v>
      </c>
      <c r="R1387" t="s">
        <v>7625</v>
      </c>
    </row>
    <row r="1388" spans="1:27">
      <c r="A1388" t="s">
        <v>7536</v>
      </c>
      <c r="B1388" t="s">
        <v>7536</v>
      </c>
      <c r="C1388" t="s">
        <v>7557</v>
      </c>
      <c r="D1388" s="16" t="s">
        <v>6977</v>
      </c>
      <c r="E1388" s="14" t="s">
        <v>7575</v>
      </c>
      <c r="F1388" t="s">
        <v>7579</v>
      </c>
      <c r="G1388" s="17" t="str">
        <f>Config!$B$3</f>
        <v>SCH/R_IEC.SchLib</v>
      </c>
      <c r="H1388" s="17" t="s">
        <v>4363</v>
      </c>
      <c r="I1388" s="38" t="str">
        <f t="shared" si="13"/>
        <v>../altium_lib_private/PCB/Schurter.PcbLib</v>
      </c>
      <c r="J1388" s="16" t="s">
        <v>7575</v>
      </c>
      <c r="K1388" s="16"/>
      <c r="L1388" s="16"/>
      <c r="M1388">
        <v>0.16</v>
      </c>
      <c r="N1388" t="s">
        <v>7622</v>
      </c>
      <c r="O1388" s="16" t="s">
        <v>6977</v>
      </c>
      <c r="P1388" t="s">
        <v>7600</v>
      </c>
      <c r="Q1388" s="16" t="s">
        <v>25</v>
      </c>
      <c r="R1388" t="s">
        <v>7626</v>
      </c>
    </row>
    <row r="1389" spans="1:27">
      <c r="A1389" t="s">
        <v>7537</v>
      </c>
      <c r="B1389" t="s">
        <v>7537</v>
      </c>
      <c r="C1389" t="s">
        <v>7558</v>
      </c>
      <c r="D1389" s="16" t="s">
        <v>6977</v>
      </c>
      <c r="E1389" s="14" t="s">
        <v>7575</v>
      </c>
      <c r="F1389" t="s">
        <v>7580</v>
      </c>
      <c r="G1389" s="17" t="str">
        <f>Config!$B$3</f>
        <v>SCH/R_IEC.SchLib</v>
      </c>
      <c r="H1389" s="17" t="s">
        <v>4363</v>
      </c>
      <c r="I1389" s="38" t="str">
        <f t="shared" si="13"/>
        <v>../altium_lib_private/PCB/Schurter.PcbLib</v>
      </c>
      <c r="J1389" s="16" t="s">
        <v>7575</v>
      </c>
      <c r="K1389" s="16"/>
      <c r="L1389" s="16"/>
      <c r="M1389">
        <v>0.2</v>
      </c>
      <c r="N1389" t="s">
        <v>7622</v>
      </c>
      <c r="O1389" s="16" t="s">
        <v>6977</v>
      </c>
      <c r="P1389" t="s">
        <v>7601</v>
      </c>
      <c r="Q1389" s="16" t="s">
        <v>25</v>
      </c>
      <c r="R1389" t="s">
        <v>7627</v>
      </c>
    </row>
    <row r="1390" spans="1:27">
      <c r="A1390" t="s">
        <v>7538</v>
      </c>
      <c r="B1390" t="s">
        <v>7538</v>
      </c>
      <c r="C1390" t="s">
        <v>7559</v>
      </c>
      <c r="D1390" s="16" t="s">
        <v>6977</v>
      </c>
      <c r="E1390" s="14" t="s">
        <v>7575</v>
      </c>
      <c r="F1390" t="s">
        <v>7581</v>
      </c>
      <c r="G1390" s="17" t="str">
        <f>Config!$B$3</f>
        <v>SCH/R_IEC.SchLib</v>
      </c>
      <c r="H1390" s="17" t="s">
        <v>4363</v>
      </c>
      <c r="I1390" s="38" t="str">
        <f t="shared" si="13"/>
        <v>../altium_lib_private/PCB/Schurter.PcbLib</v>
      </c>
      <c r="J1390" s="16" t="s">
        <v>7575</v>
      </c>
      <c r="K1390" s="16"/>
      <c r="L1390" s="16"/>
      <c r="M1390">
        <v>0.25</v>
      </c>
      <c r="N1390" t="s">
        <v>7622</v>
      </c>
      <c r="O1390" s="16" t="s">
        <v>6977</v>
      </c>
      <c r="P1390" t="s">
        <v>7602</v>
      </c>
      <c r="Q1390" s="16" t="s">
        <v>25</v>
      </c>
      <c r="R1390" t="s">
        <v>7628</v>
      </c>
    </row>
    <row r="1391" spans="1:27">
      <c r="A1391" t="s">
        <v>7539</v>
      </c>
      <c r="B1391" t="s">
        <v>7539</v>
      </c>
      <c r="C1391" t="s">
        <v>7560</v>
      </c>
      <c r="D1391" s="16" t="s">
        <v>6977</v>
      </c>
      <c r="E1391" s="14" t="s">
        <v>7575</v>
      </c>
      <c r="F1391" t="s">
        <v>7582</v>
      </c>
      <c r="G1391" s="17" t="str">
        <f>Config!$B$3</f>
        <v>SCH/R_IEC.SchLib</v>
      </c>
      <c r="H1391" s="17" t="s">
        <v>4363</v>
      </c>
      <c r="I1391" s="38" t="str">
        <f t="shared" si="13"/>
        <v>../altium_lib_private/PCB/Schurter.PcbLib</v>
      </c>
      <c r="J1391" s="16" t="s">
        <v>7575</v>
      </c>
      <c r="K1391" s="16"/>
      <c r="L1391" s="16"/>
      <c r="M1391">
        <v>0.315</v>
      </c>
      <c r="N1391" t="s">
        <v>7622</v>
      </c>
      <c r="O1391" s="16" t="s">
        <v>6977</v>
      </c>
      <c r="P1391" t="s">
        <v>7603</v>
      </c>
      <c r="Q1391" s="16" t="s">
        <v>25</v>
      </c>
      <c r="R1391" t="s">
        <v>7629</v>
      </c>
    </row>
    <row r="1392" spans="1:27">
      <c r="A1392" t="s">
        <v>7540</v>
      </c>
      <c r="B1392" t="s">
        <v>7540</v>
      </c>
      <c r="C1392" t="s">
        <v>7561</v>
      </c>
      <c r="D1392" s="16" t="s">
        <v>6977</v>
      </c>
      <c r="E1392" s="14" t="s">
        <v>7575</v>
      </c>
      <c r="F1392" t="s">
        <v>7583</v>
      </c>
      <c r="G1392" s="17" t="str">
        <f>Config!$B$3</f>
        <v>SCH/R_IEC.SchLib</v>
      </c>
      <c r="H1392" s="17" t="s">
        <v>4363</v>
      </c>
      <c r="I1392" s="38" t="str">
        <f t="shared" si="13"/>
        <v>../altium_lib_private/PCB/Schurter.PcbLib</v>
      </c>
      <c r="J1392" s="16" t="s">
        <v>7575</v>
      </c>
      <c r="K1392" s="16"/>
      <c r="L1392" s="16"/>
      <c r="M1392">
        <v>0.4</v>
      </c>
      <c r="N1392" t="s">
        <v>7622</v>
      </c>
      <c r="O1392" s="16" t="s">
        <v>6977</v>
      </c>
      <c r="P1392" t="s">
        <v>7604</v>
      </c>
      <c r="Q1392" s="16" t="s">
        <v>25</v>
      </c>
      <c r="R1392" t="s">
        <v>7630</v>
      </c>
    </row>
    <row r="1393" spans="1:18">
      <c r="A1393" t="s">
        <v>7541</v>
      </c>
      <c r="B1393" t="s">
        <v>7541</v>
      </c>
      <c r="C1393" t="s">
        <v>7562</v>
      </c>
      <c r="D1393" s="16" t="s">
        <v>6977</v>
      </c>
      <c r="E1393" s="14" t="s">
        <v>7575</v>
      </c>
      <c r="F1393" t="s">
        <v>7584</v>
      </c>
      <c r="G1393" s="17" t="str">
        <f>Config!$B$3</f>
        <v>SCH/R_IEC.SchLib</v>
      </c>
      <c r="H1393" s="17" t="s">
        <v>4363</v>
      </c>
      <c r="I1393" s="38" t="str">
        <f t="shared" si="13"/>
        <v>../altium_lib_private/PCB/Schurter.PcbLib</v>
      </c>
      <c r="J1393" s="16" t="s">
        <v>7575</v>
      </c>
      <c r="K1393" s="16"/>
      <c r="L1393" s="16"/>
      <c r="M1393">
        <v>0.5</v>
      </c>
      <c r="N1393" t="s">
        <v>7622</v>
      </c>
      <c r="O1393" s="16" t="s">
        <v>6977</v>
      </c>
      <c r="P1393" t="s">
        <v>7605</v>
      </c>
      <c r="Q1393" s="16" t="s">
        <v>25</v>
      </c>
      <c r="R1393" t="s">
        <v>7631</v>
      </c>
    </row>
    <row r="1394" spans="1:18">
      <c r="A1394" t="s">
        <v>7542</v>
      </c>
      <c r="B1394" t="s">
        <v>7542</v>
      </c>
      <c r="C1394" t="s">
        <v>7563</v>
      </c>
      <c r="D1394" s="16" t="s">
        <v>6977</v>
      </c>
      <c r="E1394" s="14" t="s">
        <v>7575</v>
      </c>
      <c r="F1394" t="s">
        <v>7585</v>
      </c>
      <c r="G1394" s="17" t="str">
        <f>Config!$B$3</f>
        <v>SCH/R_IEC.SchLib</v>
      </c>
      <c r="H1394" s="17" t="s">
        <v>4363</v>
      </c>
      <c r="I1394" s="38" t="str">
        <f t="shared" si="13"/>
        <v>../altium_lib_private/PCB/Schurter.PcbLib</v>
      </c>
      <c r="J1394" s="16" t="s">
        <v>7575</v>
      </c>
      <c r="K1394" s="16"/>
      <c r="L1394" s="16"/>
      <c r="M1394">
        <v>0.63</v>
      </c>
      <c r="N1394" t="s">
        <v>7622</v>
      </c>
      <c r="O1394" s="16" t="s">
        <v>6977</v>
      </c>
      <c r="P1394" t="s">
        <v>7606</v>
      </c>
      <c r="Q1394" s="16" t="s">
        <v>25</v>
      </c>
      <c r="R1394" t="s">
        <v>7632</v>
      </c>
    </row>
    <row r="1395" spans="1:18">
      <c r="A1395" t="s">
        <v>7619</v>
      </c>
      <c r="B1395" t="s">
        <v>7619</v>
      </c>
      <c r="C1395" t="s">
        <v>7620</v>
      </c>
      <c r="D1395" s="16" t="s">
        <v>6977</v>
      </c>
      <c r="E1395" s="14" t="s">
        <v>7575</v>
      </c>
      <c r="F1395" t="s">
        <v>7621</v>
      </c>
      <c r="G1395" s="17" t="str">
        <f>Config!$B$3</f>
        <v>SCH/R_IEC.SchLib</v>
      </c>
      <c r="H1395" s="17" t="s">
        <v>4363</v>
      </c>
      <c r="I1395" s="38" t="str">
        <f t="shared" si="13"/>
        <v>../altium_lib_private/PCB/Schurter.PcbLib</v>
      </c>
      <c r="J1395" s="16" t="s">
        <v>7575</v>
      </c>
      <c r="K1395" s="16"/>
      <c r="L1395" s="16"/>
      <c r="M1395">
        <v>0.8</v>
      </c>
      <c r="N1395" t="s">
        <v>7622</v>
      </c>
      <c r="O1395" s="16" t="s">
        <v>6977</v>
      </c>
      <c r="P1395" t="s">
        <v>7607</v>
      </c>
      <c r="Q1395" s="16" t="s">
        <v>25</v>
      </c>
      <c r="R1395" t="s">
        <v>7633</v>
      </c>
    </row>
    <row r="1396" spans="1:18">
      <c r="A1396" t="s">
        <v>7543</v>
      </c>
      <c r="B1396" t="s">
        <v>7543</v>
      </c>
      <c r="C1396" t="s">
        <v>7564</v>
      </c>
      <c r="D1396" s="16" t="s">
        <v>6977</v>
      </c>
      <c r="E1396" s="14" t="s">
        <v>7575</v>
      </c>
      <c r="F1396" t="s">
        <v>7586</v>
      </c>
      <c r="G1396" s="17" t="str">
        <f>Config!$B$3</f>
        <v>SCH/R_IEC.SchLib</v>
      </c>
      <c r="H1396" s="17" t="s">
        <v>4363</v>
      </c>
      <c r="I1396" s="38" t="str">
        <f t="shared" si="13"/>
        <v>../altium_lib_private/PCB/Schurter.PcbLib</v>
      </c>
      <c r="J1396" s="16" t="s">
        <v>7575</v>
      </c>
      <c r="K1396" s="16"/>
      <c r="L1396" s="16"/>
      <c r="M1396">
        <v>1</v>
      </c>
      <c r="N1396" t="s">
        <v>7622</v>
      </c>
      <c r="O1396" s="16" t="s">
        <v>6977</v>
      </c>
      <c r="P1396" t="s">
        <v>7608</v>
      </c>
      <c r="Q1396" s="16" t="s">
        <v>25</v>
      </c>
      <c r="R1396" t="s">
        <v>7634</v>
      </c>
    </row>
    <row r="1397" spans="1:18">
      <c r="A1397" t="s">
        <v>7544</v>
      </c>
      <c r="B1397" t="s">
        <v>7544</v>
      </c>
      <c r="C1397" t="s">
        <v>7565</v>
      </c>
      <c r="D1397" s="16" t="s">
        <v>6977</v>
      </c>
      <c r="E1397" s="14" t="s">
        <v>7575</v>
      </c>
      <c r="F1397" t="s">
        <v>7587</v>
      </c>
      <c r="G1397" s="17" t="str">
        <f>Config!$B$3</f>
        <v>SCH/R_IEC.SchLib</v>
      </c>
      <c r="H1397" s="17" t="s">
        <v>4363</v>
      </c>
      <c r="I1397" s="38" t="str">
        <f t="shared" si="13"/>
        <v>../altium_lib_private/PCB/Schurter.PcbLib</v>
      </c>
      <c r="J1397" s="16" t="s">
        <v>7575</v>
      </c>
      <c r="K1397" s="16"/>
      <c r="L1397" s="16"/>
      <c r="M1397">
        <v>1.25</v>
      </c>
      <c r="N1397" t="s">
        <v>7622</v>
      </c>
      <c r="O1397" s="16" t="s">
        <v>6977</v>
      </c>
      <c r="P1397" t="s">
        <v>7609</v>
      </c>
      <c r="Q1397" s="16" t="s">
        <v>25</v>
      </c>
      <c r="R1397" t="s">
        <v>7635</v>
      </c>
    </row>
    <row r="1398" spans="1:18">
      <c r="A1398" t="s">
        <v>7545</v>
      </c>
      <c r="B1398" t="s">
        <v>7545</v>
      </c>
      <c r="C1398" t="s">
        <v>7566</v>
      </c>
      <c r="D1398" s="16" t="s">
        <v>6977</v>
      </c>
      <c r="E1398" s="14" t="s">
        <v>7575</v>
      </c>
      <c r="F1398" t="s">
        <v>7588</v>
      </c>
      <c r="G1398" s="17" t="str">
        <f>Config!$B$3</f>
        <v>SCH/R_IEC.SchLib</v>
      </c>
      <c r="H1398" s="17" t="s">
        <v>4363</v>
      </c>
      <c r="I1398" s="38" t="str">
        <f t="shared" si="13"/>
        <v>../altium_lib_private/PCB/Schurter.PcbLib</v>
      </c>
      <c r="J1398" s="16" t="s">
        <v>7575</v>
      </c>
      <c r="K1398" s="16"/>
      <c r="L1398" s="16"/>
      <c r="M1398">
        <v>1.6</v>
      </c>
      <c r="N1398" t="s">
        <v>7622</v>
      </c>
      <c r="O1398" s="16" t="s">
        <v>6977</v>
      </c>
      <c r="P1398" t="s">
        <v>7610</v>
      </c>
      <c r="Q1398" s="16" t="s">
        <v>25</v>
      </c>
      <c r="R1398" t="s">
        <v>7636</v>
      </c>
    </row>
    <row r="1399" spans="1:18">
      <c r="A1399" t="s">
        <v>7546</v>
      </c>
      <c r="B1399" t="s">
        <v>7546</v>
      </c>
      <c r="C1399" t="s">
        <v>7567</v>
      </c>
      <c r="D1399" s="16" t="s">
        <v>6977</v>
      </c>
      <c r="E1399" s="14" t="s">
        <v>7575</v>
      </c>
      <c r="F1399" t="s">
        <v>7589</v>
      </c>
      <c r="G1399" s="17" t="str">
        <f>Config!$B$3</f>
        <v>SCH/R_IEC.SchLib</v>
      </c>
      <c r="H1399" s="17" t="s">
        <v>4363</v>
      </c>
      <c r="I1399" s="38" t="str">
        <f t="shared" si="13"/>
        <v>../altium_lib_private/PCB/Schurter.PcbLib</v>
      </c>
      <c r="J1399" s="16" t="s">
        <v>7575</v>
      </c>
      <c r="K1399" s="16"/>
      <c r="L1399" s="16"/>
      <c r="M1399">
        <v>2</v>
      </c>
      <c r="N1399" t="s">
        <v>7622</v>
      </c>
      <c r="O1399" s="16" t="s">
        <v>6977</v>
      </c>
      <c r="P1399" t="s">
        <v>7611</v>
      </c>
      <c r="Q1399" s="16" t="s">
        <v>25</v>
      </c>
      <c r="R1399" t="s">
        <v>7637</v>
      </c>
    </row>
    <row r="1400" spans="1:18">
      <c r="A1400" t="s">
        <v>7547</v>
      </c>
      <c r="B1400" t="s">
        <v>7547</v>
      </c>
      <c r="C1400" t="s">
        <v>7568</v>
      </c>
      <c r="D1400" s="16" t="s">
        <v>6977</v>
      </c>
      <c r="E1400" s="14" t="s">
        <v>7575</v>
      </c>
      <c r="F1400" t="s">
        <v>7590</v>
      </c>
      <c r="G1400" s="17" t="str">
        <f>Config!$B$3</f>
        <v>SCH/R_IEC.SchLib</v>
      </c>
      <c r="H1400" s="17" t="s">
        <v>4363</v>
      </c>
      <c r="I1400" s="38" t="str">
        <f t="shared" si="13"/>
        <v>../altium_lib_private/PCB/Schurter.PcbLib</v>
      </c>
      <c r="J1400" s="16" t="s">
        <v>7575</v>
      </c>
      <c r="K1400" s="16"/>
      <c r="L1400" s="16"/>
      <c r="M1400">
        <v>2.5</v>
      </c>
      <c r="N1400" t="s">
        <v>7622</v>
      </c>
      <c r="O1400" s="16" t="s">
        <v>6977</v>
      </c>
      <c r="P1400" t="s">
        <v>7612</v>
      </c>
      <c r="Q1400" s="16" t="s">
        <v>25</v>
      </c>
      <c r="R1400" t="s">
        <v>7638</v>
      </c>
    </row>
    <row r="1401" spans="1:18">
      <c r="A1401" t="s">
        <v>7548</v>
      </c>
      <c r="B1401" t="s">
        <v>7548</v>
      </c>
      <c r="C1401" t="s">
        <v>7569</v>
      </c>
      <c r="D1401" s="16" t="s">
        <v>6977</v>
      </c>
      <c r="E1401" s="14" t="s">
        <v>7575</v>
      </c>
      <c r="F1401" t="s">
        <v>7591</v>
      </c>
      <c r="G1401" s="17" t="str">
        <f>Config!$B$3</f>
        <v>SCH/R_IEC.SchLib</v>
      </c>
      <c r="H1401" s="17" t="s">
        <v>4363</v>
      </c>
      <c r="I1401" s="38" t="str">
        <f t="shared" si="13"/>
        <v>../altium_lib_private/PCB/Schurter.PcbLib</v>
      </c>
      <c r="J1401" s="16" t="s">
        <v>7575</v>
      </c>
      <c r="K1401" s="16"/>
      <c r="L1401" s="16"/>
      <c r="M1401">
        <v>3.15</v>
      </c>
      <c r="N1401" t="s">
        <v>7622</v>
      </c>
      <c r="O1401" s="16" t="s">
        <v>6977</v>
      </c>
      <c r="P1401" t="s">
        <v>7613</v>
      </c>
      <c r="Q1401" s="16" t="s">
        <v>25</v>
      </c>
      <c r="R1401" t="s">
        <v>7639</v>
      </c>
    </row>
    <row r="1402" spans="1:18">
      <c r="A1402" t="s">
        <v>7549</v>
      </c>
      <c r="B1402" t="s">
        <v>7549</v>
      </c>
      <c r="C1402" t="s">
        <v>7570</v>
      </c>
      <c r="D1402" s="16" t="s">
        <v>6977</v>
      </c>
      <c r="E1402" s="14" t="s">
        <v>7575</v>
      </c>
      <c r="F1402" t="s">
        <v>7592</v>
      </c>
      <c r="G1402" s="17" t="str">
        <f>Config!$B$3</f>
        <v>SCH/R_IEC.SchLib</v>
      </c>
      <c r="H1402" s="17" t="s">
        <v>4363</v>
      </c>
      <c r="I1402" s="38" t="str">
        <f t="shared" si="13"/>
        <v>../altium_lib_private/PCB/Schurter.PcbLib</v>
      </c>
      <c r="J1402" s="16" t="s">
        <v>7575</v>
      </c>
      <c r="K1402" s="16"/>
      <c r="L1402" s="16"/>
      <c r="M1402">
        <v>4</v>
      </c>
      <c r="N1402" t="s">
        <v>7622</v>
      </c>
      <c r="O1402" s="16" t="s">
        <v>6977</v>
      </c>
      <c r="P1402" t="s">
        <v>7614</v>
      </c>
      <c r="Q1402" s="16" t="s">
        <v>25</v>
      </c>
      <c r="R1402" t="s">
        <v>7640</v>
      </c>
    </row>
    <row r="1403" spans="1:18">
      <c r="A1403" t="s">
        <v>7550</v>
      </c>
      <c r="B1403" t="s">
        <v>7550</v>
      </c>
      <c r="C1403" t="s">
        <v>7571</v>
      </c>
      <c r="D1403" s="16" t="s">
        <v>6977</v>
      </c>
      <c r="E1403" s="14" t="s">
        <v>7575</v>
      </c>
      <c r="F1403" t="s">
        <v>7593</v>
      </c>
      <c r="G1403" s="17" t="str">
        <f>Config!$B$3</f>
        <v>SCH/R_IEC.SchLib</v>
      </c>
      <c r="H1403" s="17" t="s">
        <v>4363</v>
      </c>
      <c r="I1403" s="38" t="str">
        <f t="shared" si="13"/>
        <v>../altium_lib_private/PCB/Schurter.PcbLib</v>
      </c>
      <c r="J1403" s="16" t="s">
        <v>7575</v>
      </c>
      <c r="K1403" s="16"/>
      <c r="L1403" s="16"/>
      <c r="M1403">
        <v>5</v>
      </c>
      <c r="N1403" t="s">
        <v>7622</v>
      </c>
      <c r="O1403" s="16" t="s">
        <v>6977</v>
      </c>
      <c r="P1403" t="s">
        <v>7615</v>
      </c>
      <c r="Q1403" s="16" t="s">
        <v>25</v>
      </c>
      <c r="R1403" t="s">
        <v>7641</v>
      </c>
    </row>
    <row r="1404" spans="1:18">
      <c r="A1404" t="s">
        <v>7551</v>
      </c>
      <c r="B1404" t="s">
        <v>7551</v>
      </c>
      <c r="C1404" t="s">
        <v>7572</v>
      </c>
      <c r="D1404" s="16" t="s">
        <v>6977</v>
      </c>
      <c r="E1404" s="14" t="s">
        <v>7575</v>
      </c>
      <c r="F1404" t="s">
        <v>7594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6.3</v>
      </c>
      <c r="N1404" t="s">
        <v>7622</v>
      </c>
      <c r="O1404" s="16" t="s">
        <v>6977</v>
      </c>
      <c r="P1404" t="s">
        <v>7616</v>
      </c>
      <c r="Q1404" s="16" t="s">
        <v>25</v>
      </c>
      <c r="R1404" t="s">
        <v>7642</v>
      </c>
    </row>
    <row r="1405" spans="1:18">
      <c r="A1405" t="s">
        <v>7552</v>
      </c>
      <c r="B1405" t="s">
        <v>7552</v>
      </c>
      <c r="C1405" t="s">
        <v>7573</v>
      </c>
      <c r="D1405" s="16" t="s">
        <v>6977</v>
      </c>
      <c r="E1405" s="14" t="s">
        <v>7575</v>
      </c>
      <c r="F1405" t="s">
        <v>7595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8</v>
      </c>
      <c r="N1405" t="s">
        <v>7622</v>
      </c>
      <c r="O1405" s="16" t="s">
        <v>6977</v>
      </c>
      <c r="P1405" t="s">
        <v>7617</v>
      </c>
      <c r="Q1405" s="16" t="s">
        <v>25</v>
      </c>
      <c r="R1405" t="s">
        <v>7643</v>
      </c>
    </row>
    <row r="1406" spans="1:18">
      <c r="A1406" t="s">
        <v>7553</v>
      </c>
      <c r="B1406" t="s">
        <v>7553</v>
      </c>
      <c r="C1406" t="s">
        <v>7574</v>
      </c>
      <c r="D1406" s="16" t="s">
        <v>6977</v>
      </c>
      <c r="E1406" s="14" t="s">
        <v>7575</v>
      </c>
      <c r="F1406" t="s">
        <v>7596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10</v>
      </c>
      <c r="N1406" t="s">
        <v>7622</v>
      </c>
      <c r="O1406" s="16" t="s">
        <v>6977</v>
      </c>
      <c r="P1406" t="s">
        <v>7618</v>
      </c>
      <c r="Q1406" s="16" t="s">
        <v>25</v>
      </c>
      <c r="R1406" t="s">
        <v>7644</v>
      </c>
    </row>
    <row r="1407" spans="1:18">
      <c r="A1407" t="s">
        <v>10784</v>
      </c>
      <c r="B1407" t="s">
        <v>10784</v>
      </c>
      <c r="C1407" t="s">
        <v>10785</v>
      </c>
      <c r="D1407" s="16" t="s">
        <v>10786</v>
      </c>
      <c r="E1407" s="14" t="s">
        <v>10787</v>
      </c>
      <c r="F1407" t="s">
        <v>7596</v>
      </c>
      <c r="G1407" s="17" t="str">
        <f>Config!$B$3</f>
        <v>SCH/R_IEC.SchLib</v>
      </c>
      <c r="H1407" s="17" t="s">
        <v>10799</v>
      </c>
      <c r="I1407" s="38"/>
      <c r="J1407" s="40"/>
      <c r="K1407" s="40"/>
      <c r="L1407" s="40"/>
      <c r="N1407" t="s">
        <v>12116</v>
      </c>
      <c r="O1407" s="16" t="s">
        <v>12117</v>
      </c>
      <c r="P1407" t="s">
        <v>12118</v>
      </c>
      <c r="Q1407" s="16" t="s">
        <v>25</v>
      </c>
      <c r="R1407" t="s">
        <v>12119</v>
      </c>
    </row>
    <row r="1408" spans="1:18">
      <c r="A1408" t="s">
        <v>10788</v>
      </c>
      <c r="B1408" t="s">
        <v>10788</v>
      </c>
      <c r="C1408" t="s">
        <v>12542</v>
      </c>
      <c r="D1408" s="16" t="s">
        <v>12543</v>
      </c>
      <c r="E1408" s="14" t="s">
        <v>10787</v>
      </c>
      <c r="G1408" s="17" t="str">
        <f>Config!$B$3</f>
        <v>SCH/R_IEC.SchLib</v>
      </c>
      <c r="H1408" t="s">
        <v>10790</v>
      </c>
      <c r="I1408" s="38" t="str">
        <f>_xlfn.CONCAT(PrivateLibraryPath,"PCB/Littelfuse.PcbLib")</f>
        <v>../altium_lib_private/PCB/Littelfuse.PcbLib</v>
      </c>
      <c r="J1408" s="16" t="s">
        <v>12120</v>
      </c>
      <c r="K1408" s="16"/>
      <c r="L1408" s="16"/>
      <c r="N1408" t="s">
        <v>12541</v>
      </c>
      <c r="O1408" s="16" t="s">
        <v>2669</v>
      </c>
      <c r="P1408" t="s">
        <v>12120</v>
      </c>
      <c r="Q1408" s="16" t="s">
        <v>25</v>
      </c>
      <c r="R1408" t="s">
        <v>12121</v>
      </c>
    </row>
    <row r="1409" spans="1:28">
      <c r="A1409" t="s">
        <v>10789</v>
      </c>
      <c r="B1409" t="s">
        <v>10789</v>
      </c>
      <c r="D1409" s="16"/>
      <c r="E1409" s="14" t="s">
        <v>10787</v>
      </c>
      <c r="G1409" s="17" t="str">
        <f>Config!$B$3</f>
        <v>SCH/R_IEC.SchLib</v>
      </c>
      <c r="H1409" t="s">
        <v>10791</v>
      </c>
      <c r="I1409" s="18"/>
      <c r="J1409" s="16"/>
      <c r="K1409" s="16"/>
      <c r="L1409" s="16"/>
      <c r="O1409" s="16"/>
      <c r="Q1409" s="16"/>
    </row>
    <row r="1410" spans="1:28">
      <c r="A1410" t="s">
        <v>13982</v>
      </c>
      <c r="B1410" t="s">
        <v>13982</v>
      </c>
      <c r="C1410" t="s">
        <v>14015</v>
      </c>
      <c r="D1410" s="16" t="s">
        <v>13996</v>
      </c>
      <c r="E1410" s="14" t="s">
        <v>13990</v>
      </c>
      <c r="F1410" t="s">
        <v>7589</v>
      </c>
      <c r="G1410" s="17" t="str">
        <f>Config!$B$3</f>
        <v>SCH/R_IEC.SchLib</v>
      </c>
      <c r="H1410" s="17" t="s">
        <v>10799</v>
      </c>
      <c r="I1410" s="18" t="s">
        <v>14761</v>
      </c>
      <c r="J1410" s="16" t="s">
        <v>14068</v>
      </c>
      <c r="K1410" s="18" t="s">
        <v>14761</v>
      </c>
      <c r="L1410" s="16" t="s">
        <v>14764</v>
      </c>
      <c r="N1410" t="s">
        <v>13997</v>
      </c>
      <c r="O1410" s="16" t="s">
        <v>13996</v>
      </c>
      <c r="P1410">
        <v>3061295</v>
      </c>
      <c r="Q1410" s="16" t="s">
        <v>25</v>
      </c>
      <c r="R1410" t="s">
        <v>13998</v>
      </c>
    </row>
    <row r="1411" spans="1:28">
      <c r="A1411" t="s">
        <v>13983</v>
      </c>
      <c r="B1411" t="s">
        <v>13983</v>
      </c>
      <c r="C1411" t="s">
        <v>14016</v>
      </c>
      <c r="D1411" s="16" t="s">
        <v>13996</v>
      </c>
      <c r="E1411" s="14" t="s">
        <v>13990</v>
      </c>
      <c r="F1411" t="s">
        <v>7592</v>
      </c>
      <c r="G1411" s="17" t="str">
        <f>Config!$B$3</f>
        <v>SCH/R_IEC.SchLib</v>
      </c>
      <c r="H1411" s="17" t="s">
        <v>10799</v>
      </c>
      <c r="I1411" s="18" t="s">
        <v>14761</v>
      </c>
      <c r="J1411" s="16" t="s">
        <v>14068</v>
      </c>
      <c r="K1411" s="18" t="s">
        <v>14761</v>
      </c>
      <c r="L1411" s="16" t="s">
        <v>14764</v>
      </c>
      <c r="N1411" t="s">
        <v>13999</v>
      </c>
      <c r="O1411" s="16" t="s">
        <v>13996</v>
      </c>
      <c r="P1411">
        <v>3061305</v>
      </c>
      <c r="Q1411" s="16" t="s">
        <v>25</v>
      </c>
      <c r="R1411" t="s">
        <v>14000</v>
      </c>
    </row>
    <row r="1412" spans="1:28">
      <c r="A1412" t="s">
        <v>13984</v>
      </c>
      <c r="B1412" t="s">
        <v>13984</v>
      </c>
      <c r="C1412" t="s">
        <v>14017</v>
      </c>
      <c r="D1412" s="16" t="s">
        <v>13996</v>
      </c>
      <c r="E1412" s="14" t="s">
        <v>13990</v>
      </c>
      <c r="F1412" t="s">
        <v>13991</v>
      </c>
      <c r="G1412" s="17" t="str">
        <f>Config!$B$3</f>
        <v>SCH/R_IEC.SchLib</v>
      </c>
      <c r="H1412" s="17" t="s">
        <v>10799</v>
      </c>
      <c r="I1412" s="18" t="s">
        <v>14761</v>
      </c>
      <c r="J1412" s="16" t="s">
        <v>14068</v>
      </c>
      <c r="K1412" s="18" t="s">
        <v>14761</v>
      </c>
      <c r="L1412" s="16" t="s">
        <v>14764</v>
      </c>
      <c r="N1412" t="s">
        <v>14001</v>
      </c>
      <c r="O1412" s="16" t="s">
        <v>13996</v>
      </c>
      <c r="P1412">
        <v>3061318</v>
      </c>
      <c r="Q1412" s="16" t="s">
        <v>25</v>
      </c>
      <c r="R1412" t="s">
        <v>14002</v>
      </c>
    </row>
    <row r="1413" spans="1:28">
      <c r="A1413" t="s">
        <v>13985</v>
      </c>
      <c r="B1413" t="s">
        <v>13985</v>
      </c>
      <c r="C1413" t="s">
        <v>14018</v>
      </c>
      <c r="D1413" s="16" t="s">
        <v>13996</v>
      </c>
      <c r="E1413" s="14" t="s">
        <v>13990</v>
      </c>
      <c r="F1413" t="s">
        <v>7595</v>
      </c>
      <c r="G1413" s="17" t="str">
        <f>Config!$B$3</f>
        <v>SCH/R_IEC.SchLib</v>
      </c>
      <c r="H1413" s="17" t="s">
        <v>10799</v>
      </c>
      <c r="I1413" s="18" t="s">
        <v>14761</v>
      </c>
      <c r="J1413" s="16" t="s">
        <v>14068</v>
      </c>
      <c r="K1413" s="18" t="s">
        <v>14761</v>
      </c>
      <c r="L1413" s="16" t="s">
        <v>14764</v>
      </c>
      <c r="N1413" t="s">
        <v>14003</v>
      </c>
      <c r="O1413" s="16" t="s">
        <v>13996</v>
      </c>
      <c r="P1413">
        <v>3061321</v>
      </c>
      <c r="Q1413" s="16" t="s">
        <v>25</v>
      </c>
      <c r="R1413" t="s">
        <v>14004</v>
      </c>
    </row>
    <row r="1414" spans="1:28">
      <c r="A1414" t="s">
        <v>13979</v>
      </c>
      <c r="B1414" t="s">
        <v>13979</v>
      </c>
      <c r="C1414" t="s">
        <v>14019</v>
      </c>
      <c r="D1414" s="16" t="s">
        <v>13996</v>
      </c>
      <c r="E1414" s="14" t="s">
        <v>13990</v>
      </c>
      <c r="F1414" t="s">
        <v>7596</v>
      </c>
      <c r="G1414" s="17" t="str">
        <f>Config!$B$3</f>
        <v>SCH/R_IEC.SchLib</v>
      </c>
      <c r="H1414" s="17" t="s">
        <v>10799</v>
      </c>
      <c r="I1414" s="18" t="s">
        <v>14761</v>
      </c>
      <c r="J1414" s="16" t="s">
        <v>14068</v>
      </c>
      <c r="K1414" s="18" t="s">
        <v>14761</v>
      </c>
      <c r="L1414" s="16" t="s">
        <v>14764</v>
      </c>
      <c r="N1414" t="s">
        <v>14005</v>
      </c>
      <c r="O1414" s="16" t="s">
        <v>13996</v>
      </c>
      <c r="P1414">
        <v>3061334</v>
      </c>
      <c r="Q1414" s="16" t="s">
        <v>25</v>
      </c>
      <c r="R1414" t="s">
        <v>14006</v>
      </c>
    </row>
    <row r="1415" spans="1:28">
      <c r="A1415" t="s">
        <v>13981</v>
      </c>
      <c r="B1415" t="s">
        <v>13981</v>
      </c>
      <c r="C1415" t="s">
        <v>14020</v>
      </c>
      <c r="D1415" s="16" t="s">
        <v>13996</v>
      </c>
      <c r="E1415" s="14" t="s">
        <v>13990</v>
      </c>
      <c r="F1415" t="s">
        <v>13992</v>
      </c>
      <c r="G1415" s="17" t="str">
        <f>Config!$B$3</f>
        <v>SCH/R_IEC.SchLib</v>
      </c>
      <c r="H1415" s="17" t="s">
        <v>10799</v>
      </c>
      <c r="I1415" s="18" t="s">
        <v>14761</v>
      </c>
      <c r="J1415" s="16" t="s">
        <v>14068</v>
      </c>
      <c r="K1415" s="18" t="s">
        <v>14761</v>
      </c>
      <c r="L1415" s="16" t="s">
        <v>14764</v>
      </c>
      <c r="N1415" t="s">
        <v>14007</v>
      </c>
      <c r="O1415" s="16" t="s">
        <v>13996</v>
      </c>
      <c r="P1415">
        <v>3061347</v>
      </c>
      <c r="Q1415" s="16" t="s">
        <v>25</v>
      </c>
      <c r="R1415" t="s">
        <v>14008</v>
      </c>
    </row>
    <row r="1416" spans="1:28">
      <c r="A1416" t="s">
        <v>13986</v>
      </c>
      <c r="B1416" t="s">
        <v>13986</v>
      </c>
      <c r="C1416" t="s">
        <v>14021</v>
      </c>
      <c r="D1416" s="16" t="s">
        <v>13996</v>
      </c>
      <c r="E1416" s="14" t="s">
        <v>13990</v>
      </c>
      <c r="F1416" t="s">
        <v>13993</v>
      </c>
      <c r="G1416" s="17" t="str">
        <f>Config!$B$3</f>
        <v>SCH/R_IEC.SchLib</v>
      </c>
      <c r="H1416" s="17" t="s">
        <v>10799</v>
      </c>
      <c r="I1416" s="18" t="s">
        <v>14761</v>
      </c>
      <c r="J1416" s="16" t="s">
        <v>14068</v>
      </c>
      <c r="K1416" s="18" t="s">
        <v>14761</v>
      </c>
      <c r="L1416" s="16" t="s">
        <v>14764</v>
      </c>
      <c r="N1416" t="s">
        <v>14009</v>
      </c>
      <c r="O1416" s="16" t="s">
        <v>13996</v>
      </c>
      <c r="P1416">
        <v>3062784</v>
      </c>
      <c r="Q1416" s="16" t="s">
        <v>25</v>
      </c>
      <c r="R1416" t="s">
        <v>14010</v>
      </c>
    </row>
    <row r="1417" spans="1:28">
      <c r="A1417" t="s">
        <v>13987</v>
      </c>
      <c r="B1417" t="s">
        <v>13987</v>
      </c>
      <c r="C1417" t="s">
        <v>14022</v>
      </c>
      <c r="D1417" s="16" t="s">
        <v>13996</v>
      </c>
      <c r="E1417" s="14" t="s">
        <v>13990</v>
      </c>
      <c r="F1417" t="s">
        <v>13994</v>
      </c>
      <c r="G1417" s="17" t="str">
        <f>Config!$B$3</f>
        <v>SCH/R_IEC.SchLib</v>
      </c>
      <c r="H1417" s="17" t="s">
        <v>10799</v>
      </c>
      <c r="I1417" s="18" t="s">
        <v>14761</v>
      </c>
      <c r="J1417" s="16" t="s">
        <v>14068</v>
      </c>
      <c r="K1417" s="18" t="s">
        <v>14761</v>
      </c>
      <c r="L1417" s="16" t="s">
        <v>14764</v>
      </c>
      <c r="N1417" t="s">
        <v>14011</v>
      </c>
      <c r="O1417" s="16" t="s">
        <v>13996</v>
      </c>
      <c r="P1417">
        <v>3061350</v>
      </c>
      <c r="Q1417" s="16" t="s">
        <v>25</v>
      </c>
      <c r="R1417" t="s">
        <v>14012</v>
      </c>
    </row>
    <row r="1418" spans="1:28">
      <c r="A1418" t="s">
        <v>13988</v>
      </c>
      <c r="B1418" t="s">
        <v>13988</v>
      </c>
      <c r="C1418" t="s">
        <v>14023</v>
      </c>
      <c r="D1418" s="16" t="s">
        <v>13996</v>
      </c>
      <c r="E1418" s="14" t="s">
        <v>13990</v>
      </c>
      <c r="F1418" t="s">
        <v>13995</v>
      </c>
      <c r="G1418" s="17" t="str">
        <f>Config!$B$3</f>
        <v>SCH/R_IEC.SchLib</v>
      </c>
      <c r="H1418" s="17" t="s">
        <v>10799</v>
      </c>
      <c r="I1418" s="18" t="s">
        <v>14761</v>
      </c>
      <c r="J1418" s="16" t="s">
        <v>14068</v>
      </c>
      <c r="K1418" s="18" t="s">
        <v>14761</v>
      </c>
      <c r="L1418" s="16" t="s">
        <v>14764</v>
      </c>
      <c r="N1418" t="s">
        <v>14013</v>
      </c>
      <c r="O1418" s="16" t="s">
        <v>13996</v>
      </c>
      <c r="P1418">
        <v>3061363</v>
      </c>
      <c r="Q1418" s="16" t="s">
        <v>25</v>
      </c>
      <c r="R1418" t="s">
        <v>14014</v>
      </c>
    </row>
    <row r="1419" spans="1:28">
      <c r="A1419" t="s">
        <v>13989</v>
      </c>
      <c r="B1419" t="s">
        <v>13989</v>
      </c>
      <c r="D1419" s="16"/>
      <c r="E1419" s="14" t="s">
        <v>13990</v>
      </c>
      <c r="G1419" s="17" t="str">
        <f>Config!$B$3</f>
        <v>SCH/R_IEC.SchLib</v>
      </c>
      <c r="H1419" t="s">
        <v>10790</v>
      </c>
      <c r="I1419" s="18" t="s">
        <v>14760</v>
      </c>
      <c r="J1419" s="16" t="s">
        <v>14067</v>
      </c>
      <c r="K1419" s="16"/>
      <c r="L1419" s="16"/>
      <c r="N1419" t="s">
        <v>14024</v>
      </c>
      <c r="O1419" s="16" t="s">
        <v>14025</v>
      </c>
      <c r="P1419">
        <v>3576</v>
      </c>
      <c r="Q1419" s="16" t="s">
        <v>25</v>
      </c>
      <c r="R1419" t="s">
        <v>14026</v>
      </c>
      <c r="S1419" s="16" t="s">
        <v>14025</v>
      </c>
      <c r="T1419">
        <v>3576</v>
      </c>
      <c r="U1419" s="16" t="s">
        <v>4349</v>
      </c>
      <c r="V1419" t="s">
        <v>14030</v>
      </c>
    </row>
    <row r="1420" spans="1:28">
      <c r="A1420" t="s">
        <v>14027</v>
      </c>
      <c r="B1420" t="s">
        <v>14027</v>
      </c>
      <c r="D1420" s="16"/>
      <c r="E1420" s="14" t="s">
        <v>13990</v>
      </c>
      <c r="G1420" s="17" t="str">
        <f>Config!$B$3</f>
        <v>SCH/R_IEC.SchLib</v>
      </c>
      <c r="H1420" t="s">
        <v>10790</v>
      </c>
      <c r="I1420" s="18" t="s">
        <v>14760</v>
      </c>
      <c r="J1420" s="16" t="s">
        <v>14066</v>
      </c>
      <c r="K1420" s="16"/>
      <c r="L1420" s="16"/>
      <c r="N1420" t="s">
        <v>14028</v>
      </c>
      <c r="O1420" s="16" t="s">
        <v>14025</v>
      </c>
      <c r="P1420">
        <v>3574</v>
      </c>
      <c r="Q1420" s="16" t="s">
        <v>25</v>
      </c>
      <c r="R1420" t="s">
        <v>14029</v>
      </c>
      <c r="S1420" s="16" t="s">
        <v>14025</v>
      </c>
      <c r="T1420">
        <v>3574</v>
      </c>
      <c r="U1420" s="16" t="s">
        <v>4349</v>
      </c>
      <c r="V1420" t="s">
        <v>14031</v>
      </c>
    </row>
    <row r="1421" spans="1:28">
      <c r="A1421" t="s">
        <v>13980</v>
      </c>
      <c r="B1421" t="s">
        <v>13980</v>
      </c>
      <c r="D1421" s="16"/>
      <c r="E1421" s="14" t="s">
        <v>13990</v>
      </c>
      <c r="G1421" s="17" t="str">
        <f>Config!$B$3</f>
        <v>SCH/R_IEC.SchLib</v>
      </c>
      <c r="H1421" t="s">
        <v>10791</v>
      </c>
      <c r="I1421" s="18"/>
      <c r="J1421" s="40"/>
      <c r="K1421" s="40"/>
      <c r="L1421" s="40"/>
      <c r="O1421" s="16"/>
      <c r="Q1421" s="16"/>
    </row>
    <row r="1422" spans="1:28">
      <c r="A1422" t="s">
        <v>8044</v>
      </c>
      <c r="B1422" t="s">
        <v>8044</v>
      </c>
      <c r="C1422" t="s">
        <v>8049</v>
      </c>
      <c r="D1422" s="16" t="s">
        <v>4368</v>
      </c>
      <c r="E1422" s="14" t="s">
        <v>8047</v>
      </c>
      <c r="F1422" t="s">
        <v>163</v>
      </c>
      <c r="G1422" s="17" t="str">
        <f>Config!$B$3</f>
        <v>SCH/R_IEC.SchLib</v>
      </c>
      <c r="H1422" t="s">
        <v>8046</v>
      </c>
      <c r="I1422" s="18" t="s">
        <v>8051</v>
      </c>
      <c r="J1422" t="s">
        <v>8047</v>
      </c>
      <c r="M1422">
        <v>1000</v>
      </c>
      <c r="N1422" t="s">
        <v>8052</v>
      </c>
      <c r="O1422" t="s">
        <v>4546</v>
      </c>
      <c r="P1422" t="s">
        <v>8053</v>
      </c>
      <c r="Q1422" s="16" t="s">
        <v>25</v>
      </c>
      <c r="R1422" t="s">
        <v>8054</v>
      </c>
    </row>
    <row r="1423" spans="1:28">
      <c r="A1423" t="s">
        <v>8045</v>
      </c>
      <c r="B1423" t="s">
        <v>8045</v>
      </c>
      <c r="C1423" t="s">
        <v>8050</v>
      </c>
      <c r="D1423" s="16" t="s">
        <v>4368</v>
      </c>
      <c r="E1423" s="14" t="s">
        <v>8048</v>
      </c>
      <c r="F1423" t="s">
        <v>163</v>
      </c>
      <c r="G1423" s="17" t="str">
        <f>Config!$B$3</f>
        <v>SCH/R_IEC.SchLib</v>
      </c>
      <c r="H1423" t="s">
        <v>8046</v>
      </c>
      <c r="I1423" s="18" t="s">
        <v>8051</v>
      </c>
      <c r="J1423" t="s">
        <v>8048</v>
      </c>
      <c r="M1423">
        <v>1000</v>
      </c>
      <c r="N1423" t="s">
        <v>8052</v>
      </c>
      <c r="O1423" s="16" t="s">
        <v>4546</v>
      </c>
      <c r="P1423" t="s">
        <v>8055</v>
      </c>
      <c r="Q1423" s="16" t="s">
        <v>25</v>
      </c>
      <c r="R1423" t="s">
        <v>8056</v>
      </c>
    </row>
    <row r="1424" spans="1:28">
      <c r="A1424" s="16" t="s">
        <v>8117</v>
      </c>
      <c r="B1424" s="16" t="s">
        <v>8117</v>
      </c>
      <c r="C1424" s="16" t="s">
        <v>8288</v>
      </c>
      <c r="D1424" s="16" t="s">
        <v>21</v>
      </c>
      <c r="E1424" s="36" t="s">
        <v>8458</v>
      </c>
      <c r="F1424" s="16" t="s">
        <v>23</v>
      </c>
      <c r="G1424" s="17" t="str">
        <f>Config!$B$3</f>
        <v>SCH/R_IEC.SchLib</v>
      </c>
      <c r="H1424" s="16" t="s">
        <v>419</v>
      </c>
      <c r="I1424" s="18" t="s">
        <v>7503</v>
      </c>
      <c r="J1424" s="16" t="s">
        <v>8287</v>
      </c>
      <c r="K1424" s="16"/>
      <c r="L1424" s="16"/>
      <c r="M1424" s="19">
        <v>0</v>
      </c>
      <c r="N1424" s="19" t="s">
        <v>8474</v>
      </c>
      <c r="O1424" s="16" t="s">
        <v>4414</v>
      </c>
      <c r="P1424" s="16"/>
      <c r="Q1424" s="16"/>
      <c r="R1424" s="16"/>
      <c r="S1424" s="16"/>
      <c r="T1424" s="16"/>
      <c r="U1424" s="16"/>
      <c r="V1424" s="16"/>
      <c r="W1424" s="17"/>
      <c r="X1424" s="17"/>
      <c r="Y1424" s="16"/>
      <c r="Z1424" s="17"/>
      <c r="AA1424" s="17"/>
      <c r="AB1424" s="17"/>
    </row>
    <row r="1425" spans="1:28">
      <c r="A1425" s="16" t="s">
        <v>8118</v>
      </c>
      <c r="B1425" s="16" t="s">
        <v>8118</v>
      </c>
      <c r="C1425" s="16" t="s">
        <v>8289</v>
      </c>
      <c r="D1425" s="16" t="s">
        <v>21</v>
      </c>
      <c r="E1425" s="36" t="s">
        <v>8458</v>
      </c>
      <c r="F1425" s="16" t="s">
        <v>29</v>
      </c>
      <c r="G1425" s="17" t="str">
        <f>Config!$B$3</f>
        <v>SCH/R_IEC.SchLib</v>
      </c>
      <c r="H1425" s="16" t="s">
        <v>419</v>
      </c>
      <c r="I1425" s="18" t="s">
        <v>7503</v>
      </c>
      <c r="J1425" s="16" t="s">
        <v>8287</v>
      </c>
      <c r="K1425" s="16"/>
      <c r="L1425" s="16"/>
      <c r="M1425" s="19">
        <v>1</v>
      </c>
      <c r="N1425" s="19" t="s">
        <v>8474</v>
      </c>
      <c r="O1425" s="16" t="s">
        <v>4414</v>
      </c>
      <c r="P1425" s="16"/>
      <c r="Q1425" s="16"/>
      <c r="R1425" s="16"/>
      <c r="S1425" s="16"/>
      <c r="T1425" s="16"/>
      <c r="U1425" s="16"/>
      <c r="V1425" s="16"/>
      <c r="W1425" s="17"/>
      <c r="X1425" s="17"/>
      <c r="Y1425" s="17"/>
      <c r="Z1425" s="17"/>
      <c r="AA1425" s="17"/>
      <c r="AB1425" s="17"/>
    </row>
    <row r="1426" spans="1:28">
      <c r="A1426" s="16" t="s">
        <v>8119</v>
      </c>
      <c r="B1426" s="16" t="s">
        <v>8119</v>
      </c>
      <c r="C1426" s="16" t="s">
        <v>8290</v>
      </c>
      <c r="D1426" s="16" t="s">
        <v>21</v>
      </c>
      <c r="E1426" s="36" t="s">
        <v>8458</v>
      </c>
      <c r="F1426" s="16" t="s">
        <v>1042</v>
      </c>
      <c r="G1426" s="17" t="str">
        <f>Config!$B$3</f>
        <v>SCH/R_IEC.SchLib</v>
      </c>
      <c r="H1426" s="16" t="s">
        <v>419</v>
      </c>
      <c r="I1426" s="18" t="s">
        <v>7503</v>
      </c>
      <c r="J1426" s="16" t="s">
        <v>8287</v>
      </c>
      <c r="K1426" s="16"/>
      <c r="L1426" s="16"/>
      <c r="M1426" s="19">
        <v>1.1000000000000001</v>
      </c>
      <c r="N1426" s="19" t="s">
        <v>8474</v>
      </c>
      <c r="O1426" s="16" t="s">
        <v>4414</v>
      </c>
      <c r="P1426" s="16"/>
      <c r="Q1426" s="16"/>
      <c r="R1426" s="16"/>
      <c r="S1426" s="16"/>
      <c r="T1426" s="16"/>
      <c r="U1426" s="16"/>
      <c r="V1426" s="16"/>
      <c r="W1426" s="17"/>
      <c r="X1426" s="17"/>
      <c r="Y1426" s="17"/>
      <c r="Z1426" s="17"/>
      <c r="AA1426" s="17"/>
      <c r="AB1426" s="17"/>
    </row>
    <row r="1427" spans="1:28">
      <c r="A1427" s="16" t="s">
        <v>8120</v>
      </c>
      <c r="B1427" s="16" t="s">
        <v>8120</v>
      </c>
      <c r="C1427" s="16" t="s">
        <v>8291</v>
      </c>
      <c r="D1427" s="16" t="s">
        <v>21</v>
      </c>
      <c r="E1427" s="36" t="s">
        <v>8458</v>
      </c>
      <c r="F1427" s="16" t="s">
        <v>31</v>
      </c>
      <c r="G1427" s="17" t="str">
        <f>Config!$B$3</f>
        <v>SCH/R_IEC.SchLib</v>
      </c>
      <c r="H1427" s="16" t="s">
        <v>419</v>
      </c>
      <c r="I1427" s="18" t="s">
        <v>7503</v>
      </c>
      <c r="J1427" s="16" t="s">
        <v>8287</v>
      </c>
      <c r="K1427" s="16"/>
      <c r="L1427" s="16"/>
      <c r="M1427" s="19">
        <v>1.2</v>
      </c>
      <c r="N1427" s="19" t="s">
        <v>8474</v>
      </c>
      <c r="O1427" s="16" t="s">
        <v>4414</v>
      </c>
      <c r="P1427" s="16"/>
      <c r="Q1427" s="16"/>
      <c r="R1427" s="16"/>
      <c r="S1427" s="16"/>
      <c r="T1427" s="16"/>
      <c r="U1427" s="16"/>
      <c r="V1427" s="16"/>
      <c r="W1427" s="17"/>
      <c r="X1427" s="17"/>
      <c r="Y1427" s="17"/>
      <c r="Z1427" s="17"/>
      <c r="AA1427" s="17"/>
      <c r="AB1427" s="17"/>
    </row>
    <row r="1428" spans="1:28">
      <c r="A1428" s="16" t="s">
        <v>8121</v>
      </c>
      <c r="B1428" s="16" t="s">
        <v>8121</v>
      </c>
      <c r="C1428" s="16" t="s">
        <v>8292</v>
      </c>
      <c r="D1428" s="16" t="s">
        <v>21</v>
      </c>
      <c r="E1428" s="36" t="s">
        <v>8458</v>
      </c>
      <c r="F1428" s="16" t="s">
        <v>1052</v>
      </c>
      <c r="G1428" s="17" t="str">
        <f>Config!$B$3</f>
        <v>SCH/R_IEC.SchLib</v>
      </c>
      <c r="H1428" s="16" t="s">
        <v>419</v>
      </c>
      <c r="I1428" s="18" t="s">
        <v>7503</v>
      </c>
      <c r="J1428" s="16" t="s">
        <v>8287</v>
      </c>
      <c r="K1428" s="16"/>
      <c r="L1428" s="16"/>
      <c r="M1428" s="19">
        <v>1.3</v>
      </c>
      <c r="N1428" s="19" t="s">
        <v>8474</v>
      </c>
      <c r="O1428" s="16" t="s">
        <v>4414</v>
      </c>
      <c r="P1428" s="16"/>
      <c r="Q1428" s="16"/>
      <c r="R1428" s="16"/>
      <c r="S1428" s="16"/>
      <c r="T1428" s="16"/>
      <c r="U1428" s="16"/>
      <c r="V1428" s="16"/>
      <c r="W1428" s="17"/>
      <c r="X1428" s="17"/>
      <c r="Y1428" s="17"/>
      <c r="Z1428" s="17"/>
      <c r="AA1428" s="17"/>
      <c r="AB1428" s="17"/>
    </row>
    <row r="1429" spans="1:28">
      <c r="A1429" s="16" t="s">
        <v>8122</v>
      </c>
      <c r="B1429" s="16" t="s">
        <v>8122</v>
      </c>
      <c r="C1429" s="16" t="s">
        <v>8293</v>
      </c>
      <c r="D1429" s="16" t="s">
        <v>21</v>
      </c>
      <c r="E1429" s="36" t="s">
        <v>8458</v>
      </c>
      <c r="F1429" s="16" t="s">
        <v>33</v>
      </c>
      <c r="G1429" s="17" t="str">
        <f>Config!$B$3</f>
        <v>SCH/R_IEC.SchLib</v>
      </c>
      <c r="H1429" s="16" t="s">
        <v>419</v>
      </c>
      <c r="I1429" s="18" t="s">
        <v>7503</v>
      </c>
      <c r="J1429" s="16" t="s">
        <v>8287</v>
      </c>
      <c r="K1429" s="16"/>
      <c r="L1429" s="16"/>
      <c r="M1429" s="19">
        <v>1.5</v>
      </c>
      <c r="N1429" s="19" t="s">
        <v>8474</v>
      </c>
      <c r="O1429" s="16" t="s">
        <v>4414</v>
      </c>
      <c r="P1429" s="16"/>
      <c r="Q1429" s="16"/>
      <c r="R1429" s="16"/>
      <c r="S1429" s="16"/>
      <c r="T1429" s="16"/>
      <c r="U1429" s="16"/>
      <c r="V1429" s="16"/>
      <c r="W1429" s="17"/>
      <c r="X1429" s="17"/>
      <c r="Y1429" s="17"/>
      <c r="Z1429" s="17"/>
      <c r="AA1429" s="17"/>
      <c r="AB1429" s="17"/>
    </row>
    <row r="1430" spans="1:28">
      <c r="A1430" s="16" t="s">
        <v>8123</v>
      </c>
      <c r="B1430" s="16" t="s">
        <v>8123</v>
      </c>
      <c r="C1430" s="16" t="s">
        <v>8294</v>
      </c>
      <c r="D1430" s="16" t="s">
        <v>21</v>
      </c>
      <c r="E1430" s="36" t="s">
        <v>8458</v>
      </c>
      <c r="F1430" s="16" t="s">
        <v>1062</v>
      </c>
      <c r="G1430" s="17" t="str">
        <f>Config!$B$3</f>
        <v>SCH/R_IEC.SchLib</v>
      </c>
      <c r="H1430" s="16" t="s">
        <v>419</v>
      </c>
      <c r="I1430" s="18" t="s">
        <v>7503</v>
      </c>
      <c r="J1430" s="16" t="s">
        <v>8287</v>
      </c>
      <c r="K1430" s="16"/>
      <c r="L1430" s="16"/>
      <c r="M1430" s="19">
        <v>1.6</v>
      </c>
      <c r="N1430" s="19" t="s">
        <v>8474</v>
      </c>
      <c r="O1430" s="16" t="s">
        <v>4414</v>
      </c>
      <c r="P1430" s="16"/>
      <c r="Q1430" s="16"/>
      <c r="R1430" s="16"/>
      <c r="S1430" s="16"/>
      <c r="T1430" s="16"/>
      <c r="U1430" s="16"/>
      <c r="V1430" s="16"/>
      <c r="W1430" s="17"/>
      <c r="X1430" s="17"/>
      <c r="Y1430" s="17"/>
      <c r="Z1430" s="17"/>
      <c r="AA1430" s="17"/>
      <c r="AB1430" s="17"/>
    </row>
    <row r="1431" spans="1:28">
      <c r="A1431" s="16" t="s">
        <v>8124</v>
      </c>
      <c r="B1431" s="16" t="s">
        <v>8124</v>
      </c>
      <c r="C1431" s="16" t="s">
        <v>8295</v>
      </c>
      <c r="D1431" s="16" t="s">
        <v>21</v>
      </c>
      <c r="E1431" s="36" t="s">
        <v>8458</v>
      </c>
      <c r="F1431" s="16" t="s">
        <v>35</v>
      </c>
      <c r="G1431" s="17" t="str">
        <f>Config!$B$3</f>
        <v>SCH/R_IEC.SchLib</v>
      </c>
      <c r="H1431" s="16" t="s">
        <v>419</v>
      </c>
      <c r="I1431" s="18" t="s">
        <v>7503</v>
      </c>
      <c r="J1431" s="16" t="s">
        <v>8287</v>
      </c>
      <c r="K1431" s="16"/>
      <c r="L1431" s="16"/>
      <c r="M1431" s="19">
        <v>1.8</v>
      </c>
      <c r="N1431" s="19" t="s">
        <v>8474</v>
      </c>
      <c r="O1431" s="16" t="s">
        <v>4414</v>
      </c>
      <c r="P1431" s="16"/>
      <c r="Q1431" s="16"/>
      <c r="R1431" s="16"/>
      <c r="S1431" s="16"/>
      <c r="T1431" s="16"/>
      <c r="U1431" s="16"/>
      <c r="V1431" s="16"/>
      <c r="W1431" s="17"/>
      <c r="X1431" s="17"/>
      <c r="Y1431" s="17"/>
      <c r="Z1431" s="17"/>
      <c r="AA1431" s="17"/>
      <c r="AB1431" s="17"/>
    </row>
    <row r="1432" spans="1:28">
      <c r="A1432" s="16" t="s">
        <v>8125</v>
      </c>
      <c r="B1432" s="16" t="s">
        <v>8125</v>
      </c>
      <c r="C1432" s="16" t="s">
        <v>8296</v>
      </c>
      <c r="D1432" s="16" t="s">
        <v>21</v>
      </c>
      <c r="E1432" s="36" t="s">
        <v>8458</v>
      </c>
      <c r="F1432" s="16" t="s">
        <v>1070</v>
      </c>
      <c r="G1432" s="17" t="str">
        <f>Config!$B$3</f>
        <v>SCH/R_IEC.SchLib</v>
      </c>
      <c r="H1432" s="16" t="s">
        <v>419</v>
      </c>
      <c r="I1432" s="18" t="s">
        <v>7503</v>
      </c>
      <c r="J1432" s="16" t="s">
        <v>8287</v>
      </c>
      <c r="K1432" s="16"/>
      <c r="L1432" s="16"/>
      <c r="M1432" s="19">
        <v>2</v>
      </c>
      <c r="N1432" s="19" t="s">
        <v>8474</v>
      </c>
      <c r="O1432" s="16" t="s">
        <v>4414</v>
      </c>
      <c r="P1432" s="16"/>
      <c r="Q1432" s="16"/>
      <c r="R1432" s="16"/>
      <c r="S1432" s="16"/>
      <c r="T1432" s="16"/>
      <c r="U1432" s="16"/>
      <c r="V1432" s="16"/>
      <c r="W1432" s="17"/>
      <c r="X1432" s="17"/>
      <c r="Y1432" s="17"/>
      <c r="Z1432" s="17"/>
      <c r="AA1432" s="17"/>
      <c r="AB1432" s="17"/>
    </row>
    <row r="1433" spans="1:28">
      <c r="A1433" s="16" t="s">
        <v>8126</v>
      </c>
      <c r="B1433" s="16" t="s">
        <v>8126</v>
      </c>
      <c r="C1433" s="16" t="s">
        <v>8297</v>
      </c>
      <c r="D1433" s="16" t="s">
        <v>21</v>
      </c>
      <c r="E1433" s="36" t="s">
        <v>8458</v>
      </c>
      <c r="F1433" s="16" t="s">
        <v>37</v>
      </c>
      <c r="G1433" s="17" t="str">
        <f>Config!$B$3</f>
        <v>SCH/R_IEC.SchLib</v>
      </c>
      <c r="H1433" s="16" t="s">
        <v>419</v>
      </c>
      <c r="I1433" s="18" t="s">
        <v>7503</v>
      </c>
      <c r="J1433" s="16" t="s">
        <v>8287</v>
      </c>
      <c r="K1433" s="16"/>
      <c r="L1433" s="16"/>
      <c r="M1433" s="19">
        <v>2.2000000000000002</v>
      </c>
      <c r="N1433" s="19" t="s">
        <v>8474</v>
      </c>
      <c r="O1433" s="16" t="s">
        <v>4414</v>
      </c>
      <c r="P1433" s="16"/>
      <c r="Q1433" s="16"/>
      <c r="R1433" s="16"/>
      <c r="S1433" s="16"/>
      <c r="T1433" s="16"/>
      <c r="U1433" s="16"/>
      <c r="V1433" s="16"/>
      <c r="W1433" s="17"/>
      <c r="X1433" s="17"/>
      <c r="Y1433" s="17"/>
      <c r="Z1433" s="17"/>
      <c r="AA1433" s="17"/>
      <c r="AB1433" s="17"/>
    </row>
    <row r="1434" spans="1:28">
      <c r="A1434" s="16" t="s">
        <v>8127</v>
      </c>
      <c r="B1434" s="16" t="s">
        <v>8127</v>
      </c>
      <c r="C1434" s="16" t="s">
        <v>8298</v>
      </c>
      <c r="D1434" s="16" t="s">
        <v>21</v>
      </c>
      <c r="E1434" s="36" t="s">
        <v>8458</v>
      </c>
      <c r="F1434" s="16" t="s">
        <v>1080</v>
      </c>
      <c r="G1434" s="17" t="str">
        <f>Config!$B$3</f>
        <v>SCH/R_IEC.SchLib</v>
      </c>
      <c r="H1434" s="16" t="s">
        <v>419</v>
      </c>
      <c r="I1434" s="18" t="s">
        <v>7503</v>
      </c>
      <c r="J1434" s="16" t="s">
        <v>8287</v>
      </c>
      <c r="K1434" s="16"/>
      <c r="L1434" s="16"/>
      <c r="M1434" s="19">
        <v>2.4</v>
      </c>
      <c r="N1434" s="19" t="s">
        <v>8474</v>
      </c>
      <c r="O1434" s="16" t="s">
        <v>4414</v>
      </c>
      <c r="P1434" s="16"/>
      <c r="Q1434" s="16"/>
      <c r="R1434" s="16"/>
      <c r="S1434" s="16"/>
      <c r="T1434" s="16"/>
      <c r="U1434" s="16"/>
      <c r="V1434" s="16"/>
      <c r="W1434" s="17"/>
      <c r="X1434" s="17"/>
      <c r="Y1434" s="17"/>
      <c r="Z1434" s="17"/>
      <c r="AA1434" s="17"/>
      <c r="AB1434" s="17"/>
    </row>
    <row r="1435" spans="1:28">
      <c r="A1435" s="16" t="s">
        <v>8128</v>
      </c>
      <c r="B1435" s="16" t="s">
        <v>8128</v>
      </c>
      <c r="C1435" s="16" t="s">
        <v>8299</v>
      </c>
      <c r="D1435" s="16" t="s">
        <v>21</v>
      </c>
      <c r="E1435" s="36" t="s">
        <v>8458</v>
      </c>
      <c r="F1435" s="16" t="s">
        <v>39</v>
      </c>
      <c r="G1435" s="17" t="str">
        <f>Config!$B$3</f>
        <v>SCH/R_IEC.SchLib</v>
      </c>
      <c r="H1435" s="16" t="s">
        <v>419</v>
      </c>
      <c r="I1435" s="18" t="s">
        <v>7503</v>
      </c>
      <c r="J1435" s="16" t="s">
        <v>8287</v>
      </c>
      <c r="K1435" s="16"/>
      <c r="L1435" s="16"/>
      <c r="M1435" s="19">
        <v>2.7</v>
      </c>
      <c r="N1435" s="19" t="s">
        <v>8474</v>
      </c>
      <c r="O1435" s="16" t="s">
        <v>4414</v>
      </c>
      <c r="P1435" s="16"/>
      <c r="Q1435" s="16"/>
      <c r="R1435" s="16"/>
      <c r="S1435" s="16"/>
      <c r="T1435" s="16"/>
      <c r="U1435" s="16"/>
      <c r="V1435" s="16"/>
      <c r="W1435" s="17"/>
      <c r="X1435" s="17"/>
      <c r="Y1435" s="17"/>
      <c r="Z1435" s="17"/>
      <c r="AA1435" s="17"/>
      <c r="AB1435" s="17"/>
    </row>
    <row r="1436" spans="1:28">
      <c r="A1436" s="16" t="s">
        <v>8129</v>
      </c>
      <c r="B1436" s="16" t="s">
        <v>8129</v>
      </c>
      <c r="C1436" s="16" t="s">
        <v>8300</v>
      </c>
      <c r="D1436" s="16" t="s">
        <v>21</v>
      </c>
      <c r="E1436" s="36" t="s">
        <v>8458</v>
      </c>
      <c r="F1436" s="16" t="s">
        <v>1088</v>
      </c>
      <c r="G1436" s="17" t="str">
        <f>Config!$B$3</f>
        <v>SCH/R_IEC.SchLib</v>
      </c>
      <c r="H1436" s="16" t="s">
        <v>419</v>
      </c>
      <c r="I1436" s="18" t="s">
        <v>7503</v>
      </c>
      <c r="J1436" s="16" t="s">
        <v>8287</v>
      </c>
      <c r="K1436" s="16"/>
      <c r="L1436" s="16"/>
      <c r="M1436" s="19">
        <v>3</v>
      </c>
      <c r="N1436" s="19" t="s">
        <v>8474</v>
      </c>
      <c r="O1436" s="16" t="s">
        <v>4414</v>
      </c>
      <c r="P1436" s="16"/>
      <c r="Q1436" s="16"/>
      <c r="R1436" s="16"/>
      <c r="S1436" s="16"/>
      <c r="T1436" s="16"/>
      <c r="U1436" s="16"/>
      <c r="V1436" s="16"/>
      <c r="W1436" s="17"/>
      <c r="X1436" s="17"/>
      <c r="Y1436" s="17"/>
      <c r="Z1436" s="17"/>
      <c r="AA1436" s="17"/>
      <c r="AB1436" s="17"/>
    </row>
    <row r="1437" spans="1:28">
      <c r="A1437" s="16" t="s">
        <v>8130</v>
      </c>
      <c r="B1437" s="16" t="s">
        <v>8130</v>
      </c>
      <c r="C1437" s="16" t="s">
        <v>8301</v>
      </c>
      <c r="D1437" s="16" t="s">
        <v>21</v>
      </c>
      <c r="E1437" s="36" t="s">
        <v>8458</v>
      </c>
      <c r="F1437" s="16" t="s">
        <v>41</v>
      </c>
      <c r="G1437" s="17" t="str">
        <f>Config!$B$3</f>
        <v>SCH/R_IEC.SchLib</v>
      </c>
      <c r="H1437" s="16" t="s">
        <v>419</v>
      </c>
      <c r="I1437" s="18" t="s">
        <v>7503</v>
      </c>
      <c r="J1437" s="16" t="s">
        <v>8287</v>
      </c>
      <c r="K1437" s="16"/>
      <c r="L1437" s="16"/>
      <c r="M1437" s="19">
        <v>3.3</v>
      </c>
      <c r="N1437" s="19" t="s">
        <v>8474</v>
      </c>
      <c r="O1437" s="16" t="s">
        <v>4414</v>
      </c>
      <c r="P1437" s="16"/>
      <c r="Q1437" s="16"/>
      <c r="R1437" s="16"/>
      <c r="S1437" s="16"/>
      <c r="T1437" s="16"/>
      <c r="U1437" s="16"/>
      <c r="V1437" s="16"/>
      <c r="W1437" s="17"/>
      <c r="X1437" s="17"/>
      <c r="Y1437" s="17"/>
      <c r="Z1437" s="17"/>
      <c r="AA1437" s="17"/>
      <c r="AB1437" s="17"/>
    </row>
    <row r="1438" spans="1:28">
      <c r="A1438" s="16" t="s">
        <v>8131</v>
      </c>
      <c r="B1438" s="16" t="s">
        <v>8131</v>
      </c>
      <c r="C1438" s="16" t="s">
        <v>8302</v>
      </c>
      <c r="D1438" s="16" t="s">
        <v>21</v>
      </c>
      <c r="E1438" s="36" t="s">
        <v>8458</v>
      </c>
      <c r="F1438" s="16" t="s">
        <v>1098</v>
      </c>
      <c r="G1438" s="17" t="str">
        <f>Config!$B$3</f>
        <v>SCH/R_IEC.SchLib</v>
      </c>
      <c r="H1438" s="16" t="s">
        <v>419</v>
      </c>
      <c r="I1438" s="18" t="s">
        <v>7503</v>
      </c>
      <c r="J1438" s="16" t="s">
        <v>8287</v>
      </c>
      <c r="K1438" s="16"/>
      <c r="L1438" s="16"/>
      <c r="M1438" s="19">
        <v>3.6</v>
      </c>
      <c r="N1438" s="19" t="s">
        <v>8474</v>
      </c>
      <c r="O1438" s="16" t="s">
        <v>4414</v>
      </c>
      <c r="P1438" s="16"/>
      <c r="Q1438" s="16"/>
      <c r="R1438" s="16"/>
      <c r="S1438" s="16"/>
      <c r="T1438" s="16"/>
      <c r="U1438" s="16"/>
      <c r="V1438" s="16"/>
      <c r="W1438" s="17"/>
      <c r="X1438" s="17"/>
      <c r="Y1438" s="17"/>
      <c r="Z1438" s="17"/>
      <c r="AA1438" s="17"/>
      <c r="AB1438" s="17"/>
    </row>
    <row r="1439" spans="1:28">
      <c r="A1439" s="16" t="s">
        <v>8132</v>
      </c>
      <c r="B1439" s="16" t="s">
        <v>8132</v>
      </c>
      <c r="C1439" s="16" t="s">
        <v>8303</v>
      </c>
      <c r="D1439" s="16" t="s">
        <v>21</v>
      </c>
      <c r="E1439" s="36" t="s">
        <v>8458</v>
      </c>
      <c r="F1439" s="16" t="s">
        <v>43</v>
      </c>
      <c r="G1439" s="17" t="str">
        <f>Config!$B$3</f>
        <v>SCH/R_IEC.SchLib</v>
      </c>
      <c r="H1439" s="16" t="s">
        <v>419</v>
      </c>
      <c r="I1439" s="18" t="s">
        <v>7503</v>
      </c>
      <c r="J1439" s="16" t="s">
        <v>8287</v>
      </c>
      <c r="K1439" s="16"/>
      <c r="L1439" s="16"/>
      <c r="M1439" s="19">
        <v>3.9</v>
      </c>
      <c r="N1439" s="19" t="s">
        <v>8474</v>
      </c>
      <c r="O1439" s="16" t="s">
        <v>4414</v>
      </c>
      <c r="P1439" s="16"/>
      <c r="Q1439" s="16"/>
      <c r="R1439" s="16"/>
      <c r="S1439" s="16"/>
      <c r="T1439" s="16"/>
      <c r="U1439" s="16"/>
      <c r="V1439" s="16"/>
      <c r="W1439" s="17"/>
      <c r="X1439" s="17"/>
      <c r="Y1439" s="17"/>
      <c r="Z1439" s="17"/>
      <c r="AA1439" s="17"/>
      <c r="AB1439" s="17"/>
    </row>
    <row r="1440" spans="1:28">
      <c r="A1440" s="16" t="s">
        <v>8133</v>
      </c>
      <c r="B1440" s="16" t="s">
        <v>8133</v>
      </c>
      <c r="C1440" s="16" t="s">
        <v>8304</v>
      </c>
      <c r="D1440" s="16" t="s">
        <v>21</v>
      </c>
      <c r="E1440" s="36" t="s">
        <v>8458</v>
      </c>
      <c r="F1440" s="16" t="s">
        <v>1106</v>
      </c>
      <c r="G1440" s="17" t="str">
        <f>Config!$B$3</f>
        <v>SCH/R_IEC.SchLib</v>
      </c>
      <c r="H1440" s="16" t="s">
        <v>419</v>
      </c>
      <c r="I1440" s="18" t="s">
        <v>7503</v>
      </c>
      <c r="J1440" s="16" t="s">
        <v>8287</v>
      </c>
      <c r="K1440" s="16"/>
      <c r="L1440" s="16"/>
      <c r="M1440" s="19">
        <v>4.3</v>
      </c>
      <c r="N1440" s="19" t="s">
        <v>8474</v>
      </c>
      <c r="O1440" s="16" t="s">
        <v>4414</v>
      </c>
      <c r="P1440" s="16"/>
      <c r="Q1440" s="16"/>
      <c r="R1440" s="16"/>
      <c r="S1440" s="16"/>
      <c r="T1440" s="16"/>
      <c r="U1440" s="16"/>
      <c r="V1440" s="16"/>
      <c r="W1440" s="17"/>
      <c r="X1440" s="17"/>
      <c r="Y1440" s="17"/>
      <c r="Z1440" s="17"/>
      <c r="AA1440" s="17"/>
      <c r="AB1440" s="17"/>
    </row>
    <row r="1441" spans="1:28">
      <c r="A1441" s="16" t="s">
        <v>8134</v>
      </c>
      <c r="B1441" s="16" t="s">
        <v>8134</v>
      </c>
      <c r="C1441" s="16" t="s">
        <v>8305</v>
      </c>
      <c r="D1441" s="16" t="s">
        <v>21</v>
      </c>
      <c r="E1441" s="36" t="s">
        <v>8458</v>
      </c>
      <c r="F1441" s="16" t="s">
        <v>45</v>
      </c>
      <c r="G1441" s="17" t="str">
        <f>Config!$B$3</f>
        <v>SCH/R_IEC.SchLib</v>
      </c>
      <c r="H1441" s="16" t="s">
        <v>419</v>
      </c>
      <c r="I1441" s="18" t="s">
        <v>7503</v>
      </c>
      <c r="J1441" s="16" t="s">
        <v>8287</v>
      </c>
      <c r="K1441" s="16"/>
      <c r="L1441" s="16"/>
      <c r="M1441" s="19">
        <v>4.7</v>
      </c>
      <c r="N1441" s="19" t="s">
        <v>8474</v>
      </c>
      <c r="O1441" s="16" t="s">
        <v>4414</v>
      </c>
      <c r="P1441" s="16"/>
      <c r="Q1441" s="16"/>
      <c r="R1441" s="16"/>
      <c r="S1441" s="16"/>
      <c r="T1441" s="16"/>
      <c r="U1441" s="16"/>
      <c r="V1441" s="16"/>
      <c r="W1441" s="17"/>
      <c r="X1441" s="17"/>
      <c r="Y1441" s="17"/>
      <c r="Z1441" s="17"/>
      <c r="AA1441" s="17"/>
      <c r="AB1441" s="17"/>
    </row>
    <row r="1442" spans="1:28">
      <c r="A1442" s="16" t="s">
        <v>8135</v>
      </c>
      <c r="B1442" s="16" t="s">
        <v>8135</v>
      </c>
      <c r="C1442" s="16" t="s">
        <v>8306</v>
      </c>
      <c r="D1442" s="16" t="s">
        <v>21</v>
      </c>
      <c r="E1442" s="36" t="s">
        <v>8458</v>
      </c>
      <c r="F1442" s="16" t="s">
        <v>1116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8287</v>
      </c>
      <c r="K1442" s="16"/>
      <c r="L1442" s="16"/>
      <c r="M1442" s="19">
        <v>5.0999999999999996</v>
      </c>
      <c r="N1442" s="19" t="s">
        <v>8474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7"/>
      <c r="Z1442" s="17"/>
      <c r="AA1442" s="17"/>
      <c r="AB1442" s="17"/>
    </row>
    <row r="1443" spans="1:28">
      <c r="A1443" s="16" t="s">
        <v>8136</v>
      </c>
      <c r="B1443" s="16" t="s">
        <v>8136</v>
      </c>
      <c r="C1443" s="16" t="s">
        <v>8307</v>
      </c>
      <c r="D1443" s="16" t="s">
        <v>21</v>
      </c>
      <c r="E1443" s="36" t="s">
        <v>8458</v>
      </c>
      <c r="F1443" s="16" t="s">
        <v>47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8287</v>
      </c>
      <c r="K1443" s="16"/>
      <c r="L1443" s="16"/>
      <c r="M1443" s="19">
        <v>5.6</v>
      </c>
      <c r="N1443" s="19" t="s">
        <v>8474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8137</v>
      </c>
      <c r="B1444" s="16" t="s">
        <v>8137</v>
      </c>
      <c r="C1444" s="16" t="s">
        <v>8308</v>
      </c>
      <c r="D1444" s="16" t="s">
        <v>21</v>
      </c>
      <c r="E1444" s="36" t="s">
        <v>8458</v>
      </c>
      <c r="F1444" s="16" t="s">
        <v>1128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8287</v>
      </c>
      <c r="K1444" s="16"/>
      <c r="L1444" s="16"/>
      <c r="M1444" s="19">
        <v>6.2</v>
      </c>
      <c r="N1444" s="19" t="s">
        <v>8474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8138</v>
      </c>
      <c r="B1445" s="16" t="s">
        <v>8138</v>
      </c>
      <c r="C1445" s="16" t="s">
        <v>8309</v>
      </c>
      <c r="D1445" s="16" t="s">
        <v>21</v>
      </c>
      <c r="E1445" s="36" t="s">
        <v>8458</v>
      </c>
      <c r="F1445" s="16" t="s">
        <v>49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8287</v>
      </c>
      <c r="K1445" s="16"/>
      <c r="L1445" s="16"/>
      <c r="M1445" s="19">
        <v>6.8</v>
      </c>
      <c r="N1445" s="19" t="s">
        <v>8474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8139</v>
      </c>
      <c r="B1446" s="16" t="s">
        <v>8139</v>
      </c>
      <c r="C1446" s="16" t="s">
        <v>8310</v>
      </c>
      <c r="D1446" s="16" t="s">
        <v>21</v>
      </c>
      <c r="E1446" s="36" t="s">
        <v>8458</v>
      </c>
      <c r="F1446" s="16" t="s">
        <v>1138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8287</v>
      </c>
      <c r="K1446" s="16"/>
      <c r="L1446" s="16"/>
      <c r="M1446" s="19">
        <v>7.5</v>
      </c>
      <c r="N1446" s="19" t="s">
        <v>8474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8140</v>
      </c>
      <c r="B1447" s="16" t="s">
        <v>8140</v>
      </c>
      <c r="C1447" s="16" t="s">
        <v>8311</v>
      </c>
      <c r="D1447" s="16" t="s">
        <v>21</v>
      </c>
      <c r="E1447" s="36" t="s">
        <v>8458</v>
      </c>
      <c r="F1447" s="16" t="s">
        <v>51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8287</v>
      </c>
      <c r="K1447" s="16"/>
      <c r="L1447" s="16"/>
      <c r="M1447" s="19">
        <v>8.1999999999999993</v>
      </c>
      <c r="N1447" s="19" t="s">
        <v>8474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8141</v>
      </c>
      <c r="B1448" s="16" t="s">
        <v>8141</v>
      </c>
      <c r="C1448" s="16" t="s">
        <v>8312</v>
      </c>
      <c r="D1448" s="16" t="s">
        <v>21</v>
      </c>
      <c r="E1448" s="36" t="s">
        <v>8458</v>
      </c>
      <c r="F1448" s="16" t="s">
        <v>1148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8287</v>
      </c>
      <c r="K1448" s="16"/>
      <c r="L1448" s="16"/>
      <c r="M1448" s="19">
        <v>9.1</v>
      </c>
      <c r="N1448" s="19" t="s">
        <v>8474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8142</v>
      </c>
      <c r="B1449" s="16" t="s">
        <v>8142</v>
      </c>
      <c r="C1449" s="16" t="s">
        <v>8313</v>
      </c>
      <c r="D1449" s="16" t="s">
        <v>21</v>
      </c>
      <c r="E1449" s="36" t="s">
        <v>8458</v>
      </c>
      <c r="F1449" s="16" t="s">
        <v>53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8287</v>
      </c>
      <c r="K1449" s="16"/>
      <c r="L1449" s="16"/>
      <c r="M1449" s="20">
        <v>10</v>
      </c>
      <c r="N1449" s="19" t="s">
        <v>8474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8143</v>
      </c>
      <c r="B1450" s="16" t="s">
        <v>8143</v>
      </c>
      <c r="C1450" s="16" t="s">
        <v>8314</v>
      </c>
      <c r="D1450" s="16" t="s">
        <v>21</v>
      </c>
      <c r="E1450" s="36" t="s">
        <v>8458</v>
      </c>
      <c r="F1450" s="16" t="s">
        <v>57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8287</v>
      </c>
      <c r="K1450" s="16"/>
      <c r="L1450" s="16"/>
      <c r="M1450" s="20">
        <v>11</v>
      </c>
      <c r="N1450" s="19" t="s">
        <v>8474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8144</v>
      </c>
      <c r="B1451" s="16" t="s">
        <v>8144</v>
      </c>
      <c r="C1451" s="16" t="s">
        <v>8315</v>
      </c>
      <c r="D1451" s="16" t="s">
        <v>21</v>
      </c>
      <c r="E1451" s="36" t="s">
        <v>8458</v>
      </c>
      <c r="F1451" s="16" t="s">
        <v>59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8287</v>
      </c>
      <c r="K1451" s="16"/>
      <c r="L1451" s="16"/>
      <c r="M1451" s="20">
        <v>12</v>
      </c>
      <c r="N1451" s="19" t="s">
        <v>8474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8145</v>
      </c>
      <c r="B1452" s="16" t="s">
        <v>8145</v>
      </c>
      <c r="C1452" s="16" t="s">
        <v>8316</v>
      </c>
      <c r="D1452" s="16" t="s">
        <v>21</v>
      </c>
      <c r="E1452" s="36" t="s">
        <v>8458</v>
      </c>
      <c r="F1452" s="16" t="s">
        <v>61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8287</v>
      </c>
      <c r="K1452" s="16"/>
      <c r="L1452" s="16"/>
      <c r="M1452" s="20">
        <v>13</v>
      </c>
      <c r="N1452" s="19" t="s">
        <v>8474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8146</v>
      </c>
      <c r="B1453" s="16" t="s">
        <v>8146</v>
      </c>
      <c r="C1453" s="16" t="s">
        <v>8317</v>
      </c>
      <c r="D1453" s="16" t="s">
        <v>21</v>
      </c>
      <c r="E1453" s="36" t="s">
        <v>8458</v>
      </c>
      <c r="F1453" s="16" t="s">
        <v>63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8287</v>
      </c>
      <c r="K1453" s="16"/>
      <c r="L1453" s="16"/>
      <c r="M1453" s="20">
        <v>15</v>
      </c>
      <c r="N1453" s="19" t="s">
        <v>8474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8147</v>
      </c>
      <c r="B1454" s="16" t="s">
        <v>8147</v>
      </c>
      <c r="C1454" s="16" t="s">
        <v>8318</v>
      </c>
      <c r="D1454" s="16" t="s">
        <v>21</v>
      </c>
      <c r="E1454" s="36" t="s">
        <v>8458</v>
      </c>
      <c r="F1454" s="16" t="s">
        <v>65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8287</v>
      </c>
      <c r="K1454" s="16"/>
      <c r="L1454" s="16"/>
      <c r="M1454" s="20">
        <v>16</v>
      </c>
      <c r="N1454" s="19" t="s">
        <v>8474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8148</v>
      </c>
      <c r="B1455" s="16" t="s">
        <v>8148</v>
      </c>
      <c r="C1455" s="16" t="s">
        <v>8319</v>
      </c>
      <c r="D1455" s="16" t="s">
        <v>21</v>
      </c>
      <c r="E1455" s="36" t="s">
        <v>8458</v>
      </c>
      <c r="F1455" s="16" t="s">
        <v>67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8287</v>
      </c>
      <c r="K1455" s="16"/>
      <c r="L1455" s="16"/>
      <c r="M1455" s="20">
        <v>18</v>
      </c>
      <c r="N1455" s="19" t="s">
        <v>8474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8149</v>
      </c>
      <c r="B1456" s="16" t="s">
        <v>8149</v>
      </c>
      <c r="C1456" s="16" t="s">
        <v>8320</v>
      </c>
      <c r="D1456" s="16" t="s">
        <v>21</v>
      </c>
      <c r="E1456" s="36" t="s">
        <v>8458</v>
      </c>
      <c r="F1456" s="16" t="s">
        <v>69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8287</v>
      </c>
      <c r="K1456" s="16"/>
      <c r="L1456" s="16"/>
      <c r="M1456" s="20">
        <v>20</v>
      </c>
      <c r="N1456" s="19" t="s">
        <v>8474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6"/>
      <c r="X1456" s="17"/>
      <c r="Y1456" s="16"/>
      <c r="Z1456" s="17"/>
      <c r="AA1456" s="16"/>
      <c r="AB1456" s="17"/>
    </row>
    <row r="1457" spans="1:28">
      <c r="A1457" s="16" t="s">
        <v>8150</v>
      </c>
      <c r="B1457" s="16" t="s">
        <v>8150</v>
      </c>
      <c r="C1457" s="16" t="s">
        <v>8321</v>
      </c>
      <c r="D1457" s="16" t="s">
        <v>21</v>
      </c>
      <c r="E1457" s="36" t="s">
        <v>8458</v>
      </c>
      <c r="F1457" s="16" t="s">
        <v>71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8287</v>
      </c>
      <c r="K1457" s="16"/>
      <c r="L1457" s="16"/>
      <c r="M1457" s="20">
        <v>22</v>
      </c>
      <c r="N1457" s="19" t="s">
        <v>8474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6"/>
      <c r="Z1457" s="25"/>
      <c r="AA1457" s="17"/>
      <c r="AB1457" s="17"/>
    </row>
    <row r="1458" spans="1:28">
      <c r="A1458" s="16" t="s">
        <v>8151</v>
      </c>
      <c r="B1458" s="16" t="s">
        <v>8151</v>
      </c>
      <c r="C1458" s="16" t="s">
        <v>8322</v>
      </c>
      <c r="D1458" s="16" t="s">
        <v>21</v>
      </c>
      <c r="E1458" s="36" t="s">
        <v>8458</v>
      </c>
      <c r="F1458" s="16" t="s">
        <v>75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8287</v>
      </c>
      <c r="K1458" s="16"/>
      <c r="L1458" s="16"/>
      <c r="M1458" s="20">
        <v>24</v>
      </c>
      <c r="N1458" s="19" t="s">
        <v>8474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8152</v>
      </c>
      <c r="B1459" s="16" t="s">
        <v>8152</v>
      </c>
      <c r="C1459" s="16" t="s">
        <v>8323</v>
      </c>
      <c r="D1459" s="16" t="s">
        <v>21</v>
      </c>
      <c r="E1459" s="36" t="s">
        <v>8458</v>
      </c>
      <c r="F1459" s="16" t="s">
        <v>77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8287</v>
      </c>
      <c r="K1459" s="16"/>
      <c r="L1459" s="16"/>
      <c r="M1459" s="20">
        <v>27</v>
      </c>
      <c r="N1459" s="19" t="s">
        <v>8474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8153</v>
      </c>
      <c r="B1460" s="16" t="s">
        <v>8153</v>
      </c>
      <c r="C1460" s="16" t="s">
        <v>8324</v>
      </c>
      <c r="D1460" s="16" t="s">
        <v>21</v>
      </c>
      <c r="E1460" s="36" t="s">
        <v>8458</v>
      </c>
      <c r="F1460" s="16" t="s">
        <v>79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8287</v>
      </c>
      <c r="K1460" s="16"/>
      <c r="L1460" s="16"/>
      <c r="M1460" s="20">
        <v>30</v>
      </c>
      <c r="N1460" s="19" t="s">
        <v>8474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8154</v>
      </c>
      <c r="B1461" s="16" t="s">
        <v>8154</v>
      </c>
      <c r="C1461" s="16" t="s">
        <v>8325</v>
      </c>
      <c r="D1461" s="16" t="s">
        <v>21</v>
      </c>
      <c r="E1461" s="36" t="s">
        <v>8458</v>
      </c>
      <c r="F1461" s="16" t="s">
        <v>81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8287</v>
      </c>
      <c r="K1461" s="16"/>
      <c r="L1461" s="16"/>
      <c r="M1461" s="20">
        <v>33</v>
      </c>
      <c r="N1461" s="19" t="s">
        <v>8474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8155</v>
      </c>
      <c r="B1462" s="16" t="s">
        <v>8155</v>
      </c>
      <c r="C1462" s="16" t="s">
        <v>8326</v>
      </c>
      <c r="D1462" s="16" t="s">
        <v>21</v>
      </c>
      <c r="E1462" s="36" t="s">
        <v>8458</v>
      </c>
      <c r="F1462" s="16" t="s">
        <v>83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8287</v>
      </c>
      <c r="K1462" s="16"/>
      <c r="L1462" s="16"/>
      <c r="M1462" s="20">
        <v>36</v>
      </c>
      <c r="N1462" s="19" t="s">
        <v>8474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8156</v>
      </c>
      <c r="B1463" s="16" t="s">
        <v>8156</v>
      </c>
      <c r="C1463" s="16" t="s">
        <v>8327</v>
      </c>
      <c r="D1463" s="16" t="s">
        <v>21</v>
      </c>
      <c r="E1463" s="36" t="s">
        <v>8458</v>
      </c>
      <c r="F1463" s="16" t="s">
        <v>85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8287</v>
      </c>
      <c r="K1463" s="16"/>
      <c r="L1463" s="16"/>
      <c r="M1463" s="20">
        <v>39</v>
      </c>
      <c r="N1463" s="19" t="s">
        <v>8474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8157</v>
      </c>
      <c r="B1464" s="16" t="s">
        <v>8157</v>
      </c>
      <c r="C1464" s="16" t="s">
        <v>8328</v>
      </c>
      <c r="D1464" s="16" t="s">
        <v>21</v>
      </c>
      <c r="E1464" s="36" t="s">
        <v>8458</v>
      </c>
      <c r="F1464" s="16" t="s">
        <v>87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8287</v>
      </c>
      <c r="K1464" s="16"/>
      <c r="L1464" s="16"/>
      <c r="M1464" s="20">
        <v>43</v>
      </c>
      <c r="N1464" s="19" t="s">
        <v>8474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8158</v>
      </c>
      <c r="B1465" s="16" t="s">
        <v>8158</v>
      </c>
      <c r="C1465" s="16" t="s">
        <v>8329</v>
      </c>
      <c r="D1465" s="16" t="s">
        <v>21</v>
      </c>
      <c r="E1465" s="36" t="s">
        <v>8458</v>
      </c>
      <c r="F1465" s="16" t="s">
        <v>89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8287</v>
      </c>
      <c r="K1465" s="16"/>
      <c r="L1465" s="16"/>
      <c r="M1465" s="20">
        <v>47</v>
      </c>
      <c r="N1465" s="19" t="s">
        <v>8474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8159</v>
      </c>
      <c r="B1466" s="16" t="s">
        <v>8159</v>
      </c>
      <c r="C1466" s="16" t="s">
        <v>8330</v>
      </c>
      <c r="D1466" s="16" t="s">
        <v>21</v>
      </c>
      <c r="E1466" s="36" t="s">
        <v>8458</v>
      </c>
      <c r="F1466" s="16" t="s">
        <v>91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8287</v>
      </c>
      <c r="K1466" s="16"/>
      <c r="L1466" s="16"/>
      <c r="M1466" s="20">
        <v>51</v>
      </c>
      <c r="N1466" s="19" t="s">
        <v>8474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8160</v>
      </c>
      <c r="B1467" s="16" t="s">
        <v>8160</v>
      </c>
      <c r="C1467" s="16" t="s">
        <v>8331</v>
      </c>
      <c r="D1467" s="16" t="s">
        <v>21</v>
      </c>
      <c r="E1467" s="36" t="s">
        <v>8458</v>
      </c>
      <c r="F1467" s="16" t="s">
        <v>93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8287</v>
      </c>
      <c r="K1467" s="16"/>
      <c r="L1467" s="16"/>
      <c r="M1467" s="20">
        <v>56</v>
      </c>
      <c r="N1467" s="19" t="s">
        <v>8474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8161</v>
      </c>
      <c r="B1468" s="16" t="s">
        <v>8161</v>
      </c>
      <c r="C1468" s="16" t="s">
        <v>8332</v>
      </c>
      <c r="D1468" s="16" t="s">
        <v>21</v>
      </c>
      <c r="E1468" s="36" t="s">
        <v>8458</v>
      </c>
      <c r="F1468" s="16" t="s">
        <v>95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8287</v>
      </c>
      <c r="K1468" s="16"/>
      <c r="L1468" s="16"/>
      <c r="M1468" s="20">
        <v>62</v>
      </c>
      <c r="N1468" s="19" t="s">
        <v>8474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8162</v>
      </c>
      <c r="B1469" s="16" t="s">
        <v>8162</v>
      </c>
      <c r="C1469" s="16" t="s">
        <v>8333</v>
      </c>
      <c r="D1469" s="16" t="s">
        <v>21</v>
      </c>
      <c r="E1469" s="36" t="s">
        <v>8458</v>
      </c>
      <c r="F1469" s="16" t="s">
        <v>97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8287</v>
      </c>
      <c r="K1469" s="16"/>
      <c r="L1469" s="16"/>
      <c r="M1469" s="20">
        <v>68</v>
      </c>
      <c r="N1469" s="19" t="s">
        <v>8474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8163</v>
      </c>
      <c r="B1470" s="16" t="s">
        <v>8163</v>
      </c>
      <c r="C1470" s="16" t="s">
        <v>8334</v>
      </c>
      <c r="D1470" s="16" t="s">
        <v>21</v>
      </c>
      <c r="E1470" s="36" t="s">
        <v>8458</v>
      </c>
      <c r="F1470" s="16" t="s">
        <v>99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8287</v>
      </c>
      <c r="K1470" s="16"/>
      <c r="L1470" s="16"/>
      <c r="M1470" s="20">
        <v>75</v>
      </c>
      <c r="N1470" s="19" t="s">
        <v>8474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6"/>
      <c r="Z1470" s="25"/>
      <c r="AA1470" s="17"/>
      <c r="AB1470" s="17"/>
    </row>
    <row r="1471" spans="1:28">
      <c r="A1471" s="16" t="s">
        <v>8164</v>
      </c>
      <c r="B1471" s="16" t="s">
        <v>8164</v>
      </c>
      <c r="C1471" s="16" t="s">
        <v>8335</v>
      </c>
      <c r="D1471" s="16" t="s">
        <v>21</v>
      </c>
      <c r="E1471" s="36" t="s">
        <v>8458</v>
      </c>
      <c r="F1471" s="16" t="s">
        <v>101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8287</v>
      </c>
      <c r="K1471" s="16"/>
      <c r="L1471" s="16"/>
      <c r="M1471" s="20">
        <v>82</v>
      </c>
      <c r="N1471" s="19" t="s">
        <v>8474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6"/>
      <c r="Y1471" s="16"/>
      <c r="AA1471" s="17"/>
      <c r="AB1471" s="17"/>
    </row>
    <row r="1472" spans="1:28">
      <c r="A1472" s="16" t="s">
        <v>8165</v>
      </c>
      <c r="B1472" s="16" t="s">
        <v>8165</v>
      </c>
      <c r="C1472" s="16" t="s">
        <v>8336</v>
      </c>
      <c r="D1472" s="16" t="s">
        <v>21</v>
      </c>
      <c r="E1472" s="36" t="s">
        <v>8458</v>
      </c>
      <c r="F1472" s="16" t="s">
        <v>103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8287</v>
      </c>
      <c r="K1472" s="16"/>
      <c r="L1472" s="16"/>
      <c r="M1472" s="20">
        <v>91</v>
      </c>
      <c r="N1472" s="19" t="s">
        <v>8474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8166</v>
      </c>
      <c r="B1473" s="16" t="s">
        <v>8166</v>
      </c>
      <c r="C1473" s="16" t="s">
        <v>8337</v>
      </c>
      <c r="D1473" s="16" t="s">
        <v>21</v>
      </c>
      <c r="E1473" s="36" t="s">
        <v>8458</v>
      </c>
      <c r="F1473" s="16" t="s">
        <v>105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8287</v>
      </c>
      <c r="K1473" s="16"/>
      <c r="L1473" s="16"/>
      <c r="M1473" s="20">
        <v>100</v>
      </c>
      <c r="N1473" s="19" t="s">
        <v>8474</v>
      </c>
      <c r="O1473" s="16" t="s">
        <v>4414</v>
      </c>
      <c r="P1473" s="16" t="s">
        <v>8476</v>
      </c>
      <c r="Q1473" s="16" t="s">
        <v>25</v>
      </c>
      <c r="R1473" s="16" t="s">
        <v>10593</v>
      </c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8167</v>
      </c>
      <c r="B1474" s="16" t="s">
        <v>8167</v>
      </c>
      <c r="C1474" s="16" t="s">
        <v>8338</v>
      </c>
      <c r="D1474" s="16" t="s">
        <v>21</v>
      </c>
      <c r="E1474" s="36" t="s">
        <v>8458</v>
      </c>
      <c r="F1474" s="16" t="s">
        <v>109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8287</v>
      </c>
      <c r="K1474" s="16"/>
      <c r="L1474" s="16"/>
      <c r="M1474" s="20">
        <v>110</v>
      </c>
      <c r="N1474" s="19" t="s">
        <v>8474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8168</v>
      </c>
      <c r="B1475" s="16" t="s">
        <v>8168</v>
      </c>
      <c r="C1475" s="16" t="s">
        <v>8339</v>
      </c>
      <c r="D1475" s="16" t="s">
        <v>21</v>
      </c>
      <c r="E1475" s="36" t="s">
        <v>8458</v>
      </c>
      <c r="F1475" s="16" t="s">
        <v>111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8287</v>
      </c>
      <c r="K1475" s="16"/>
      <c r="L1475" s="16"/>
      <c r="M1475" s="20">
        <v>120</v>
      </c>
      <c r="N1475" s="19" t="s">
        <v>8474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7"/>
      <c r="Z1475" s="17"/>
      <c r="AA1475" s="17"/>
      <c r="AB1475" s="17"/>
    </row>
    <row r="1476" spans="1:28">
      <c r="A1476" s="16" t="s">
        <v>8169</v>
      </c>
      <c r="B1476" s="16" t="s">
        <v>8169</v>
      </c>
      <c r="C1476" s="16" t="s">
        <v>8340</v>
      </c>
      <c r="D1476" s="16" t="s">
        <v>21</v>
      </c>
      <c r="E1476" s="36" t="s">
        <v>8458</v>
      </c>
      <c r="F1476" s="16" t="s">
        <v>113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8287</v>
      </c>
      <c r="K1476" s="16"/>
      <c r="L1476" s="16"/>
      <c r="M1476" s="20">
        <v>130</v>
      </c>
      <c r="N1476" s="19" t="s">
        <v>8474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8170</v>
      </c>
      <c r="B1477" s="16" t="s">
        <v>8170</v>
      </c>
      <c r="C1477" s="16" t="s">
        <v>8341</v>
      </c>
      <c r="D1477" s="16" t="s">
        <v>21</v>
      </c>
      <c r="E1477" s="36" t="s">
        <v>8458</v>
      </c>
      <c r="F1477" s="16" t="s">
        <v>115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8287</v>
      </c>
      <c r="K1477" s="16"/>
      <c r="L1477" s="16"/>
      <c r="M1477" s="20">
        <v>150</v>
      </c>
      <c r="N1477" s="19" t="s">
        <v>8474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8171</v>
      </c>
      <c r="B1478" s="16" t="s">
        <v>8171</v>
      </c>
      <c r="C1478" s="16" t="s">
        <v>8342</v>
      </c>
      <c r="D1478" s="16" t="s">
        <v>21</v>
      </c>
      <c r="E1478" s="36" t="s">
        <v>8458</v>
      </c>
      <c r="F1478" s="16" t="s">
        <v>117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8287</v>
      </c>
      <c r="K1478" s="16"/>
      <c r="L1478" s="16"/>
      <c r="M1478" s="20">
        <v>160</v>
      </c>
      <c r="N1478" s="19" t="s">
        <v>8474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8172</v>
      </c>
      <c r="B1479" s="16" t="s">
        <v>8172</v>
      </c>
      <c r="C1479" s="16" t="s">
        <v>8343</v>
      </c>
      <c r="D1479" s="16" t="s">
        <v>21</v>
      </c>
      <c r="E1479" s="36" t="s">
        <v>8458</v>
      </c>
      <c r="F1479" s="16" t="s">
        <v>119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8287</v>
      </c>
      <c r="K1479" s="16"/>
      <c r="L1479" s="16"/>
      <c r="M1479" s="20">
        <v>180</v>
      </c>
      <c r="N1479" s="19" t="s">
        <v>8474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8173</v>
      </c>
      <c r="B1480" s="16" t="s">
        <v>8173</v>
      </c>
      <c r="C1480" s="16" t="s">
        <v>8344</v>
      </c>
      <c r="D1480" s="16" t="s">
        <v>21</v>
      </c>
      <c r="E1480" s="36" t="s">
        <v>8458</v>
      </c>
      <c r="F1480" s="16" t="s">
        <v>123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8287</v>
      </c>
      <c r="K1480" s="16"/>
      <c r="L1480" s="16"/>
      <c r="M1480" s="20">
        <v>200</v>
      </c>
      <c r="N1480" s="19" t="s">
        <v>8474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8174</v>
      </c>
      <c r="B1481" s="16" t="s">
        <v>8174</v>
      </c>
      <c r="C1481" s="16" t="s">
        <v>8345</v>
      </c>
      <c r="D1481" s="16" t="s">
        <v>21</v>
      </c>
      <c r="E1481" s="36" t="s">
        <v>8458</v>
      </c>
      <c r="F1481" s="16" t="s">
        <v>125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8287</v>
      </c>
      <c r="K1481" s="16"/>
      <c r="L1481" s="16"/>
      <c r="M1481" s="20">
        <v>220</v>
      </c>
      <c r="N1481" s="19" t="s">
        <v>8474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6"/>
      <c r="X1481" s="17"/>
      <c r="Y1481" s="16"/>
      <c r="Z1481" s="17"/>
      <c r="AA1481" s="16"/>
      <c r="AB1481" s="17"/>
    </row>
    <row r="1482" spans="1:28">
      <c r="A1482" s="16" t="s">
        <v>8175</v>
      </c>
      <c r="B1482" s="16" t="s">
        <v>8175</v>
      </c>
      <c r="C1482" s="16" t="s">
        <v>8346</v>
      </c>
      <c r="D1482" s="16" t="s">
        <v>21</v>
      </c>
      <c r="E1482" s="36" t="s">
        <v>8458</v>
      </c>
      <c r="F1482" s="16" t="s">
        <v>129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8287</v>
      </c>
      <c r="K1482" s="16"/>
      <c r="L1482" s="16"/>
      <c r="M1482" s="20">
        <v>240</v>
      </c>
      <c r="N1482" s="19" t="s">
        <v>8474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8176</v>
      </c>
      <c r="B1483" s="16" t="s">
        <v>8176</v>
      </c>
      <c r="C1483" s="16" t="s">
        <v>8347</v>
      </c>
      <c r="D1483" s="16" t="s">
        <v>21</v>
      </c>
      <c r="E1483" s="36" t="s">
        <v>8458</v>
      </c>
      <c r="F1483" s="16" t="s">
        <v>131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8287</v>
      </c>
      <c r="K1483" s="16"/>
      <c r="L1483" s="16"/>
      <c r="M1483" s="20">
        <v>270</v>
      </c>
      <c r="N1483" s="19" t="s">
        <v>8474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6"/>
      <c r="X1483" s="17"/>
      <c r="Y1483" s="16"/>
      <c r="Z1483" s="17"/>
      <c r="AA1483" s="16"/>
      <c r="AB1483" s="17"/>
    </row>
    <row r="1484" spans="1:28">
      <c r="A1484" s="16" t="s">
        <v>8177</v>
      </c>
      <c r="B1484" s="16" t="s">
        <v>8177</v>
      </c>
      <c r="C1484" s="16" t="s">
        <v>8348</v>
      </c>
      <c r="D1484" s="16" t="s">
        <v>21</v>
      </c>
      <c r="E1484" s="36" t="s">
        <v>8458</v>
      </c>
      <c r="F1484" s="16" t="s">
        <v>133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8287</v>
      </c>
      <c r="K1484" s="16"/>
      <c r="L1484" s="16"/>
      <c r="M1484" s="20">
        <v>300</v>
      </c>
      <c r="N1484" s="19" t="s">
        <v>8474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8178</v>
      </c>
      <c r="B1485" s="16" t="s">
        <v>8178</v>
      </c>
      <c r="C1485" s="16" t="s">
        <v>8349</v>
      </c>
      <c r="D1485" s="16" t="s">
        <v>21</v>
      </c>
      <c r="E1485" s="36" t="s">
        <v>8458</v>
      </c>
      <c r="F1485" s="16" t="s">
        <v>137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8287</v>
      </c>
      <c r="K1485" s="16"/>
      <c r="L1485" s="16"/>
      <c r="M1485" s="20">
        <v>330</v>
      </c>
      <c r="N1485" s="19" t="s">
        <v>8474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6"/>
      <c r="X1485" s="17"/>
      <c r="Y1485" s="16"/>
      <c r="Z1485" s="17"/>
      <c r="AA1485" s="16"/>
      <c r="AB1485" s="17"/>
    </row>
    <row r="1486" spans="1:28">
      <c r="A1486" s="16" t="s">
        <v>8179</v>
      </c>
      <c r="B1486" s="16" t="s">
        <v>8179</v>
      </c>
      <c r="C1486" s="16" t="s">
        <v>8350</v>
      </c>
      <c r="D1486" s="16" t="s">
        <v>21</v>
      </c>
      <c r="E1486" s="36" t="s">
        <v>8458</v>
      </c>
      <c r="F1486" s="16" t="s">
        <v>139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8287</v>
      </c>
      <c r="K1486" s="16"/>
      <c r="L1486" s="16"/>
      <c r="M1486" s="20">
        <v>360</v>
      </c>
      <c r="N1486" s="19" t="s">
        <v>8474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8180</v>
      </c>
      <c r="B1487" s="16" t="s">
        <v>8180</v>
      </c>
      <c r="C1487" s="16" t="s">
        <v>8351</v>
      </c>
      <c r="D1487" s="16" t="s">
        <v>21</v>
      </c>
      <c r="E1487" s="36" t="s">
        <v>8458</v>
      </c>
      <c r="F1487" s="16" t="s">
        <v>141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8287</v>
      </c>
      <c r="K1487" s="16"/>
      <c r="L1487" s="16"/>
      <c r="M1487" s="20">
        <v>390</v>
      </c>
      <c r="N1487" s="19" t="s">
        <v>8474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8181</v>
      </c>
      <c r="B1488" s="16" t="s">
        <v>8181</v>
      </c>
      <c r="C1488" s="16" t="s">
        <v>8352</v>
      </c>
      <c r="D1488" s="16" t="s">
        <v>21</v>
      </c>
      <c r="E1488" s="36" t="s">
        <v>8458</v>
      </c>
      <c r="F1488" s="16" t="s">
        <v>143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8287</v>
      </c>
      <c r="K1488" s="16"/>
      <c r="L1488" s="16"/>
      <c r="M1488" s="20">
        <v>430</v>
      </c>
      <c r="N1488" s="19" t="s">
        <v>8474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8182</v>
      </c>
      <c r="B1489" s="16" t="s">
        <v>8182</v>
      </c>
      <c r="C1489" s="16" t="s">
        <v>8353</v>
      </c>
      <c r="D1489" s="16" t="s">
        <v>21</v>
      </c>
      <c r="E1489" s="36" t="s">
        <v>8458</v>
      </c>
      <c r="F1489" s="16" t="s">
        <v>145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8287</v>
      </c>
      <c r="K1489" s="16"/>
      <c r="L1489" s="16"/>
      <c r="M1489" s="20">
        <v>470</v>
      </c>
      <c r="N1489" s="19" t="s">
        <v>8474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7"/>
      <c r="Z1489" s="17"/>
      <c r="AA1489" s="17"/>
      <c r="AB1489" s="17"/>
    </row>
    <row r="1490" spans="1:28">
      <c r="A1490" s="16" t="s">
        <v>8183</v>
      </c>
      <c r="B1490" s="16" t="s">
        <v>8183</v>
      </c>
      <c r="C1490" s="16" t="s">
        <v>8354</v>
      </c>
      <c r="D1490" s="16" t="s">
        <v>21</v>
      </c>
      <c r="E1490" s="36" t="s">
        <v>8458</v>
      </c>
      <c r="F1490" s="16" t="s">
        <v>149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8287</v>
      </c>
      <c r="K1490" s="16"/>
      <c r="L1490" s="16"/>
      <c r="M1490" s="20">
        <v>510</v>
      </c>
      <c r="N1490" s="19" t="s">
        <v>8474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8184</v>
      </c>
      <c r="B1491" s="16" t="s">
        <v>8184</v>
      </c>
      <c r="C1491" s="16" t="s">
        <v>8355</v>
      </c>
      <c r="D1491" s="16" t="s">
        <v>21</v>
      </c>
      <c r="E1491" s="36" t="s">
        <v>8458</v>
      </c>
      <c r="F1491" s="16" t="s">
        <v>151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8287</v>
      </c>
      <c r="K1491" s="16"/>
      <c r="L1491" s="16"/>
      <c r="M1491" s="20">
        <v>560</v>
      </c>
      <c r="N1491" s="19" t="s">
        <v>8474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8185</v>
      </c>
      <c r="B1492" s="16" t="s">
        <v>8185</v>
      </c>
      <c r="C1492" s="16" t="s">
        <v>8356</v>
      </c>
      <c r="D1492" s="16" t="s">
        <v>21</v>
      </c>
      <c r="E1492" s="36" t="s">
        <v>8458</v>
      </c>
      <c r="F1492" s="16" t="s">
        <v>153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8287</v>
      </c>
      <c r="K1492" s="16"/>
      <c r="L1492" s="16"/>
      <c r="M1492" s="20">
        <v>620</v>
      </c>
      <c r="N1492" s="19" t="s">
        <v>8474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8186</v>
      </c>
      <c r="B1493" s="16" t="s">
        <v>8186</v>
      </c>
      <c r="C1493" s="16" t="s">
        <v>8357</v>
      </c>
      <c r="D1493" s="16" t="s">
        <v>21</v>
      </c>
      <c r="E1493" s="36" t="s">
        <v>8458</v>
      </c>
      <c r="F1493" s="16" t="s">
        <v>155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8287</v>
      </c>
      <c r="K1493" s="16"/>
      <c r="L1493" s="16"/>
      <c r="M1493" s="20">
        <v>680</v>
      </c>
      <c r="N1493" s="19" t="s">
        <v>8474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8187</v>
      </c>
      <c r="B1494" s="16" t="s">
        <v>8187</v>
      </c>
      <c r="C1494" s="16" t="s">
        <v>8358</v>
      </c>
      <c r="D1494" s="16" t="s">
        <v>21</v>
      </c>
      <c r="E1494" s="36" t="s">
        <v>8458</v>
      </c>
      <c r="F1494" s="16" t="s">
        <v>157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8287</v>
      </c>
      <c r="K1494" s="16"/>
      <c r="L1494" s="16"/>
      <c r="M1494" s="20">
        <v>750</v>
      </c>
      <c r="N1494" s="19" t="s">
        <v>8474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8188</v>
      </c>
      <c r="B1495" s="16" t="s">
        <v>8188</v>
      </c>
      <c r="C1495" s="16" t="s">
        <v>8359</v>
      </c>
      <c r="D1495" s="16" t="s">
        <v>21</v>
      </c>
      <c r="E1495" s="36" t="s">
        <v>8458</v>
      </c>
      <c r="F1495" s="16" t="s">
        <v>159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8287</v>
      </c>
      <c r="K1495" s="16"/>
      <c r="L1495" s="16"/>
      <c r="M1495" s="20">
        <v>820</v>
      </c>
      <c r="N1495" s="19" t="s">
        <v>8474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8189</v>
      </c>
      <c r="B1496" s="16" t="s">
        <v>8189</v>
      </c>
      <c r="C1496" s="16" t="s">
        <v>8360</v>
      </c>
      <c r="D1496" s="16" t="s">
        <v>21</v>
      </c>
      <c r="E1496" s="36" t="s">
        <v>8458</v>
      </c>
      <c r="F1496" s="16" t="s">
        <v>161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8287</v>
      </c>
      <c r="K1496" s="16"/>
      <c r="L1496" s="16"/>
      <c r="M1496" s="20">
        <v>910</v>
      </c>
      <c r="N1496" s="19" t="s">
        <v>8474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8190</v>
      </c>
      <c r="B1497" s="16" t="s">
        <v>8190</v>
      </c>
      <c r="C1497" s="16" t="s">
        <v>8361</v>
      </c>
      <c r="D1497" s="16" t="s">
        <v>21</v>
      </c>
      <c r="E1497" s="36" t="s">
        <v>8458</v>
      </c>
      <c r="F1497" s="16" t="s">
        <v>163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8287</v>
      </c>
      <c r="K1497" s="16"/>
      <c r="L1497" s="16"/>
      <c r="M1497" s="20">
        <v>1000</v>
      </c>
      <c r="N1497" s="19" t="s">
        <v>8474</v>
      </c>
      <c r="O1497" s="16" t="s">
        <v>4414</v>
      </c>
      <c r="P1497" s="16" t="s">
        <v>8475</v>
      </c>
      <c r="Q1497" s="16" t="s">
        <v>25</v>
      </c>
      <c r="R1497" s="16" t="s">
        <v>10594</v>
      </c>
      <c r="S1497" s="16"/>
      <c r="T1497" s="16"/>
      <c r="U1497" s="16"/>
      <c r="V1497" s="16"/>
      <c r="W1497" s="17"/>
      <c r="X1497" s="17"/>
      <c r="Y1497" s="16"/>
      <c r="Z1497" s="17"/>
      <c r="AA1497" s="17"/>
      <c r="AB1497" s="17"/>
    </row>
    <row r="1498" spans="1:28">
      <c r="A1498" s="16" t="s">
        <v>8191</v>
      </c>
      <c r="B1498" s="16" t="s">
        <v>8191</v>
      </c>
      <c r="C1498" s="16" t="s">
        <v>8362</v>
      </c>
      <c r="D1498" s="16" t="s">
        <v>21</v>
      </c>
      <c r="E1498" s="36" t="s">
        <v>8458</v>
      </c>
      <c r="F1498" s="16" t="s">
        <v>165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8287</v>
      </c>
      <c r="K1498" s="16"/>
      <c r="L1498" s="16"/>
      <c r="M1498" s="20">
        <v>1100</v>
      </c>
      <c r="N1498" s="19" t="s">
        <v>8474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8192</v>
      </c>
      <c r="B1499" s="16" t="s">
        <v>8192</v>
      </c>
      <c r="C1499" s="16" t="s">
        <v>8363</v>
      </c>
      <c r="D1499" s="16" t="s">
        <v>21</v>
      </c>
      <c r="E1499" s="36" t="s">
        <v>8458</v>
      </c>
      <c r="F1499" s="16" t="s">
        <v>167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8287</v>
      </c>
      <c r="K1499" s="16"/>
      <c r="L1499" s="16"/>
      <c r="M1499" s="20">
        <v>1200</v>
      </c>
      <c r="N1499" s="19" t="s">
        <v>8474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8193</v>
      </c>
      <c r="B1500" s="16" t="s">
        <v>8193</v>
      </c>
      <c r="C1500" s="16" t="s">
        <v>8364</v>
      </c>
      <c r="D1500" s="16" t="s">
        <v>21</v>
      </c>
      <c r="E1500" s="36" t="s">
        <v>8458</v>
      </c>
      <c r="F1500" s="16" t="s">
        <v>169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8287</v>
      </c>
      <c r="K1500" s="16"/>
      <c r="L1500" s="16"/>
      <c r="M1500" s="20">
        <v>1300</v>
      </c>
      <c r="N1500" s="19" t="s">
        <v>8474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8194</v>
      </c>
      <c r="B1501" s="16" t="s">
        <v>8194</v>
      </c>
      <c r="C1501" s="16" t="s">
        <v>8365</v>
      </c>
      <c r="D1501" s="16" t="s">
        <v>21</v>
      </c>
      <c r="E1501" s="36" t="s">
        <v>8458</v>
      </c>
      <c r="F1501" s="16" t="s">
        <v>171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8287</v>
      </c>
      <c r="K1501" s="16"/>
      <c r="L1501" s="16"/>
      <c r="M1501" s="20">
        <v>1500</v>
      </c>
      <c r="N1501" s="19" t="s">
        <v>8474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6"/>
      <c r="X1501" s="17"/>
      <c r="Y1501" s="16"/>
      <c r="Z1501" s="17"/>
      <c r="AA1501" s="16"/>
      <c r="AB1501" s="17"/>
    </row>
    <row r="1502" spans="1:28">
      <c r="A1502" s="16" t="s">
        <v>8195</v>
      </c>
      <c r="B1502" s="16" t="s">
        <v>8195</v>
      </c>
      <c r="C1502" s="16" t="s">
        <v>8366</v>
      </c>
      <c r="D1502" s="16" t="s">
        <v>21</v>
      </c>
      <c r="E1502" s="36" t="s">
        <v>8458</v>
      </c>
      <c r="F1502" s="16" t="s">
        <v>175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8287</v>
      </c>
      <c r="K1502" s="16"/>
      <c r="L1502" s="16"/>
      <c r="M1502" s="20">
        <v>1600</v>
      </c>
      <c r="N1502" s="19" t="s">
        <v>8474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7"/>
      <c r="X1502" s="17"/>
      <c r="Y1502" s="17"/>
      <c r="Z1502" s="17"/>
      <c r="AA1502" s="17"/>
      <c r="AB1502" s="17"/>
    </row>
    <row r="1503" spans="1:28">
      <c r="A1503" s="16" t="s">
        <v>8196</v>
      </c>
      <c r="B1503" s="16" t="s">
        <v>8196</v>
      </c>
      <c r="C1503" s="16" t="s">
        <v>8367</v>
      </c>
      <c r="D1503" s="16" t="s">
        <v>21</v>
      </c>
      <c r="E1503" s="36" t="s">
        <v>8458</v>
      </c>
      <c r="F1503" s="16" t="s">
        <v>181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8287</v>
      </c>
      <c r="K1503" s="16"/>
      <c r="L1503" s="16"/>
      <c r="M1503" s="20">
        <v>1800</v>
      </c>
      <c r="N1503" s="19" t="s">
        <v>8474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8197</v>
      </c>
      <c r="B1504" s="16" t="s">
        <v>8197</v>
      </c>
      <c r="C1504" s="16" t="s">
        <v>8368</v>
      </c>
      <c r="D1504" s="16" t="s">
        <v>21</v>
      </c>
      <c r="E1504" s="36" t="s">
        <v>8458</v>
      </c>
      <c r="F1504" s="16" t="s">
        <v>183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8287</v>
      </c>
      <c r="K1504" s="16"/>
      <c r="L1504" s="16"/>
      <c r="M1504" s="20">
        <v>2000</v>
      </c>
      <c r="N1504" s="19" t="s">
        <v>8474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6"/>
      <c r="Z1504" s="17"/>
      <c r="AA1504" s="17"/>
      <c r="AB1504" s="17"/>
    </row>
    <row r="1505" spans="1:28">
      <c r="A1505" s="16" t="s">
        <v>8198</v>
      </c>
      <c r="B1505" s="16" t="s">
        <v>8198</v>
      </c>
      <c r="C1505" s="16" t="s">
        <v>8369</v>
      </c>
      <c r="D1505" s="16" t="s">
        <v>21</v>
      </c>
      <c r="E1505" s="36" t="s">
        <v>8458</v>
      </c>
      <c r="F1505" s="16" t="s">
        <v>187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8287</v>
      </c>
      <c r="K1505" s="16"/>
      <c r="L1505" s="16"/>
      <c r="M1505" s="20">
        <v>2200</v>
      </c>
      <c r="N1505" s="19" t="s">
        <v>8474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6"/>
      <c r="Y1505" s="16"/>
      <c r="AA1505" s="17"/>
      <c r="AB1505" s="17"/>
    </row>
    <row r="1506" spans="1:28">
      <c r="A1506" s="16" t="s">
        <v>8199</v>
      </c>
      <c r="B1506" s="16" t="s">
        <v>8199</v>
      </c>
      <c r="C1506" s="16" t="s">
        <v>8370</v>
      </c>
      <c r="D1506" s="16" t="s">
        <v>21</v>
      </c>
      <c r="E1506" s="36" t="s">
        <v>8458</v>
      </c>
      <c r="F1506" s="16" t="s">
        <v>191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8287</v>
      </c>
      <c r="K1506" s="16"/>
      <c r="L1506" s="16"/>
      <c r="M1506" s="20">
        <v>2400</v>
      </c>
      <c r="N1506" s="19" t="s">
        <v>8474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8200</v>
      </c>
      <c r="B1507" s="16" t="s">
        <v>8200</v>
      </c>
      <c r="C1507" s="16" t="s">
        <v>8371</v>
      </c>
      <c r="D1507" s="16" t="s">
        <v>21</v>
      </c>
      <c r="E1507" s="36" t="s">
        <v>8458</v>
      </c>
      <c r="F1507" s="16" t="s">
        <v>193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8287</v>
      </c>
      <c r="K1507" s="16"/>
      <c r="L1507" s="16"/>
      <c r="M1507" s="20">
        <v>2700</v>
      </c>
      <c r="N1507" s="19" t="s">
        <v>8474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8201</v>
      </c>
      <c r="B1508" s="16" t="s">
        <v>8201</v>
      </c>
      <c r="C1508" s="16" t="s">
        <v>8372</v>
      </c>
      <c r="D1508" s="16" t="s">
        <v>21</v>
      </c>
      <c r="E1508" s="36" t="s">
        <v>8458</v>
      </c>
      <c r="F1508" s="16" t="s">
        <v>197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8287</v>
      </c>
      <c r="K1508" s="16"/>
      <c r="L1508" s="16"/>
      <c r="M1508" s="20">
        <v>3000</v>
      </c>
      <c r="N1508" s="19" t="s">
        <v>8474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8202</v>
      </c>
      <c r="B1509" s="16" t="s">
        <v>8202</v>
      </c>
      <c r="C1509" s="16" t="s">
        <v>8373</v>
      </c>
      <c r="D1509" s="16" t="s">
        <v>21</v>
      </c>
      <c r="E1509" s="36" t="s">
        <v>8458</v>
      </c>
      <c r="F1509" s="16" t="s">
        <v>201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8287</v>
      </c>
      <c r="K1509" s="16"/>
      <c r="L1509" s="16"/>
      <c r="M1509" s="20">
        <v>3300</v>
      </c>
      <c r="N1509" s="19" t="s">
        <v>8474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8203</v>
      </c>
      <c r="B1510" s="16" t="s">
        <v>8203</v>
      </c>
      <c r="C1510" s="16" t="s">
        <v>8374</v>
      </c>
      <c r="D1510" s="16" t="s">
        <v>21</v>
      </c>
      <c r="E1510" s="36" t="s">
        <v>8458</v>
      </c>
      <c r="F1510" s="16" t="s">
        <v>203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8287</v>
      </c>
      <c r="K1510" s="16"/>
      <c r="L1510" s="16"/>
      <c r="M1510" s="20">
        <v>3600</v>
      </c>
      <c r="N1510" s="19" t="s">
        <v>8474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8204</v>
      </c>
      <c r="B1511" s="16" t="s">
        <v>8204</v>
      </c>
      <c r="C1511" s="16" t="s">
        <v>8375</v>
      </c>
      <c r="D1511" s="16" t="s">
        <v>21</v>
      </c>
      <c r="E1511" s="36" t="s">
        <v>8458</v>
      </c>
      <c r="F1511" s="16" t="s">
        <v>205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8287</v>
      </c>
      <c r="K1511" s="16"/>
      <c r="L1511" s="16"/>
      <c r="M1511" s="20">
        <v>3900</v>
      </c>
      <c r="N1511" s="19" t="s">
        <v>8474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8205</v>
      </c>
      <c r="B1512" s="16" t="s">
        <v>8205</v>
      </c>
      <c r="C1512" s="16" t="s">
        <v>8376</v>
      </c>
      <c r="D1512" s="16" t="s">
        <v>21</v>
      </c>
      <c r="E1512" s="36" t="s">
        <v>8458</v>
      </c>
      <c r="F1512" s="16" t="s">
        <v>207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8287</v>
      </c>
      <c r="K1512" s="16"/>
      <c r="L1512" s="16"/>
      <c r="M1512" s="20">
        <v>4300</v>
      </c>
      <c r="N1512" s="19" t="s">
        <v>8474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8206</v>
      </c>
      <c r="B1513" s="16" t="s">
        <v>8206</v>
      </c>
      <c r="C1513" s="16" t="s">
        <v>8377</v>
      </c>
      <c r="D1513" s="16" t="s">
        <v>21</v>
      </c>
      <c r="E1513" s="36" t="s">
        <v>8458</v>
      </c>
      <c r="F1513" s="16" t="s">
        <v>209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8287</v>
      </c>
      <c r="K1513" s="16"/>
      <c r="L1513" s="16"/>
      <c r="M1513" s="20">
        <v>4700</v>
      </c>
      <c r="N1513" s="19" t="s">
        <v>8474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6"/>
      <c r="X1513" s="17"/>
      <c r="Y1513" s="16"/>
      <c r="Z1513" s="17"/>
      <c r="AA1513" s="16"/>
      <c r="AB1513" s="17"/>
    </row>
    <row r="1514" spans="1:28">
      <c r="A1514" s="16" t="s">
        <v>8207</v>
      </c>
      <c r="B1514" s="16" t="s">
        <v>8207</v>
      </c>
      <c r="C1514" s="16" t="s">
        <v>8378</v>
      </c>
      <c r="D1514" s="16" t="s">
        <v>21</v>
      </c>
      <c r="E1514" s="36" t="s">
        <v>8458</v>
      </c>
      <c r="F1514" s="16" t="s">
        <v>213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8287</v>
      </c>
      <c r="K1514" s="16"/>
      <c r="L1514" s="16"/>
      <c r="M1514" s="20">
        <v>5100</v>
      </c>
      <c r="N1514" s="19" t="s">
        <v>8474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6"/>
      <c r="X1514" s="17"/>
      <c r="Y1514" s="16"/>
      <c r="Z1514" s="17"/>
      <c r="AA1514" s="16"/>
      <c r="AB1514" s="17"/>
    </row>
    <row r="1515" spans="1:28">
      <c r="A1515" s="16" t="s">
        <v>8208</v>
      </c>
      <c r="B1515" s="16" t="s">
        <v>8208</v>
      </c>
      <c r="C1515" s="16" t="s">
        <v>8379</v>
      </c>
      <c r="D1515" s="16" t="s">
        <v>21</v>
      </c>
      <c r="E1515" s="36" t="s">
        <v>8458</v>
      </c>
      <c r="F1515" s="16" t="s">
        <v>215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8287</v>
      </c>
      <c r="K1515" s="16"/>
      <c r="L1515" s="16"/>
      <c r="M1515" s="20">
        <v>5600</v>
      </c>
      <c r="N1515" s="19" t="s">
        <v>8474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8209</v>
      </c>
      <c r="B1516" s="16" t="s">
        <v>8209</v>
      </c>
      <c r="C1516" s="16" t="s">
        <v>8380</v>
      </c>
      <c r="D1516" s="16" t="s">
        <v>21</v>
      </c>
      <c r="E1516" s="36" t="s">
        <v>8458</v>
      </c>
      <c r="F1516" s="16" t="s">
        <v>217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8287</v>
      </c>
      <c r="K1516" s="16"/>
      <c r="L1516" s="16"/>
      <c r="M1516" s="20">
        <v>6200</v>
      </c>
      <c r="N1516" s="19" t="s">
        <v>8474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8210</v>
      </c>
      <c r="B1517" s="16" t="s">
        <v>8210</v>
      </c>
      <c r="C1517" s="16" t="s">
        <v>8381</v>
      </c>
      <c r="D1517" s="16" t="s">
        <v>21</v>
      </c>
      <c r="E1517" s="36" t="s">
        <v>8458</v>
      </c>
      <c r="F1517" s="16" t="s">
        <v>219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8287</v>
      </c>
      <c r="K1517" s="16"/>
      <c r="L1517" s="16"/>
      <c r="M1517" s="20">
        <v>6800</v>
      </c>
      <c r="N1517" s="19" t="s">
        <v>8474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8211</v>
      </c>
      <c r="B1518" s="16" t="s">
        <v>8211</v>
      </c>
      <c r="C1518" s="16" t="s">
        <v>8382</v>
      </c>
      <c r="D1518" s="16" t="s">
        <v>21</v>
      </c>
      <c r="E1518" s="36" t="s">
        <v>8458</v>
      </c>
      <c r="F1518" s="16" t="s">
        <v>221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8287</v>
      </c>
      <c r="K1518" s="16"/>
      <c r="L1518" s="16"/>
      <c r="M1518" s="20">
        <v>7500</v>
      </c>
      <c r="N1518" s="19" t="s">
        <v>8474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8212</v>
      </c>
      <c r="B1519" s="16" t="s">
        <v>8212</v>
      </c>
      <c r="C1519" s="16" t="s">
        <v>8383</v>
      </c>
      <c r="D1519" s="16" t="s">
        <v>21</v>
      </c>
      <c r="E1519" s="36" t="s">
        <v>8458</v>
      </c>
      <c r="F1519" s="16" t="s">
        <v>223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8287</v>
      </c>
      <c r="K1519" s="16"/>
      <c r="L1519" s="16"/>
      <c r="M1519" s="20">
        <v>8200</v>
      </c>
      <c r="N1519" s="19" t="s">
        <v>8474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8213</v>
      </c>
      <c r="B1520" s="16" t="s">
        <v>8213</v>
      </c>
      <c r="C1520" s="16" t="s">
        <v>8384</v>
      </c>
      <c r="D1520" s="16" t="s">
        <v>21</v>
      </c>
      <c r="E1520" s="36" t="s">
        <v>8458</v>
      </c>
      <c r="F1520" s="16" t="s">
        <v>225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8287</v>
      </c>
      <c r="K1520" s="16"/>
      <c r="L1520" s="16"/>
      <c r="M1520" s="20">
        <v>9100</v>
      </c>
      <c r="N1520" s="19" t="s">
        <v>8474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8214</v>
      </c>
      <c r="B1521" s="16" t="s">
        <v>8214</v>
      </c>
      <c r="C1521" s="16" t="s">
        <v>8385</v>
      </c>
      <c r="D1521" s="16" t="s">
        <v>21</v>
      </c>
      <c r="E1521" s="36" t="s">
        <v>8458</v>
      </c>
      <c r="F1521" s="16" t="s">
        <v>229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8287</v>
      </c>
      <c r="K1521" s="16"/>
      <c r="L1521" s="16"/>
      <c r="M1521" s="20">
        <v>10000</v>
      </c>
      <c r="N1521" s="19" t="s">
        <v>8474</v>
      </c>
      <c r="O1521" s="16" t="s">
        <v>4414</v>
      </c>
      <c r="P1521" s="16" t="s">
        <v>8459</v>
      </c>
      <c r="Q1521" s="16" t="s">
        <v>25</v>
      </c>
      <c r="R1521" s="16" t="s">
        <v>10594</v>
      </c>
      <c r="S1521" s="16" t="s">
        <v>4414</v>
      </c>
      <c r="T1521" s="16" t="s">
        <v>8459</v>
      </c>
      <c r="U1521" s="16" t="s">
        <v>8461</v>
      </c>
      <c r="V1521" s="16" t="s">
        <v>8462</v>
      </c>
      <c r="W1521" s="17"/>
      <c r="X1521" s="17"/>
      <c r="Y1521" s="16"/>
      <c r="Z1521" s="17"/>
      <c r="AA1521" s="17"/>
      <c r="AB1521" s="17"/>
    </row>
    <row r="1522" spans="1:28">
      <c r="A1522" s="16" t="s">
        <v>8215</v>
      </c>
      <c r="B1522" s="16" t="s">
        <v>8215</v>
      </c>
      <c r="C1522" s="16" t="s">
        <v>8386</v>
      </c>
      <c r="D1522" s="16" t="s">
        <v>21</v>
      </c>
      <c r="E1522" s="36" t="s">
        <v>8458</v>
      </c>
      <c r="F1522" s="16" t="s">
        <v>233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8287</v>
      </c>
      <c r="K1522" s="16"/>
      <c r="L1522" s="16"/>
      <c r="M1522" s="20">
        <v>11000</v>
      </c>
      <c r="N1522" s="19" t="s">
        <v>8474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8216</v>
      </c>
      <c r="B1523" s="16" t="s">
        <v>8216</v>
      </c>
      <c r="C1523" s="16" t="s">
        <v>8387</v>
      </c>
      <c r="D1523" s="16" t="s">
        <v>21</v>
      </c>
      <c r="E1523" s="36" t="s">
        <v>8458</v>
      </c>
      <c r="F1523" s="16" t="s">
        <v>235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8287</v>
      </c>
      <c r="K1523" s="16"/>
      <c r="L1523" s="16"/>
      <c r="M1523" s="20">
        <v>12000</v>
      </c>
      <c r="N1523" s="19" t="s">
        <v>8474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7"/>
      <c r="Z1523" s="17"/>
      <c r="AA1523" s="17"/>
      <c r="AB1523" s="17"/>
    </row>
    <row r="1524" spans="1:28">
      <c r="A1524" s="16" t="s">
        <v>8217</v>
      </c>
      <c r="B1524" s="16" t="s">
        <v>8217</v>
      </c>
      <c r="C1524" s="16" t="s">
        <v>8388</v>
      </c>
      <c r="D1524" s="16" t="s">
        <v>21</v>
      </c>
      <c r="E1524" s="36" t="s">
        <v>8458</v>
      </c>
      <c r="F1524" s="16" t="s">
        <v>239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8287</v>
      </c>
      <c r="K1524" s="16"/>
      <c r="L1524" s="16"/>
      <c r="M1524" s="20">
        <v>13000</v>
      </c>
      <c r="N1524" s="19" t="s">
        <v>8474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X1524" s="17"/>
      <c r="Y1524" s="16"/>
      <c r="Z1524" s="16"/>
      <c r="AA1524" s="16"/>
      <c r="AB1524" s="17"/>
    </row>
    <row r="1525" spans="1:28">
      <c r="A1525" s="16" t="s">
        <v>8218</v>
      </c>
      <c r="B1525" s="16" t="s">
        <v>8218</v>
      </c>
      <c r="C1525" s="16" t="s">
        <v>8389</v>
      </c>
      <c r="D1525" s="16" t="s">
        <v>21</v>
      </c>
      <c r="E1525" s="36" t="s">
        <v>8458</v>
      </c>
      <c r="F1525" s="16" t="s">
        <v>243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8287</v>
      </c>
      <c r="K1525" s="16"/>
      <c r="L1525" s="16"/>
      <c r="M1525" s="20">
        <v>15000</v>
      </c>
      <c r="N1525" s="19" t="s">
        <v>8474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6"/>
      <c r="Y1525" s="16"/>
      <c r="AA1525" s="16"/>
      <c r="AB1525" s="17"/>
    </row>
    <row r="1526" spans="1:28">
      <c r="A1526" s="16" t="s">
        <v>8219</v>
      </c>
      <c r="B1526" s="16" t="s">
        <v>8219</v>
      </c>
      <c r="C1526" s="16" t="s">
        <v>8390</v>
      </c>
      <c r="D1526" s="16" t="s">
        <v>21</v>
      </c>
      <c r="E1526" s="36" t="s">
        <v>8458</v>
      </c>
      <c r="F1526" s="16" t="s">
        <v>247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8287</v>
      </c>
      <c r="K1526" s="16"/>
      <c r="L1526" s="16"/>
      <c r="M1526" s="20">
        <v>16000</v>
      </c>
      <c r="N1526" s="19" t="s">
        <v>8474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8220</v>
      </c>
      <c r="B1527" s="16" t="s">
        <v>8220</v>
      </c>
      <c r="C1527" s="16" t="s">
        <v>8391</v>
      </c>
      <c r="D1527" s="16" t="s">
        <v>21</v>
      </c>
      <c r="E1527" s="36" t="s">
        <v>8458</v>
      </c>
      <c r="F1527" s="16" t="s">
        <v>251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8287</v>
      </c>
      <c r="K1527" s="16"/>
      <c r="L1527" s="16"/>
      <c r="M1527" s="20">
        <v>18000</v>
      </c>
      <c r="N1527" s="19" t="s">
        <v>8474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8221</v>
      </c>
      <c r="B1528" s="16" t="s">
        <v>8221</v>
      </c>
      <c r="C1528" s="16" t="s">
        <v>8392</v>
      </c>
      <c r="D1528" s="16" t="s">
        <v>21</v>
      </c>
      <c r="E1528" s="36" t="s">
        <v>8458</v>
      </c>
      <c r="F1528" s="16" t="s">
        <v>255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8287</v>
      </c>
      <c r="K1528" s="16"/>
      <c r="L1528" s="16"/>
      <c r="M1528" s="20">
        <v>20000</v>
      </c>
      <c r="N1528" s="19" t="s">
        <v>8474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8222</v>
      </c>
      <c r="B1529" s="16" t="s">
        <v>8222</v>
      </c>
      <c r="C1529" s="16" t="s">
        <v>8393</v>
      </c>
      <c r="D1529" s="16" t="s">
        <v>21</v>
      </c>
      <c r="E1529" s="36" t="s">
        <v>8458</v>
      </c>
      <c r="F1529" s="16" t="s">
        <v>257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8287</v>
      </c>
      <c r="K1529" s="16"/>
      <c r="L1529" s="16"/>
      <c r="M1529" s="20">
        <v>22000</v>
      </c>
      <c r="N1529" s="19" t="s">
        <v>8474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6"/>
      <c r="X1529" s="17"/>
      <c r="Y1529" s="16"/>
      <c r="Z1529" s="16"/>
      <c r="AA1529" s="16"/>
      <c r="AB1529" s="17"/>
    </row>
    <row r="1530" spans="1:28">
      <c r="A1530" s="16" t="s">
        <v>8223</v>
      </c>
      <c r="B1530" s="16" t="s">
        <v>8223</v>
      </c>
      <c r="C1530" s="16" t="s">
        <v>8394</v>
      </c>
      <c r="D1530" s="16" t="s">
        <v>21</v>
      </c>
      <c r="E1530" s="36" t="s">
        <v>8458</v>
      </c>
      <c r="F1530" s="16" t="s">
        <v>259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8287</v>
      </c>
      <c r="K1530" s="16"/>
      <c r="L1530" s="16"/>
      <c r="M1530" s="20">
        <v>24000</v>
      </c>
      <c r="N1530" s="19" t="s">
        <v>8474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8224</v>
      </c>
      <c r="B1531" s="16" t="s">
        <v>8224</v>
      </c>
      <c r="C1531" s="16" t="s">
        <v>8395</v>
      </c>
      <c r="D1531" s="16" t="s">
        <v>21</v>
      </c>
      <c r="E1531" s="36" t="s">
        <v>8458</v>
      </c>
      <c r="F1531" s="16" t="s">
        <v>263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8287</v>
      </c>
      <c r="K1531" s="16"/>
      <c r="L1531" s="16"/>
      <c r="M1531" s="20">
        <v>27000</v>
      </c>
      <c r="N1531" s="19" t="s">
        <v>8474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6"/>
      <c r="Y1531" s="16"/>
      <c r="AA1531" s="17"/>
      <c r="AB1531" s="17"/>
    </row>
    <row r="1532" spans="1:28">
      <c r="A1532" s="16" t="s">
        <v>8225</v>
      </c>
      <c r="B1532" s="16" t="s">
        <v>8225</v>
      </c>
      <c r="C1532" s="16" t="s">
        <v>8396</v>
      </c>
      <c r="D1532" s="16" t="s">
        <v>21</v>
      </c>
      <c r="E1532" s="36" t="s">
        <v>8458</v>
      </c>
      <c r="F1532" s="16" t="s">
        <v>265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8287</v>
      </c>
      <c r="K1532" s="16"/>
      <c r="L1532" s="16"/>
      <c r="M1532" s="20">
        <v>30000</v>
      </c>
      <c r="N1532" s="19" t="s">
        <v>8474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7"/>
      <c r="X1532" s="17"/>
      <c r="Y1532" s="17"/>
      <c r="Z1532" s="17"/>
      <c r="AA1532" s="17"/>
      <c r="AB1532" s="17"/>
    </row>
    <row r="1533" spans="1:28">
      <c r="A1533" s="16" t="s">
        <v>8226</v>
      </c>
      <c r="B1533" s="16" t="s">
        <v>8226</v>
      </c>
      <c r="C1533" s="16" t="s">
        <v>8397</v>
      </c>
      <c r="D1533" s="16" t="s">
        <v>21</v>
      </c>
      <c r="E1533" s="36" t="s">
        <v>8458</v>
      </c>
      <c r="F1533" s="16" t="s">
        <v>267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8287</v>
      </c>
      <c r="K1533" s="16"/>
      <c r="L1533" s="16"/>
      <c r="M1533" s="20">
        <v>33000</v>
      </c>
      <c r="N1533" s="19" t="s">
        <v>8474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8227</v>
      </c>
      <c r="B1534" s="16" t="s">
        <v>8227</v>
      </c>
      <c r="C1534" s="16" t="s">
        <v>8398</v>
      </c>
      <c r="D1534" s="16" t="s">
        <v>21</v>
      </c>
      <c r="E1534" s="36" t="s">
        <v>8458</v>
      </c>
      <c r="F1534" s="16" t="s">
        <v>269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8287</v>
      </c>
      <c r="K1534" s="16"/>
      <c r="L1534" s="16"/>
      <c r="M1534" s="20">
        <v>36000</v>
      </c>
      <c r="N1534" s="19" t="s">
        <v>8474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8228</v>
      </c>
      <c r="B1535" s="16" t="s">
        <v>8228</v>
      </c>
      <c r="C1535" s="16" t="s">
        <v>8399</v>
      </c>
      <c r="D1535" s="16" t="s">
        <v>21</v>
      </c>
      <c r="E1535" s="36" t="s">
        <v>8458</v>
      </c>
      <c r="F1535" s="16" t="s">
        <v>273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8287</v>
      </c>
      <c r="K1535" s="16"/>
      <c r="L1535" s="16"/>
      <c r="M1535" s="20">
        <v>39000</v>
      </c>
      <c r="N1535" s="19" t="s">
        <v>8474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8229</v>
      </c>
      <c r="B1536" s="16" t="s">
        <v>8229</v>
      </c>
      <c r="C1536" s="16" t="s">
        <v>8400</v>
      </c>
      <c r="D1536" s="16" t="s">
        <v>21</v>
      </c>
      <c r="E1536" s="36" t="s">
        <v>8458</v>
      </c>
      <c r="F1536" s="16" t="s">
        <v>277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8287</v>
      </c>
      <c r="K1536" s="16"/>
      <c r="L1536" s="16"/>
      <c r="M1536" s="20">
        <v>43000</v>
      </c>
      <c r="N1536" s="19" t="s">
        <v>8474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8230</v>
      </c>
      <c r="B1537" s="16" t="s">
        <v>8230</v>
      </c>
      <c r="C1537" s="16" t="s">
        <v>8401</v>
      </c>
      <c r="D1537" s="16" t="s">
        <v>21</v>
      </c>
      <c r="E1537" s="36" t="s">
        <v>8458</v>
      </c>
      <c r="F1537" s="16" t="s">
        <v>279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8287</v>
      </c>
      <c r="K1537" s="16"/>
      <c r="L1537" s="16"/>
      <c r="M1537" s="20">
        <v>47000</v>
      </c>
      <c r="N1537" s="19" t="s">
        <v>8474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6"/>
      <c r="X1537" s="17"/>
      <c r="Y1537" s="16"/>
      <c r="Z1537" s="17"/>
      <c r="AA1537" s="16"/>
      <c r="AB1537" s="17"/>
    </row>
    <row r="1538" spans="1:28">
      <c r="A1538" s="16" t="s">
        <v>8231</v>
      </c>
      <c r="B1538" s="16" t="s">
        <v>8231</v>
      </c>
      <c r="C1538" s="16" t="s">
        <v>8402</v>
      </c>
      <c r="D1538" s="16" t="s">
        <v>21</v>
      </c>
      <c r="E1538" s="36" t="s">
        <v>8458</v>
      </c>
      <c r="F1538" s="16" t="s">
        <v>283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8287</v>
      </c>
      <c r="K1538" s="16"/>
      <c r="L1538" s="16"/>
      <c r="M1538" s="20">
        <v>51000</v>
      </c>
      <c r="N1538" s="19" t="s">
        <v>8474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6"/>
      <c r="X1538" s="17"/>
      <c r="Y1538" s="16"/>
      <c r="Z1538" s="25"/>
      <c r="AA1538" s="16"/>
      <c r="AB1538" s="17"/>
    </row>
    <row r="1539" spans="1:28">
      <c r="A1539" s="16" t="s">
        <v>8232</v>
      </c>
      <c r="B1539" s="16" t="s">
        <v>8232</v>
      </c>
      <c r="C1539" s="16" t="s">
        <v>8403</v>
      </c>
      <c r="D1539" s="16" t="s">
        <v>21</v>
      </c>
      <c r="E1539" s="36" t="s">
        <v>8458</v>
      </c>
      <c r="F1539" s="16" t="s">
        <v>287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8287</v>
      </c>
      <c r="K1539" s="16"/>
      <c r="L1539" s="16"/>
      <c r="M1539" s="20">
        <v>56000</v>
      </c>
      <c r="N1539" s="19" t="s">
        <v>8474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8233</v>
      </c>
      <c r="B1540" s="16" t="s">
        <v>8233</v>
      </c>
      <c r="C1540" s="16" t="s">
        <v>8404</v>
      </c>
      <c r="D1540" s="16" t="s">
        <v>21</v>
      </c>
      <c r="E1540" s="36" t="s">
        <v>8458</v>
      </c>
      <c r="F1540" s="16" t="s">
        <v>291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8287</v>
      </c>
      <c r="K1540" s="16"/>
      <c r="L1540" s="16"/>
      <c r="M1540" s="20">
        <v>62000</v>
      </c>
      <c r="N1540" s="19" t="s">
        <v>8474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8234</v>
      </c>
      <c r="B1541" s="16" t="s">
        <v>8234</v>
      </c>
      <c r="C1541" s="16" t="s">
        <v>8405</v>
      </c>
      <c r="D1541" s="16" t="s">
        <v>21</v>
      </c>
      <c r="E1541" s="36" t="s">
        <v>8458</v>
      </c>
      <c r="F1541" s="16" t="s">
        <v>295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8287</v>
      </c>
      <c r="K1541" s="16"/>
      <c r="L1541" s="16"/>
      <c r="M1541" s="20">
        <v>68000</v>
      </c>
      <c r="N1541" s="19" t="s">
        <v>8474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6"/>
      <c r="Y1541" s="16"/>
      <c r="AA1541" s="16"/>
      <c r="AB1541" s="17"/>
    </row>
    <row r="1542" spans="1:28">
      <c r="A1542" s="16" t="s">
        <v>8235</v>
      </c>
      <c r="B1542" s="16" t="s">
        <v>8235</v>
      </c>
      <c r="C1542" s="16" t="s">
        <v>8406</v>
      </c>
      <c r="D1542" s="16" t="s">
        <v>21</v>
      </c>
      <c r="E1542" s="36" t="s">
        <v>8458</v>
      </c>
      <c r="F1542" s="16" t="s">
        <v>299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8287</v>
      </c>
      <c r="K1542" s="16"/>
      <c r="L1542" s="16"/>
      <c r="M1542" s="20">
        <v>75000</v>
      </c>
      <c r="N1542" s="19" t="s">
        <v>8474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Y1542" s="16"/>
      <c r="AA1542" s="16"/>
      <c r="AB1542" s="17"/>
    </row>
    <row r="1543" spans="1:28">
      <c r="A1543" s="16" t="s">
        <v>8236</v>
      </c>
      <c r="B1543" s="16" t="s">
        <v>8236</v>
      </c>
      <c r="C1543" s="16" t="s">
        <v>8407</v>
      </c>
      <c r="D1543" s="16" t="s">
        <v>21</v>
      </c>
      <c r="E1543" s="36" t="s">
        <v>8458</v>
      </c>
      <c r="F1543" s="16" t="s">
        <v>301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8287</v>
      </c>
      <c r="K1543" s="16"/>
      <c r="L1543" s="16"/>
      <c r="M1543" s="20">
        <v>82000</v>
      </c>
      <c r="N1543" s="19" t="s">
        <v>8474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7"/>
      <c r="X1543" s="17"/>
      <c r="Y1543" s="17"/>
      <c r="Z1543" s="17"/>
      <c r="AA1543" s="17"/>
      <c r="AB1543" s="17"/>
    </row>
    <row r="1544" spans="1:28">
      <c r="A1544" s="16" t="s">
        <v>8237</v>
      </c>
      <c r="B1544" s="16" t="s">
        <v>8237</v>
      </c>
      <c r="C1544" s="16" t="s">
        <v>8408</v>
      </c>
      <c r="D1544" s="16" t="s">
        <v>21</v>
      </c>
      <c r="E1544" s="36" t="s">
        <v>8458</v>
      </c>
      <c r="F1544" s="16" t="s">
        <v>303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8287</v>
      </c>
      <c r="K1544" s="16"/>
      <c r="L1544" s="16"/>
      <c r="M1544" s="20">
        <v>91000</v>
      </c>
      <c r="N1544" s="19" t="s">
        <v>8474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8238</v>
      </c>
      <c r="B1545" s="16" t="s">
        <v>8238</v>
      </c>
      <c r="C1545" s="16" t="s">
        <v>8409</v>
      </c>
      <c r="D1545" s="16" t="s">
        <v>21</v>
      </c>
      <c r="E1545" s="36" t="s">
        <v>8458</v>
      </c>
      <c r="F1545" s="16" t="s">
        <v>305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8287</v>
      </c>
      <c r="K1545" s="16"/>
      <c r="L1545" s="16"/>
      <c r="M1545" s="20">
        <v>100000</v>
      </c>
      <c r="N1545" s="19" t="s">
        <v>8474</v>
      </c>
      <c r="O1545" s="16" t="s">
        <v>4414</v>
      </c>
      <c r="P1545" s="16" t="s">
        <v>8460</v>
      </c>
      <c r="Q1545" s="16" t="s">
        <v>25</v>
      </c>
      <c r="R1545" t="s">
        <v>10594</v>
      </c>
      <c r="S1545" s="16" t="s">
        <v>4414</v>
      </c>
      <c r="T1545" s="16" t="s">
        <v>8460</v>
      </c>
      <c r="U1545" s="16" t="s">
        <v>8461</v>
      </c>
      <c r="V1545" s="16" t="s">
        <v>8462</v>
      </c>
      <c r="W1545" s="16"/>
      <c r="X1545" s="17"/>
      <c r="Y1545" s="16"/>
      <c r="Z1545" s="17"/>
      <c r="AA1545" s="16"/>
      <c r="AB1545" s="17"/>
    </row>
    <row r="1546" spans="1:28">
      <c r="A1546" s="16" t="s">
        <v>8239</v>
      </c>
      <c r="B1546" s="16" t="s">
        <v>8239</v>
      </c>
      <c r="C1546" s="16" t="s">
        <v>8410</v>
      </c>
      <c r="D1546" s="16" t="s">
        <v>21</v>
      </c>
      <c r="E1546" s="36" t="s">
        <v>8458</v>
      </c>
      <c r="F1546" s="16" t="s">
        <v>309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8287</v>
      </c>
      <c r="K1546" s="16"/>
      <c r="L1546" s="16"/>
      <c r="M1546" s="20">
        <v>110000</v>
      </c>
      <c r="N1546" s="19" t="s">
        <v>8474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8240</v>
      </c>
      <c r="B1547" s="16" t="s">
        <v>8240</v>
      </c>
      <c r="C1547" s="16" t="s">
        <v>8411</v>
      </c>
      <c r="D1547" s="16" t="s">
        <v>21</v>
      </c>
      <c r="E1547" s="36" t="s">
        <v>8458</v>
      </c>
      <c r="F1547" s="16" t="s">
        <v>313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8287</v>
      </c>
      <c r="K1547" s="16"/>
      <c r="L1547" s="16"/>
      <c r="M1547" s="20">
        <v>120000</v>
      </c>
      <c r="N1547" s="19" t="s">
        <v>8474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8241</v>
      </c>
      <c r="B1548" s="16" t="s">
        <v>8241</v>
      </c>
      <c r="C1548" s="16" t="s">
        <v>8412</v>
      </c>
      <c r="D1548" s="16" t="s">
        <v>21</v>
      </c>
      <c r="E1548" s="36" t="s">
        <v>8458</v>
      </c>
      <c r="F1548" s="16" t="s">
        <v>317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8287</v>
      </c>
      <c r="K1548" s="16"/>
      <c r="L1548" s="16"/>
      <c r="M1548" s="20">
        <v>130000</v>
      </c>
      <c r="N1548" s="19" t="s">
        <v>8474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8242</v>
      </c>
      <c r="B1549" s="16" t="s">
        <v>8242</v>
      </c>
      <c r="C1549" s="16" t="s">
        <v>8413</v>
      </c>
      <c r="D1549" s="16" t="s">
        <v>21</v>
      </c>
      <c r="E1549" s="36" t="s">
        <v>8458</v>
      </c>
      <c r="F1549" s="16" t="s">
        <v>321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8287</v>
      </c>
      <c r="K1549" s="16"/>
      <c r="L1549" s="16"/>
      <c r="M1549" s="20">
        <v>150000</v>
      </c>
      <c r="N1549" s="19" t="s">
        <v>8474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6"/>
      <c r="X1549" s="17"/>
      <c r="Y1549" s="16"/>
      <c r="Z1549" s="17"/>
      <c r="AA1549" s="16"/>
      <c r="AB1549" s="17"/>
    </row>
    <row r="1550" spans="1:28">
      <c r="A1550" s="16" t="s">
        <v>8243</v>
      </c>
      <c r="B1550" s="16" t="s">
        <v>8243</v>
      </c>
      <c r="C1550" s="16" t="s">
        <v>8414</v>
      </c>
      <c r="D1550" s="16" t="s">
        <v>21</v>
      </c>
      <c r="E1550" s="36" t="s">
        <v>8458</v>
      </c>
      <c r="F1550" s="16" t="s">
        <v>323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8287</v>
      </c>
      <c r="K1550" s="16"/>
      <c r="L1550" s="16"/>
      <c r="M1550" s="20">
        <v>160000</v>
      </c>
      <c r="N1550" s="19" t="s">
        <v>8474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7"/>
      <c r="X1550" s="17"/>
      <c r="Y1550" s="17"/>
      <c r="Z1550" s="17"/>
      <c r="AA1550" s="17"/>
      <c r="AB1550" s="17"/>
    </row>
    <row r="1551" spans="1:28">
      <c r="A1551" s="16" t="s">
        <v>8244</v>
      </c>
      <c r="B1551" s="16" t="s">
        <v>8244</v>
      </c>
      <c r="C1551" s="16" t="s">
        <v>8415</v>
      </c>
      <c r="D1551" s="16" t="s">
        <v>21</v>
      </c>
      <c r="E1551" s="36" t="s">
        <v>8458</v>
      </c>
      <c r="F1551" s="16" t="s">
        <v>327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8287</v>
      </c>
      <c r="K1551" s="16"/>
      <c r="L1551" s="16"/>
      <c r="M1551" s="20">
        <v>180000</v>
      </c>
      <c r="N1551" s="19" t="s">
        <v>8474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8245</v>
      </c>
      <c r="B1552" s="16" t="s">
        <v>8245</v>
      </c>
      <c r="C1552" s="16" t="s">
        <v>8416</v>
      </c>
      <c r="D1552" s="16" t="s">
        <v>21</v>
      </c>
      <c r="E1552" s="36" t="s">
        <v>8458</v>
      </c>
      <c r="F1552" s="16" t="s">
        <v>331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8287</v>
      </c>
      <c r="K1552" s="16"/>
      <c r="L1552" s="16"/>
      <c r="M1552" s="20">
        <v>200000</v>
      </c>
      <c r="N1552" s="19" t="s">
        <v>8474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8246</v>
      </c>
      <c r="B1553" s="16" t="s">
        <v>8246</v>
      </c>
      <c r="C1553" s="16" t="s">
        <v>8417</v>
      </c>
      <c r="D1553" s="16" t="s">
        <v>21</v>
      </c>
      <c r="E1553" s="36" t="s">
        <v>8458</v>
      </c>
      <c r="F1553" s="16" t="s">
        <v>333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8287</v>
      </c>
      <c r="K1553" s="16"/>
      <c r="L1553" s="16"/>
      <c r="M1553" s="20">
        <v>220000</v>
      </c>
      <c r="N1553" s="19" t="s">
        <v>8474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6"/>
      <c r="X1553" s="17"/>
      <c r="Y1553" s="16"/>
      <c r="Z1553" s="16"/>
      <c r="AA1553" s="16"/>
      <c r="AB1553" s="17"/>
    </row>
    <row r="1554" spans="1:28">
      <c r="A1554" s="16" t="s">
        <v>8247</v>
      </c>
      <c r="B1554" s="16" t="s">
        <v>8247</v>
      </c>
      <c r="C1554" s="16" t="s">
        <v>8418</v>
      </c>
      <c r="D1554" s="16" t="s">
        <v>21</v>
      </c>
      <c r="E1554" s="36" t="s">
        <v>8458</v>
      </c>
      <c r="F1554" s="16" t="s">
        <v>335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8287</v>
      </c>
      <c r="K1554" s="16"/>
      <c r="L1554" s="16"/>
      <c r="M1554" s="20">
        <v>240000</v>
      </c>
      <c r="N1554" s="19" t="s">
        <v>8474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8248</v>
      </c>
      <c r="B1555" s="16" t="s">
        <v>8248</v>
      </c>
      <c r="C1555" s="16" t="s">
        <v>8419</v>
      </c>
      <c r="D1555" s="16" t="s">
        <v>21</v>
      </c>
      <c r="E1555" s="36" t="s">
        <v>8458</v>
      </c>
      <c r="F1555" s="16" t="s">
        <v>337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8287</v>
      </c>
      <c r="K1555" s="16"/>
      <c r="L1555" s="16"/>
      <c r="M1555" s="20">
        <v>270000</v>
      </c>
      <c r="N1555" s="19" t="s">
        <v>8474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8249</v>
      </c>
      <c r="B1556" s="16" t="s">
        <v>8249</v>
      </c>
      <c r="C1556" s="16" t="s">
        <v>8420</v>
      </c>
      <c r="D1556" s="16" t="s">
        <v>21</v>
      </c>
      <c r="E1556" s="36" t="s">
        <v>8458</v>
      </c>
      <c r="F1556" s="16" t="s">
        <v>339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8287</v>
      </c>
      <c r="K1556" s="16"/>
      <c r="L1556" s="16"/>
      <c r="M1556" s="20">
        <v>300000</v>
      </c>
      <c r="N1556" s="19" t="s">
        <v>8474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AA1556" s="16"/>
      <c r="AB1556" s="17"/>
    </row>
    <row r="1557" spans="1:28">
      <c r="A1557" s="16" t="s">
        <v>8250</v>
      </c>
      <c r="B1557" s="16" t="s">
        <v>8250</v>
      </c>
      <c r="C1557" s="16" t="s">
        <v>8421</v>
      </c>
      <c r="D1557" s="16" t="s">
        <v>21</v>
      </c>
      <c r="E1557" s="36" t="s">
        <v>8458</v>
      </c>
      <c r="F1557" s="16" t="s">
        <v>341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8287</v>
      </c>
      <c r="K1557" s="16"/>
      <c r="L1557" s="16"/>
      <c r="M1557" s="20">
        <v>330000</v>
      </c>
      <c r="N1557" s="19" t="s">
        <v>8474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Y1557" s="16"/>
      <c r="Z1557" s="16"/>
      <c r="AA1557" s="16"/>
      <c r="AB1557" s="17"/>
    </row>
    <row r="1558" spans="1:28">
      <c r="A1558" s="16" t="s">
        <v>8251</v>
      </c>
      <c r="B1558" s="16" t="s">
        <v>8251</v>
      </c>
      <c r="C1558" s="16" t="s">
        <v>8422</v>
      </c>
      <c r="D1558" s="16" t="s">
        <v>21</v>
      </c>
      <c r="E1558" s="36" t="s">
        <v>8458</v>
      </c>
      <c r="F1558" s="16" t="s">
        <v>345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8287</v>
      </c>
      <c r="K1558" s="16"/>
      <c r="L1558" s="16"/>
      <c r="M1558" s="20">
        <v>360000</v>
      </c>
      <c r="N1558" s="19" t="s">
        <v>8474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8252</v>
      </c>
      <c r="B1559" s="16" t="s">
        <v>8252</v>
      </c>
      <c r="C1559" s="16" t="s">
        <v>8423</v>
      </c>
      <c r="D1559" s="16" t="s">
        <v>21</v>
      </c>
      <c r="E1559" s="36" t="s">
        <v>8458</v>
      </c>
      <c r="F1559" s="16" t="s">
        <v>349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8287</v>
      </c>
      <c r="K1559" s="16"/>
      <c r="L1559" s="16"/>
      <c r="M1559" s="20">
        <v>390000</v>
      </c>
      <c r="N1559" s="19" t="s">
        <v>8474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6"/>
      <c r="Y1559" s="16"/>
      <c r="AA1559" s="16"/>
      <c r="AB1559" s="17"/>
    </row>
    <row r="1560" spans="1:28">
      <c r="A1560" s="16" t="s">
        <v>8253</v>
      </c>
      <c r="B1560" s="16" t="s">
        <v>8253</v>
      </c>
      <c r="C1560" s="16" t="s">
        <v>8424</v>
      </c>
      <c r="D1560" s="16" t="s">
        <v>21</v>
      </c>
      <c r="E1560" s="36" t="s">
        <v>8458</v>
      </c>
      <c r="F1560" s="16" t="s">
        <v>351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8287</v>
      </c>
      <c r="K1560" s="16"/>
      <c r="L1560" s="16"/>
      <c r="M1560" s="20">
        <v>430000</v>
      </c>
      <c r="N1560" s="19" t="s">
        <v>8474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7"/>
      <c r="X1560" s="17"/>
      <c r="Y1560" s="17"/>
      <c r="Z1560" s="17"/>
      <c r="AA1560" s="17"/>
      <c r="AB1560" s="17"/>
    </row>
    <row r="1561" spans="1:28">
      <c r="A1561" s="16" t="s">
        <v>8254</v>
      </c>
      <c r="B1561" s="16" t="s">
        <v>8254</v>
      </c>
      <c r="C1561" s="16" t="s">
        <v>8425</v>
      </c>
      <c r="D1561" s="16" t="s">
        <v>21</v>
      </c>
      <c r="E1561" s="36" t="s">
        <v>8458</v>
      </c>
      <c r="F1561" s="16" t="s">
        <v>353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8287</v>
      </c>
      <c r="K1561" s="16"/>
      <c r="L1561" s="16"/>
      <c r="M1561" s="20">
        <v>470000</v>
      </c>
      <c r="N1561" s="19" t="s">
        <v>8474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8255</v>
      </c>
      <c r="B1562" s="16" t="s">
        <v>8255</v>
      </c>
      <c r="C1562" s="16" t="s">
        <v>8426</v>
      </c>
      <c r="D1562" s="16" t="s">
        <v>21</v>
      </c>
      <c r="E1562" s="36" t="s">
        <v>8458</v>
      </c>
      <c r="F1562" s="16" t="s">
        <v>355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8287</v>
      </c>
      <c r="K1562" s="16"/>
      <c r="L1562" s="16"/>
      <c r="M1562" s="20">
        <v>510000</v>
      </c>
      <c r="N1562" s="19" t="s">
        <v>8474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8256</v>
      </c>
      <c r="B1563" s="16" t="s">
        <v>8256</v>
      </c>
      <c r="C1563" s="16" t="s">
        <v>8427</v>
      </c>
      <c r="D1563" s="16" t="s">
        <v>21</v>
      </c>
      <c r="E1563" s="36" t="s">
        <v>8458</v>
      </c>
      <c r="F1563" s="16" t="s">
        <v>357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8287</v>
      </c>
      <c r="K1563" s="16"/>
      <c r="L1563" s="16"/>
      <c r="M1563" s="20">
        <v>560000</v>
      </c>
      <c r="N1563" s="19" t="s">
        <v>8474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8257</v>
      </c>
      <c r="B1564" s="16" t="s">
        <v>8257</v>
      </c>
      <c r="C1564" s="16" t="s">
        <v>8428</v>
      </c>
      <c r="D1564" s="16" t="s">
        <v>21</v>
      </c>
      <c r="E1564" s="36" t="s">
        <v>8458</v>
      </c>
      <c r="F1564" s="16" t="s">
        <v>359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8287</v>
      </c>
      <c r="K1564" s="16"/>
      <c r="L1564" s="16"/>
      <c r="M1564" s="20">
        <v>620000</v>
      </c>
      <c r="N1564" s="19" t="s">
        <v>8474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8258</v>
      </c>
      <c r="B1565" s="16" t="s">
        <v>8258</v>
      </c>
      <c r="C1565" s="16" t="s">
        <v>8429</v>
      </c>
      <c r="D1565" s="16" t="s">
        <v>21</v>
      </c>
      <c r="E1565" s="36" t="s">
        <v>8458</v>
      </c>
      <c r="F1565" s="16" t="s">
        <v>361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8287</v>
      </c>
      <c r="K1565" s="16"/>
      <c r="L1565" s="16"/>
      <c r="M1565" s="20">
        <v>680000</v>
      </c>
      <c r="N1565" s="19" t="s">
        <v>8474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8259</v>
      </c>
      <c r="B1566" s="16" t="s">
        <v>8259</v>
      </c>
      <c r="C1566" s="16" t="s">
        <v>8430</v>
      </c>
      <c r="D1566" s="16" t="s">
        <v>21</v>
      </c>
      <c r="E1566" s="36" t="s">
        <v>8458</v>
      </c>
      <c r="F1566" s="16" t="s">
        <v>363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8287</v>
      </c>
      <c r="K1566" s="16"/>
      <c r="L1566" s="16"/>
      <c r="M1566" s="20">
        <v>750000</v>
      </c>
      <c r="N1566" s="19" t="s">
        <v>8474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8260</v>
      </c>
      <c r="B1567" s="16" t="s">
        <v>8260</v>
      </c>
      <c r="C1567" s="16" t="s">
        <v>8431</v>
      </c>
      <c r="D1567" s="16" t="s">
        <v>21</v>
      </c>
      <c r="E1567" s="36" t="s">
        <v>8458</v>
      </c>
      <c r="F1567" s="16" t="s">
        <v>365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8287</v>
      </c>
      <c r="K1567" s="16"/>
      <c r="L1567" s="16"/>
      <c r="M1567" s="20">
        <v>820000</v>
      </c>
      <c r="N1567" s="19" t="s">
        <v>8474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8261</v>
      </c>
      <c r="B1568" s="16" t="s">
        <v>8261</v>
      </c>
      <c r="C1568" s="16" t="s">
        <v>8432</v>
      </c>
      <c r="D1568" s="16" t="s">
        <v>21</v>
      </c>
      <c r="E1568" s="36" t="s">
        <v>8458</v>
      </c>
      <c r="F1568" s="16" t="s">
        <v>367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8287</v>
      </c>
      <c r="K1568" s="16"/>
      <c r="L1568" s="16"/>
      <c r="M1568" s="20">
        <v>910000</v>
      </c>
      <c r="N1568" s="19" t="s">
        <v>8474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8262</v>
      </c>
      <c r="B1569" s="16" t="s">
        <v>8262</v>
      </c>
      <c r="C1569" s="16" t="s">
        <v>8433</v>
      </c>
      <c r="D1569" s="16" t="s">
        <v>21</v>
      </c>
      <c r="E1569" s="36" t="s">
        <v>8458</v>
      </c>
      <c r="F1569" s="16" t="s">
        <v>369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8287</v>
      </c>
      <c r="K1569" s="16"/>
      <c r="L1569" s="16"/>
      <c r="M1569" s="20">
        <v>1000000</v>
      </c>
      <c r="N1569" s="19" t="s">
        <v>8474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8263</v>
      </c>
      <c r="B1570" s="16" t="s">
        <v>8263</v>
      </c>
      <c r="C1570" s="16" t="s">
        <v>8434</v>
      </c>
      <c r="D1570" s="16" t="s">
        <v>21</v>
      </c>
      <c r="E1570" s="36" t="s">
        <v>8458</v>
      </c>
      <c r="F1570" s="16" t="s">
        <v>371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8287</v>
      </c>
      <c r="K1570" s="16"/>
      <c r="L1570" s="16"/>
      <c r="M1570" s="20">
        <v>1100000</v>
      </c>
      <c r="N1570" s="19" t="s">
        <v>8474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8264</v>
      </c>
      <c r="B1571" s="16" t="s">
        <v>8264</v>
      </c>
      <c r="C1571" s="16" t="s">
        <v>8435</v>
      </c>
      <c r="D1571" s="16" t="s">
        <v>21</v>
      </c>
      <c r="E1571" s="36" t="s">
        <v>8458</v>
      </c>
      <c r="F1571" s="16" t="s">
        <v>373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8287</v>
      </c>
      <c r="K1571" s="16"/>
      <c r="L1571" s="16"/>
      <c r="M1571" s="20">
        <v>1200000</v>
      </c>
      <c r="N1571" s="19" t="s">
        <v>8474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8265</v>
      </c>
      <c r="B1572" s="16" t="s">
        <v>8265</v>
      </c>
      <c r="C1572" s="16" t="s">
        <v>8436</v>
      </c>
      <c r="D1572" s="16" t="s">
        <v>21</v>
      </c>
      <c r="E1572" s="36" t="s">
        <v>8458</v>
      </c>
      <c r="F1572" s="16" t="s">
        <v>375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8287</v>
      </c>
      <c r="K1572" s="16"/>
      <c r="L1572" s="16"/>
      <c r="M1572" s="20">
        <v>1300000</v>
      </c>
      <c r="N1572" s="19" t="s">
        <v>8474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8266</v>
      </c>
      <c r="B1573" s="16" t="s">
        <v>8266</v>
      </c>
      <c r="C1573" s="16" t="s">
        <v>8437</v>
      </c>
      <c r="D1573" s="16" t="s">
        <v>21</v>
      </c>
      <c r="E1573" s="36" t="s">
        <v>8458</v>
      </c>
      <c r="F1573" s="16" t="s">
        <v>377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8287</v>
      </c>
      <c r="K1573" s="16"/>
      <c r="L1573" s="16"/>
      <c r="M1573" s="20">
        <v>1500000</v>
      </c>
      <c r="N1573" s="19" t="s">
        <v>8474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8267</v>
      </c>
      <c r="B1574" s="16" t="s">
        <v>8267</v>
      </c>
      <c r="C1574" s="16" t="s">
        <v>8438</v>
      </c>
      <c r="D1574" s="16" t="s">
        <v>21</v>
      </c>
      <c r="E1574" s="36" t="s">
        <v>8458</v>
      </c>
      <c r="F1574" s="16" t="s">
        <v>379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8287</v>
      </c>
      <c r="K1574" s="16"/>
      <c r="L1574" s="16"/>
      <c r="M1574" s="20">
        <v>1600000</v>
      </c>
      <c r="N1574" s="19" t="s">
        <v>8474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8268</v>
      </c>
      <c r="B1575" s="16" t="s">
        <v>8268</v>
      </c>
      <c r="C1575" s="16" t="s">
        <v>8439</v>
      </c>
      <c r="D1575" s="16" t="s">
        <v>21</v>
      </c>
      <c r="E1575" s="36" t="s">
        <v>8458</v>
      </c>
      <c r="F1575" s="16" t="s">
        <v>381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8287</v>
      </c>
      <c r="K1575" s="16"/>
      <c r="L1575" s="16"/>
      <c r="M1575" s="20">
        <v>1800000</v>
      </c>
      <c r="N1575" s="19" t="s">
        <v>8474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7"/>
      <c r="X1575" s="17"/>
      <c r="Y1575" s="17"/>
      <c r="Z1575" s="17"/>
      <c r="AA1575" s="17"/>
      <c r="AB1575" s="17"/>
    </row>
    <row r="1576" spans="1:28">
      <c r="A1576" s="16" t="s">
        <v>8269</v>
      </c>
      <c r="B1576" s="16" t="s">
        <v>8269</v>
      </c>
      <c r="C1576" s="16" t="s">
        <v>8440</v>
      </c>
      <c r="D1576" s="16" t="s">
        <v>21</v>
      </c>
      <c r="E1576" s="36" t="s">
        <v>8458</v>
      </c>
      <c r="F1576" s="16" t="s">
        <v>383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8287</v>
      </c>
      <c r="K1576" s="16"/>
      <c r="L1576" s="16"/>
      <c r="M1576" s="20">
        <v>2000000</v>
      </c>
      <c r="N1576" s="19" t="s">
        <v>8474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8270</v>
      </c>
      <c r="B1577" s="16" t="s">
        <v>8270</v>
      </c>
      <c r="C1577" s="16" t="s">
        <v>8441</v>
      </c>
      <c r="D1577" s="16" t="s">
        <v>21</v>
      </c>
      <c r="E1577" s="36" t="s">
        <v>8458</v>
      </c>
      <c r="F1577" s="16" t="s">
        <v>385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8287</v>
      </c>
      <c r="K1577" s="16"/>
      <c r="L1577" s="16"/>
      <c r="M1577" s="20">
        <v>2200000</v>
      </c>
      <c r="N1577" s="19" t="s">
        <v>8474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8271</v>
      </c>
      <c r="B1578" s="16" t="s">
        <v>8271</v>
      </c>
      <c r="C1578" s="16" t="s">
        <v>8442</v>
      </c>
      <c r="D1578" s="16" t="s">
        <v>21</v>
      </c>
      <c r="E1578" s="36" t="s">
        <v>8458</v>
      </c>
      <c r="F1578" s="16" t="s">
        <v>387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8287</v>
      </c>
      <c r="K1578" s="16"/>
      <c r="L1578" s="16"/>
      <c r="M1578" s="20">
        <v>2400000</v>
      </c>
      <c r="N1578" s="19" t="s">
        <v>8474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8272</v>
      </c>
      <c r="B1579" s="16" t="s">
        <v>8272</v>
      </c>
      <c r="C1579" s="16" t="s">
        <v>8443</v>
      </c>
      <c r="D1579" s="16" t="s">
        <v>21</v>
      </c>
      <c r="E1579" s="36" t="s">
        <v>8458</v>
      </c>
      <c r="F1579" s="16" t="s">
        <v>389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8287</v>
      </c>
      <c r="K1579" s="16"/>
      <c r="L1579" s="16"/>
      <c r="M1579" s="20">
        <v>2700000</v>
      </c>
      <c r="N1579" s="19" t="s">
        <v>8474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8273</v>
      </c>
      <c r="B1580" s="16" t="s">
        <v>8273</v>
      </c>
      <c r="C1580" s="16" t="s">
        <v>8444</v>
      </c>
      <c r="D1580" s="16" t="s">
        <v>21</v>
      </c>
      <c r="E1580" s="36" t="s">
        <v>8458</v>
      </c>
      <c r="F1580" s="16" t="s">
        <v>391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8287</v>
      </c>
      <c r="K1580" s="16"/>
      <c r="L1580" s="16"/>
      <c r="M1580" s="20">
        <v>3000000</v>
      </c>
      <c r="N1580" s="19" t="s">
        <v>8474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8274</v>
      </c>
      <c r="B1581" s="16" t="s">
        <v>8274</v>
      </c>
      <c r="C1581" s="16" t="s">
        <v>8445</v>
      </c>
      <c r="D1581" s="16" t="s">
        <v>21</v>
      </c>
      <c r="E1581" s="36" t="s">
        <v>8458</v>
      </c>
      <c r="F1581" s="16" t="s">
        <v>393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8287</v>
      </c>
      <c r="K1581" s="16"/>
      <c r="L1581" s="16"/>
      <c r="M1581" s="20">
        <v>3300000</v>
      </c>
      <c r="N1581" s="19" t="s">
        <v>8474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8275</v>
      </c>
      <c r="B1582" s="16" t="s">
        <v>8275</v>
      </c>
      <c r="C1582" s="16" t="s">
        <v>8446</v>
      </c>
      <c r="D1582" s="16" t="s">
        <v>21</v>
      </c>
      <c r="E1582" s="36" t="s">
        <v>8458</v>
      </c>
      <c r="F1582" s="16" t="s">
        <v>395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8287</v>
      </c>
      <c r="K1582" s="16"/>
      <c r="L1582" s="16"/>
      <c r="M1582" s="20">
        <v>3600000</v>
      </c>
      <c r="N1582" s="19" t="s">
        <v>8474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8276</v>
      </c>
      <c r="B1583" s="16" t="s">
        <v>8276</v>
      </c>
      <c r="C1583" s="16" t="s">
        <v>8447</v>
      </c>
      <c r="D1583" s="16" t="s">
        <v>21</v>
      </c>
      <c r="E1583" s="36" t="s">
        <v>8458</v>
      </c>
      <c r="F1583" s="16" t="s">
        <v>397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8287</v>
      </c>
      <c r="K1583" s="16"/>
      <c r="L1583" s="16"/>
      <c r="M1583" s="20">
        <v>3900000</v>
      </c>
      <c r="N1583" s="19" t="s">
        <v>8474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8277</v>
      </c>
      <c r="B1584" s="16" t="s">
        <v>8277</v>
      </c>
      <c r="C1584" s="16" t="s">
        <v>8448</v>
      </c>
      <c r="D1584" s="16" t="s">
        <v>21</v>
      </c>
      <c r="E1584" s="36" t="s">
        <v>8458</v>
      </c>
      <c r="F1584" s="16" t="s">
        <v>399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8287</v>
      </c>
      <c r="K1584" s="16"/>
      <c r="L1584" s="16"/>
      <c r="M1584" s="20">
        <v>4300000</v>
      </c>
      <c r="N1584" s="19" t="s">
        <v>8474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8278</v>
      </c>
      <c r="B1585" s="16" t="s">
        <v>8278</v>
      </c>
      <c r="C1585" s="16" t="s">
        <v>8449</v>
      </c>
      <c r="D1585" s="16" t="s">
        <v>21</v>
      </c>
      <c r="E1585" s="36" t="s">
        <v>8458</v>
      </c>
      <c r="F1585" s="16" t="s">
        <v>401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8287</v>
      </c>
      <c r="K1585" s="16"/>
      <c r="L1585" s="16"/>
      <c r="M1585" s="20">
        <v>4700000</v>
      </c>
      <c r="N1585" s="19" t="s">
        <v>8474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8279</v>
      </c>
      <c r="B1586" s="16" t="s">
        <v>8279</v>
      </c>
      <c r="C1586" s="16" t="s">
        <v>8450</v>
      </c>
      <c r="D1586" s="16" t="s">
        <v>21</v>
      </c>
      <c r="E1586" s="36" t="s">
        <v>8458</v>
      </c>
      <c r="F1586" s="16" t="s">
        <v>403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8287</v>
      </c>
      <c r="K1586" s="16"/>
      <c r="L1586" s="16"/>
      <c r="M1586" s="20">
        <v>5100000</v>
      </c>
      <c r="N1586" s="19" t="s">
        <v>8474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8280</v>
      </c>
      <c r="B1587" s="16" t="s">
        <v>8280</v>
      </c>
      <c r="C1587" s="16" t="s">
        <v>8451</v>
      </c>
      <c r="D1587" s="16" t="s">
        <v>21</v>
      </c>
      <c r="E1587" s="36" t="s">
        <v>8458</v>
      </c>
      <c r="F1587" s="16" t="s">
        <v>405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8287</v>
      </c>
      <c r="K1587" s="16"/>
      <c r="L1587" s="16"/>
      <c r="M1587" s="20">
        <v>5600000</v>
      </c>
      <c r="N1587" s="19" t="s">
        <v>8474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8281</v>
      </c>
      <c r="B1588" s="16" t="s">
        <v>8281</v>
      </c>
      <c r="C1588" s="16" t="s">
        <v>8452</v>
      </c>
      <c r="D1588" s="16" t="s">
        <v>21</v>
      </c>
      <c r="E1588" s="36" t="s">
        <v>8458</v>
      </c>
      <c r="F1588" s="16" t="s">
        <v>407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8287</v>
      </c>
      <c r="K1588" s="16"/>
      <c r="L1588" s="16"/>
      <c r="M1588" s="20">
        <v>6200000</v>
      </c>
      <c r="N1588" s="19" t="s">
        <v>8474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8282</v>
      </c>
      <c r="B1589" s="16" t="s">
        <v>8282</v>
      </c>
      <c r="C1589" s="16" t="s">
        <v>8453</v>
      </c>
      <c r="D1589" s="16" t="s">
        <v>21</v>
      </c>
      <c r="E1589" s="36" t="s">
        <v>8458</v>
      </c>
      <c r="F1589" s="16" t="s">
        <v>409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8287</v>
      </c>
      <c r="K1589" s="16"/>
      <c r="L1589" s="16"/>
      <c r="M1589" s="20">
        <v>6800000</v>
      </c>
      <c r="N1589" s="19" t="s">
        <v>8474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8283</v>
      </c>
      <c r="B1590" s="16" t="s">
        <v>8283</v>
      </c>
      <c r="C1590" s="16" t="s">
        <v>8454</v>
      </c>
      <c r="D1590" s="16" t="s">
        <v>21</v>
      </c>
      <c r="E1590" s="36" t="s">
        <v>8458</v>
      </c>
      <c r="F1590" s="16" t="s">
        <v>411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8287</v>
      </c>
      <c r="K1590" s="16"/>
      <c r="L1590" s="16"/>
      <c r="M1590" s="20">
        <v>7500000</v>
      </c>
      <c r="N1590" s="19" t="s">
        <v>8474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7" t="s">
        <v>8284</v>
      </c>
      <c r="B1591" s="17" t="s">
        <v>8284</v>
      </c>
      <c r="C1591" s="17" t="s">
        <v>8455</v>
      </c>
      <c r="D1591" s="17" t="s">
        <v>21</v>
      </c>
      <c r="E1591" s="37" t="s">
        <v>8458</v>
      </c>
      <c r="F1591" s="17" t="s">
        <v>413</v>
      </c>
      <c r="G1591" s="17" t="str">
        <f>Config!$B$3</f>
        <v>SCH/R_IEC.SchLib</v>
      </c>
      <c r="H1591" s="17" t="s">
        <v>419</v>
      </c>
      <c r="I1591" s="18" t="s">
        <v>7503</v>
      </c>
      <c r="J1591" s="16" t="s">
        <v>8287</v>
      </c>
      <c r="K1591" s="16"/>
      <c r="L1591" s="16"/>
      <c r="M1591" s="21">
        <v>8200000</v>
      </c>
      <c r="N1591" s="19" t="s">
        <v>8474</v>
      </c>
      <c r="O1591" s="16" t="s">
        <v>4414</v>
      </c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</row>
    <row r="1592" spans="1:28">
      <c r="A1592" s="17" t="s">
        <v>8285</v>
      </c>
      <c r="B1592" s="17" t="s">
        <v>8285</v>
      </c>
      <c r="C1592" s="17" t="s">
        <v>8456</v>
      </c>
      <c r="D1592" s="17" t="s">
        <v>21</v>
      </c>
      <c r="E1592" s="37" t="s">
        <v>8458</v>
      </c>
      <c r="F1592" s="17" t="s">
        <v>415</v>
      </c>
      <c r="G1592" s="17" t="str">
        <f>Config!$B$3</f>
        <v>SCH/R_IEC.SchLib</v>
      </c>
      <c r="H1592" s="17" t="s">
        <v>419</v>
      </c>
      <c r="I1592" s="18" t="s">
        <v>7503</v>
      </c>
      <c r="J1592" s="16" t="s">
        <v>8287</v>
      </c>
      <c r="K1592" s="16"/>
      <c r="L1592" s="16"/>
      <c r="M1592" s="21">
        <v>9100000</v>
      </c>
      <c r="N1592" s="19" t="s">
        <v>8474</v>
      </c>
      <c r="O1592" s="16" t="s">
        <v>4414</v>
      </c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</row>
    <row r="1593" spans="1:28">
      <c r="A1593" s="17" t="s">
        <v>8286</v>
      </c>
      <c r="B1593" s="17" t="s">
        <v>8286</v>
      </c>
      <c r="C1593" s="17" t="s">
        <v>8457</v>
      </c>
      <c r="D1593" s="17" t="s">
        <v>21</v>
      </c>
      <c r="E1593" s="37" t="s">
        <v>8458</v>
      </c>
      <c r="F1593" s="17" t="s">
        <v>417</v>
      </c>
      <c r="G1593" s="17" t="str">
        <f>Config!$B$3</f>
        <v>SCH/R_IEC.SchLib</v>
      </c>
      <c r="H1593" s="17" t="s">
        <v>419</v>
      </c>
      <c r="I1593" s="18" t="s">
        <v>7503</v>
      </c>
      <c r="J1593" s="16" t="s">
        <v>8287</v>
      </c>
      <c r="K1593" s="16"/>
      <c r="L1593" s="16"/>
      <c r="M1593" s="21">
        <v>10000000</v>
      </c>
      <c r="N1593" s="19" t="s">
        <v>8474</v>
      </c>
      <c r="O1593" s="16" t="s">
        <v>4414</v>
      </c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</row>
    <row r="1594" spans="1:28">
      <c r="A1594" s="16" t="s">
        <v>8538</v>
      </c>
      <c r="B1594" s="16" t="s">
        <v>8117</v>
      </c>
      <c r="C1594" s="16" t="s">
        <v>8708</v>
      </c>
      <c r="D1594" s="16" t="s">
        <v>21</v>
      </c>
      <c r="E1594" s="36" t="s">
        <v>8458</v>
      </c>
      <c r="F1594" s="16" t="s">
        <v>23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8878</v>
      </c>
      <c r="K1594" s="16"/>
      <c r="L1594" s="16"/>
      <c r="M1594" s="19">
        <v>0</v>
      </c>
      <c r="N1594" s="19" t="s">
        <v>8474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6"/>
      <c r="Z1594" s="17"/>
      <c r="AA1594" s="17"/>
      <c r="AB1594" s="17"/>
    </row>
    <row r="1595" spans="1:28">
      <c r="A1595" s="16" t="s">
        <v>8539</v>
      </c>
      <c r="B1595" s="16" t="s">
        <v>8118</v>
      </c>
      <c r="C1595" s="16" t="s">
        <v>8709</v>
      </c>
      <c r="D1595" s="16" t="s">
        <v>21</v>
      </c>
      <c r="E1595" s="36" t="s">
        <v>8458</v>
      </c>
      <c r="F1595" s="16" t="s">
        <v>29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8878</v>
      </c>
      <c r="K1595" s="16"/>
      <c r="L1595" s="16"/>
      <c r="M1595" s="19">
        <v>1</v>
      </c>
      <c r="N1595" s="19" t="s">
        <v>8474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8540</v>
      </c>
      <c r="B1596" s="16" t="s">
        <v>8119</v>
      </c>
      <c r="C1596" s="16" t="s">
        <v>8710</v>
      </c>
      <c r="D1596" s="16" t="s">
        <v>21</v>
      </c>
      <c r="E1596" s="36" t="s">
        <v>8458</v>
      </c>
      <c r="F1596" s="16" t="s">
        <v>1042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8878</v>
      </c>
      <c r="K1596" s="16"/>
      <c r="L1596" s="16"/>
      <c r="M1596" s="19">
        <v>1.1000000000000001</v>
      </c>
      <c r="N1596" s="19" t="s">
        <v>8474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8541</v>
      </c>
      <c r="B1597" s="16" t="s">
        <v>8120</v>
      </c>
      <c r="C1597" s="16" t="s">
        <v>8711</v>
      </c>
      <c r="D1597" s="16" t="s">
        <v>21</v>
      </c>
      <c r="E1597" s="36" t="s">
        <v>8458</v>
      </c>
      <c r="F1597" s="16" t="s">
        <v>31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8878</v>
      </c>
      <c r="K1597" s="16"/>
      <c r="L1597" s="16"/>
      <c r="M1597" s="19">
        <v>1.2</v>
      </c>
      <c r="N1597" s="19" t="s">
        <v>8474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8542</v>
      </c>
      <c r="B1598" s="16" t="s">
        <v>8121</v>
      </c>
      <c r="C1598" s="16" t="s">
        <v>8712</v>
      </c>
      <c r="D1598" s="16" t="s">
        <v>21</v>
      </c>
      <c r="E1598" s="36" t="s">
        <v>8458</v>
      </c>
      <c r="F1598" s="16" t="s">
        <v>1052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8878</v>
      </c>
      <c r="K1598" s="16"/>
      <c r="L1598" s="16"/>
      <c r="M1598" s="19">
        <v>1.3</v>
      </c>
      <c r="N1598" s="19" t="s">
        <v>8474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8543</v>
      </c>
      <c r="B1599" s="16" t="s">
        <v>8122</v>
      </c>
      <c r="C1599" s="16" t="s">
        <v>8713</v>
      </c>
      <c r="D1599" s="16" t="s">
        <v>21</v>
      </c>
      <c r="E1599" s="36" t="s">
        <v>8458</v>
      </c>
      <c r="F1599" s="16" t="s">
        <v>33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8878</v>
      </c>
      <c r="K1599" s="16"/>
      <c r="L1599" s="16"/>
      <c r="M1599" s="19">
        <v>1.5</v>
      </c>
      <c r="N1599" s="19" t="s">
        <v>8474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8544</v>
      </c>
      <c r="B1600" s="16" t="s">
        <v>8123</v>
      </c>
      <c r="C1600" s="16" t="s">
        <v>8714</v>
      </c>
      <c r="D1600" s="16" t="s">
        <v>21</v>
      </c>
      <c r="E1600" s="36" t="s">
        <v>8458</v>
      </c>
      <c r="F1600" s="16" t="s">
        <v>1062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8878</v>
      </c>
      <c r="K1600" s="16"/>
      <c r="L1600" s="16"/>
      <c r="M1600" s="19">
        <v>1.6</v>
      </c>
      <c r="N1600" s="19" t="s">
        <v>8474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8545</v>
      </c>
      <c r="B1601" s="16" t="s">
        <v>8124</v>
      </c>
      <c r="C1601" s="16" t="s">
        <v>8715</v>
      </c>
      <c r="D1601" s="16" t="s">
        <v>21</v>
      </c>
      <c r="E1601" s="36" t="s">
        <v>8458</v>
      </c>
      <c r="F1601" s="16" t="s">
        <v>35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8878</v>
      </c>
      <c r="K1601" s="16"/>
      <c r="L1601" s="16"/>
      <c r="M1601" s="19">
        <v>1.8</v>
      </c>
      <c r="N1601" s="19" t="s">
        <v>8474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8546</v>
      </c>
      <c r="B1602" s="16" t="s">
        <v>8125</v>
      </c>
      <c r="C1602" s="16" t="s">
        <v>8716</v>
      </c>
      <c r="D1602" s="16" t="s">
        <v>21</v>
      </c>
      <c r="E1602" s="36" t="s">
        <v>8458</v>
      </c>
      <c r="F1602" s="16" t="s">
        <v>1070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8878</v>
      </c>
      <c r="K1602" s="16"/>
      <c r="L1602" s="16"/>
      <c r="M1602" s="19">
        <v>2</v>
      </c>
      <c r="N1602" s="19" t="s">
        <v>8474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8547</v>
      </c>
      <c r="B1603" s="16" t="s">
        <v>8126</v>
      </c>
      <c r="C1603" s="16" t="s">
        <v>8717</v>
      </c>
      <c r="D1603" s="16" t="s">
        <v>21</v>
      </c>
      <c r="E1603" s="36" t="s">
        <v>8458</v>
      </c>
      <c r="F1603" s="16" t="s">
        <v>37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8878</v>
      </c>
      <c r="K1603" s="16"/>
      <c r="L1603" s="16"/>
      <c r="M1603" s="19">
        <v>2.2000000000000002</v>
      </c>
      <c r="N1603" s="19" t="s">
        <v>8474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8548</v>
      </c>
      <c r="B1604" s="16" t="s">
        <v>8127</v>
      </c>
      <c r="C1604" s="16" t="s">
        <v>8718</v>
      </c>
      <c r="D1604" s="16" t="s">
        <v>21</v>
      </c>
      <c r="E1604" s="36" t="s">
        <v>8458</v>
      </c>
      <c r="F1604" s="16" t="s">
        <v>1080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8878</v>
      </c>
      <c r="K1604" s="16"/>
      <c r="L1604" s="16"/>
      <c r="M1604" s="19">
        <v>2.4</v>
      </c>
      <c r="N1604" s="19" t="s">
        <v>8474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8549</v>
      </c>
      <c r="B1605" s="16" t="s">
        <v>8128</v>
      </c>
      <c r="C1605" s="16" t="s">
        <v>8719</v>
      </c>
      <c r="D1605" s="16" t="s">
        <v>21</v>
      </c>
      <c r="E1605" s="36" t="s">
        <v>8458</v>
      </c>
      <c r="F1605" s="16" t="s">
        <v>39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8878</v>
      </c>
      <c r="K1605" s="16"/>
      <c r="L1605" s="16"/>
      <c r="M1605" s="19">
        <v>2.7</v>
      </c>
      <c r="N1605" s="19" t="s">
        <v>8474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8550</v>
      </c>
      <c r="B1606" s="16" t="s">
        <v>8129</v>
      </c>
      <c r="C1606" s="16" t="s">
        <v>8720</v>
      </c>
      <c r="D1606" s="16" t="s">
        <v>21</v>
      </c>
      <c r="E1606" s="36" t="s">
        <v>8458</v>
      </c>
      <c r="F1606" s="16" t="s">
        <v>1088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8878</v>
      </c>
      <c r="K1606" s="16"/>
      <c r="L1606" s="16"/>
      <c r="M1606" s="19">
        <v>3</v>
      </c>
      <c r="N1606" s="19" t="s">
        <v>8474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8551</v>
      </c>
      <c r="B1607" s="16" t="s">
        <v>8130</v>
      </c>
      <c r="C1607" s="16" t="s">
        <v>8721</v>
      </c>
      <c r="D1607" s="16" t="s">
        <v>21</v>
      </c>
      <c r="E1607" s="36" t="s">
        <v>8458</v>
      </c>
      <c r="F1607" s="16" t="s">
        <v>41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8878</v>
      </c>
      <c r="K1607" s="16"/>
      <c r="L1607" s="16"/>
      <c r="M1607" s="19">
        <v>3.3</v>
      </c>
      <c r="N1607" s="19" t="s">
        <v>8474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8552</v>
      </c>
      <c r="B1608" s="16" t="s">
        <v>8131</v>
      </c>
      <c r="C1608" s="16" t="s">
        <v>8722</v>
      </c>
      <c r="D1608" s="16" t="s">
        <v>21</v>
      </c>
      <c r="E1608" s="36" t="s">
        <v>8458</v>
      </c>
      <c r="F1608" s="16" t="s">
        <v>1098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8878</v>
      </c>
      <c r="K1608" s="16"/>
      <c r="L1608" s="16"/>
      <c r="M1608" s="19">
        <v>3.6</v>
      </c>
      <c r="N1608" s="19" t="s">
        <v>8474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8553</v>
      </c>
      <c r="B1609" s="16" t="s">
        <v>8132</v>
      </c>
      <c r="C1609" s="16" t="s">
        <v>8723</v>
      </c>
      <c r="D1609" s="16" t="s">
        <v>21</v>
      </c>
      <c r="E1609" s="36" t="s">
        <v>8458</v>
      </c>
      <c r="F1609" s="16" t="s">
        <v>43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8878</v>
      </c>
      <c r="K1609" s="16"/>
      <c r="L1609" s="16"/>
      <c r="M1609" s="19">
        <v>3.9</v>
      </c>
      <c r="N1609" s="19" t="s">
        <v>8474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6" t="s">
        <v>8554</v>
      </c>
      <c r="B1610" s="16" t="s">
        <v>8133</v>
      </c>
      <c r="C1610" s="16" t="s">
        <v>8724</v>
      </c>
      <c r="D1610" s="16" t="s">
        <v>21</v>
      </c>
      <c r="E1610" s="36" t="s">
        <v>8458</v>
      </c>
      <c r="F1610" s="16" t="s">
        <v>1106</v>
      </c>
      <c r="G1610" s="17" t="str">
        <f>Config!$B$3</f>
        <v>SCH/R_IEC.SchLib</v>
      </c>
      <c r="H1610" s="16" t="s">
        <v>419</v>
      </c>
      <c r="I1610" s="18" t="s">
        <v>7503</v>
      </c>
      <c r="J1610" s="16" t="s">
        <v>8878</v>
      </c>
      <c r="K1610" s="16"/>
      <c r="L1610" s="16"/>
      <c r="M1610" s="19">
        <v>4.3</v>
      </c>
      <c r="N1610" s="19" t="s">
        <v>8474</v>
      </c>
      <c r="O1610" s="16" t="s">
        <v>4414</v>
      </c>
      <c r="P1610" s="16"/>
      <c r="Q1610" s="16"/>
      <c r="R1610" s="16"/>
      <c r="S1610" s="16"/>
      <c r="T1610" s="16"/>
      <c r="U1610" s="16"/>
      <c r="V1610" s="16"/>
      <c r="W1610" s="17"/>
      <c r="X1610" s="17"/>
      <c r="Y1610" s="17"/>
      <c r="Z1610" s="17"/>
      <c r="AA1610" s="17"/>
      <c r="AB1610" s="17"/>
    </row>
    <row r="1611" spans="1:28">
      <c r="A1611" s="16" t="s">
        <v>8555</v>
      </c>
      <c r="B1611" s="16" t="s">
        <v>8134</v>
      </c>
      <c r="C1611" s="16" t="s">
        <v>8725</v>
      </c>
      <c r="D1611" s="16" t="s">
        <v>21</v>
      </c>
      <c r="E1611" s="36" t="s">
        <v>8458</v>
      </c>
      <c r="F1611" s="16" t="s">
        <v>45</v>
      </c>
      <c r="G1611" s="17" t="str">
        <f>Config!$B$3</f>
        <v>SCH/R_IEC.SchLib</v>
      </c>
      <c r="H1611" s="16" t="s">
        <v>419</v>
      </c>
      <c r="I1611" s="18" t="s">
        <v>7503</v>
      </c>
      <c r="J1611" s="16" t="s">
        <v>8878</v>
      </c>
      <c r="K1611" s="16"/>
      <c r="L1611" s="16"/>
      <c r="M1611" s="19">
        <v>4.7</v>
      </c>
      <c r="N1611" s="19" t="s">
        <v>8474</v>
      </c>
      <c r="O1611" s="16" t="s">
        <v>4414</v>
      </c>
      <c r="P1611" s="16"/>
      <c r="Q1611" s="16"/>
      <c r="R1611" s="16"/>
      <c r="S1611" s="16"/>
      <c r="T1611" s="16"/>
      <c r="U1611" s="16"/>
      <c r="V1611" s="16"/>
      <c r="W1611" s="17"/>
      <c r="X1611" s="17"/>
      <c r="Y1611" s="17"/>
      <c r="Z1611" s="17"/>
      <c r="AA1611" s="17"/>
      <c r="AB1611" s="17"/>
    </row>
    <row r="1612" spans="1:28">
      <c r="A1612" s="16" t="s">
        <v>8556</v>
      </c>
      <c r="B1612" s="16" t="s">
        <v>8135</v>
      </c>
      <c r="C1612" s="16" t="s">
        <v>8726</v>
      </c>
      <c r="D1612" s="16" t="s">
        <v>21</v>
      </c>
      <c r="E1612" s="36" t="s">
        <v>8458</v>
      </c>
      <c r="F1612" s="16" t="s">
        <v>1116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8878</v>
      </c>
      <c r="K1612" s="16"/>
      <c r="L1612" s="16"/>
      <c r="M1612" s="19">
        <v>5.0999999999999996</v>
      </c>
      <c r="N1612" s="19" t="s">
        <v>8474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7"/>
      <c r="Z1612" s="17"/>
      <c r="AA1612" s="17"/>
      <c r="AB1612" s="17"/>
    </row>
    <row r="1613" spans="1:28">
      <c r="A1613" s="16" t="s">
        <v>8557</v>
      </c>
      <c r="B1613" s="16" t="s">
        <v>8136</v>
      </c>
      <c r="C1613" s="16" t="s">
        <v>8727</v>
      </c>
      <c r="D1613" s="16" t="s">
        <v>21</v>
      </c>
      <c r="E1613" s="36" t="s">
        <v>8458</v>
      </c>
      <c r="F1613" s="16" t="s">
        <v>47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8878</v>
      </c>
      <c r="K1613" s="16"/>
      <c r="L1613" s="16"/>
      <c r="M1613" s="19">
        <v>5.6</v>
      </c>
      <c r="N1613" s="19" t="s">
        <v>8474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8558</v>
      </c>
      <c r="B1614" s="16" t="s">
        <v>8137</v>
      </c>
      <c r="C1614" s="16" t="s">
        <v>8728</v>
      </c>
      <c r="D1614" s="16" t="s">
        <v>21</v>
      </c>
      <c r="E1614" s="36" t="s">
        <v>8458</v>
      </c>
      <c r="F1614" s="16" t="s">
        <v>1128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8878</v>
      </c>
      <c r="K1614" s="16"/>
      <c r="L1614" s="16"/>
      <c r="M1614" s="19">
        <v>6.2</v>
      </c>
      <c r="N1614" s="19" t="s">
        <v>8474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8559</v>
      </c>
      <c r="B1615" s="16" t="s">
        <v>8138</v>
      </c>
      <c r="C1615" s="16" t="s">
        <v>8729</v>
      </c>
      <c r="D1615" s="16" t="s">
        <v>21</v>
      </c>
      <c r="E1615" s="36" t="s">
        <v>8458</v>
      </c>
      <c r="F1615" s="16" t="s">
        <v>49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8878</v>
      </c>
      <c r="K1615" s="16"/>
      <c r="L1615" s="16"/>
      <c r="M1615" s="19">
        <v>6.8</v>
      </c>
      <c r="N1615" s="19" t="s">
        <v>8474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8560</v>
      </c>
      <c r="B1616" s="16" t="s">
        <v>8139</v>
      </c>
      <c r="C1616" s="16" t="s">
        <v>8730</v>
      </c>
      <c r="D1616" s="16" t="s">
        <v>21</v>
      </c>
      <c r="E1616" s="36" t="s">
        <v>8458</v>
      </c>
      <c r="F1616" s="16" t="s">
        <v>1138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8878</v>
      </c>
      <c r="K1616" s="16"/>
      <c r="L1616" s="16"/>
      <c r="M1616" s="19">
        <v>7.5</v>
      </c>
      <c r="N1616" s="19" t="s">
        <v>8474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8561</v>
      </c>
      <c r="B1617" s="16" t="s">
        <v>8140</v>
      </c>
      <c r="C1617" s="16" t="s">
        <v>8731</v>
      </c>
      <c r="D1617" s="16" t="s">
        <v>21</v>
      </c>
      <c r="E1617" s="36" t="s">
        <v>8458</v>
      </c>
      <c r="F1617" s="16" t="s">
        <v>51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8878</v>
      </c>
      <c r="K1617" s="16"/>
      <c r="L1617" s="16"/>
      <c r="M1617" s="19">
        <v>8.1999999999999993</v>
      </c>
      <c r="N1617" s="19" t="s">
        <v>8474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8562</v>
      </c>
      <c r="B1618" s="16" t="s">
        <v>8141</v>
      </c>
      <c r="C1618" s="16" t="s">
        <v>8732</v>
      </c>
      <c r="D1618" s="16" t="s">
        <v>21</v>
      </c>
      <c r="E1618" s="36" t="s">
        <v>8458</v>
      </c>
      <c r="F1618" s="16" t="s">
        <v>1148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8878</v>
      </c>
      <c r="K1618" s="16"/>
      <c r="L1618" s="16"/>
      <c r="M1618" s="19">
        <v>9.1</v>
      </c>
      <c r="N1618" s="19" t="s">
        <v>8474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8563</v>
      </c>
      <c r="B1619" s="16" t="s">
        <v>8142</v>
      </c>
      <c r="C1619" s="16" t="s">
        <v>8733</v>
      </c>
      <c r="D1619" s="16" t="s">
        <v>21</v>
      </c>
      <c r="E1619" s="36" t="s">
        <v>8458</v>
      </c>
      <c r="F1619" s="16" t="s">
        <v>53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8878</v>
      </c>
      <c r="K1619" s="16"/>
      <c r="L1619" s="16"/>
      <c r="M1619" s="20">
        <v>10</v>
      </c>
      <c r="N1619" s="19" t="s">
        <v>8474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8564</v>
      </c>
      <c r="B1620" s="16" t="s">
        <v>8143</v>
      </c>
      <c r="C1620" s="16" t="s">
        <v>8734</v>
      </c>
      <c r="D1620" s="16" t="s">
        <v>21</v>
      </c>
      <c r="E1620" s="36" t="s">
        <v>8458</v>
      </c>
      <c r="F1620" s="16" t="s">
        <v>57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8878</v>
      </c>
      <c r="K1620" s="16"/>
      <c r="L1620" s="16"/>
      <c r="M1620" s="20">
        <v>11</v>
      </c>
      <c r="N1620" s="19" t="s">
        <v>8474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8565</v>
      </c>
      <c r="B1621" s="16" t="s">
        <v>8144</v>
      </c>
      <c r="C1621" s="16" t="s">
        <v>8735</v>
      </c>
      <c r="D1621" s="16" t="s">
        <v>21</v>
      </c>
      <c r="E1621" s="36" t="s">
        <v>8458</v>
      </c>
      <c r="F1621" s="16" t="s">
        <v>59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8878</v>
      </c>
      <c r="K1621" s="16"/>
      <c r="L1621" s="16"/>
      <c r="M1621" s="20">
        <v>12</v>
      </c>
      <c r="N1621" s="19" t="s">
        <v>8474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8566</v>
      </c>
      <c r="B1622" s="16" t="s">
        <v>8145</v>
      </c>
      <c r="C1622" s="16" t="s">
        <v>8736</v>
      </c>
      <c r="D1622" s="16" t="s">
        <v>21</v>
      </c>
      <c r="E1622" s="36" t="s">
        <v>8458</v>
      </c>
      <c r="F1622" s="16" t="s">
        <v>61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8878</v>
      </c>
      <c r="K1622" s="16"/>
      <c r="L1622" s="16"/>
      <c r="M1622" s="20">
        <v>13</v>
      </c>
      <c r="N1622" s="19" t="s">
        <v>8474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8567</v>
      </c>
      <c r="B1623" s="16" t="s">
        <v>8146</v>
      </c>
      <c r="C1623" s="16" t="s">
        <v>8737</v>
      </c>
      <c r="D1623" s="16" t="s">
        <v>21</v>
      </c>
      <c r="E1623" s="36" t="s">
        <v>8458</v>
      </c>
      <c r="F1623" s="16" t="s">
        <v>63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8878</v>
      </c>
      <c r="K1623" s="16"/>
      <c r="L1623" s="16"/>
      <c r="M1623" s="20">
        <v>15</v>
      </c>
      <c r="N1623" s="19" t="s">
        <v>8474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8568</v>
      </c>
      <c r="B1624" s="16" t="s">
        <v>8147</v>
      </c>
      <c r="C1624" s="16" t="s">
        <v>8738</v>
      </c>
      <c r="D1624" s="16" t="s">
        <v>21</v>
      </c>
      <c r="E1624" s="36" t="s">
        <v>8458</v>
      </c>
      <c r="F1624" s="16" t="s">
        <v>65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8878</v>
      </c>
      <c r="K1624" s="16"/>
      <c r="L1624" s="16"/>
      <c r="M1624" s="20">
        <v>16</v>
      </c>
      <c r="N1624" s="19" t="s">
        <v>8474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8569</v>
      </c>
      <c r="B1625" s="16" t="s">
        <v>8148</v>
      </c>
      <c r="C1625" s="16" t="s">
        <v>8739</v>
      </c>
      <c r="D1625" s="16" t="s">
        <v>21</v>
      </c>
      <c r="E1625" s="36" t="s">
        <v>8458</v>
      </c>
      <c r="F1625" s="16" t="s">
        <v>67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8878</v>
      </c>
      <c r="K1625" s="16"/>
      <c r="L1625" s="16"/>
      <c r="M1625" s="20">
        <v>18</v>
      </c>
      <c r="N1625" s="19" t="s">
        <v>8474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8570</v>
      </c>
      <c r="B1626" s="16" t="s">
        <v>8149</v>
      </c>
      <c r="C1626" s="16" t="s">
        <v>8740</v>
      </c>
      <c r="D1626" s="16" t="s">
        <v>21</v>
      </c>
      <c r="E1626" s="36" t="s">
        <v>8458</v>
      </c>
      <c r="F1626" s="16" t="s">
        <v>69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8878</v>
      </c>
      <c r="K1626" s="16"/>
      <c r="L1626" s="16"/>
      <c r="M1626" s="20">
        <v>20</v>
      </c>
      <c r="N1626" s="19" t="s">
        <v>8474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6"/>
      <c r="X1626" s="17"/>
      <c r="Y1626" s="16"/>
      <c r="Z1626" s="17"/>
      <c r="AA1626" s="16"/>
      <c r="AB1626" s="17"/>
    </row>
    <row r="1627" spans="1:28">
      <c r="A1627" s="16" t="s">
        <v>8571</v>
      </c>
      <c r="B1627" s="16" t="s">
        <v>8150</v>
      </c>
      <c r="C1627" s="16" t="s">
        <v>8741</v>
      </c>
      <c r="D1627" s="16" t="s">
        <v>21</v>
      </c>
      <c r="E1627" s="36" t="s">
        <v>8458</v>
      </c>
      <c r="F1627" s="16" t="s">
        <v>71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8878</v>
      </c>
      <c r="K1627" s="16"/>
      <c r="L1627" s="16"/>
      <c r="M1627" s="20">
        <v>22</v>
      </c>
      <c r="N1627" s="19" t="s">
        <v>8474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6"/>
      <c r="Z1627" s="25"/>
      <c r="AA1627" s="17"/>
      <c r="AB1627" s="17"/>
    </row>
    <row r="1628" spans="1:28">
      <c r="A1628" s="16" t="s">
        <v>8572</v>
      </c>
      <c r="B1628" s="16" t="s">
        <v>8151</v>
      </c>
      <c r="C1628" s="16" t="s">
        <v>8742</v>
      </c>
      <c r="D1628" s="16" t="s">
        <v>21</v>
      </c>
      <c r="E1628" s="36" t="s">
        <v>8458</v>
      </c>
      <c r="F1628" s="16" t="s">
        <v>75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8878</v>
      </c>
      <c r="K1628" s="16"/>
      <c r="L1628" s="16"/>
      <c r="M1628" s="20">
        <v>24</v>
      </c>
      <c r="N1628" s="19" t="s">
        <v>8474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8573</v>
      </c>
      <c r="B1629" s="16" t="s">
        <v>8152</v>
      </c>
      <c r="C1629" s="16" t="s">
        <v>8743</v>
      </c>
      <c r="D1629" s="16" t="s">
        <v>21</v>
      </c>
      <c r="E1629" s="36" t="s">
        <v>8458</v>
      </c>
      <c r="F1629" s="16" t="s">
        <v>77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8878</v>
      </c>
      <c r="K1629" s="16"/>
      <c r="L1629" s="16"/>
      <c r="M1629" s="20">
        <v>27</v>
      </c>
      <c r="N1629" s="19" t="s">
        <v>8474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8574</v>
      </c>
      <c r="B1630" s="16" t="s">
        <v>8153</v>
      </c>
      <c r="C1630" s="16" t="s">
        <v>8744</v>
      </c>
      <c r="D1630" s="16" t="s">
        <v>21</v>
      </c>
      <c r="E1630" s="36" t="s">
        <v>8458</v>
      </c>
      <c r="F1630" s="16" t="s">
        <v>79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8878</v>
      </c>
      <c r="K1630" s="16"/>
      <c r="L1630" s="16"/>
      <c r="M1630" s="20">
        <v>30</v>
      </c>
      <c r="N1630" s="19" t="s">
        <v>8474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8575</v>
      </c>
      <c r="B1631" s="16" t="s">
        <v>8154</v>
      </c>
      <c r="C1631" s="16" t="s">
        <v>8745</v>
      </c>
      <c r="D1631" s="16" t="s">
        <v>21</v>
      </c>
      <c r="E1631" s="36" t="s">
        <v>8458</v>
      </c>
      <c r="F1631" s="16" t="s">
        <v>81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8878</v>
      </c>
      <c r="K1631" s="16"/>
      <c r="L1631" s="16"/>
      <c r="M1631" s="20">
        <v>33</v>
      </c>
      <c r="N1631" s="19" t="s">
        <v>8474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8576</v>
      </c>
      <c r="B1632" s="16" t="s">
        <v>8155</v>
      </c>
      <c r="C1632" s="16" t="s">
        <v>8746</v>
      </c>
      <c r="D1632" s="16" t="s">
        <v>21</v>
      </c>
      <c r="E1632" s="36" t="s">
        <v>8458</v>
      </c>
      <c r="F1632" s="16" t="s">
        <v>83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8878</v>
      </c>
      <c r="K1632" s="16"/>
      <c r="L1632" s="16"/>
      <c r="M1632" s="20">
        <v>36</v>
      </c>
      <c r="N1632" s="19" t="s">
        <v>8474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8577</v>
      </c>
      <c r="B1633" s="16" t="s">
        <v>8156</v>
      </c>
      <c r="C1633" s="16" t="s">
        <v>8747</v>
      </c>
      <c r="D1633" s="16" t="s">
        <v>21</v>
      </c>
      <c r="E1633" s="36" t="s">
        <v>8458</v>
      </c>
      <c r="F1633" s="16" t="s">
        <v>85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8878</v>
      </c>
      <c r="K1633" s="16"/>
      <c r="L1633" s="16"/>
      <c r="M1633" s="20">
        <v>39</v>
      </c>
      <c r="N1633" s="19" t="s">
        <v>8474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8578</v>
      </c>
      <c r="B1634" s="16" t="s">
        <v>8157</v>
      </c>
      <c r="C1634" s="16" t="s">
        <v>8748</v>
      </c>
      <c r="D1634" s="16" t="s">
        <v>21</v>
      </c>
      <c r="E1634" s="36" t="s">
        <v>8458</v>
      </c>
      <c r="F1634" s="16" t="s">
        <v>87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8878</v>
      </c>
      <c r="K1634" s="16"/>
      <c r="L1634" s="16"/>
      <c r="M1634" s="20">
        <v>43</v>
      </c>
      <c r="N1634" s="19" t="s">
        <v>8474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8579</v>
      </c>
      <c r="B1635" s="16" t="s">
        <v>8158</v>
      </c>
      <c r="C1635" s="16" t="s">
        <v>8749</v>
      </c>
      <c r="D1635" s="16" t="s">
        <v>21</v>
      </c>
      <c r="E1635" s="36" t="s">
        <v>8458</v>
      </c>
      <c r="F1635" s="16" t="s">
        <v>89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8878</v>
      </c>
      <c r="K1635" s="16"/>
      <c r="L1635" s="16"/>
      <c r="M1635" s="20">
        <v>47</v>
      </c>
      <c r="N1635" s="19" t="s">
        <v>8474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8580</v>
      </c>
      <c r="B1636" s="16" t="s">
        <v>8159</v>
      </c>
      <c r="C1636" s="16" t="s">
        <v>8750</v>
      </c>
      <c r="D1636" s="16" t="s">
        <v>21</v>
      </c>
      <c r="E1636" s="36" t="s">
        <v>8458</v>
      </c>
      <c r="F1636" s="16" t="s">
        <v>91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8878</v>
      </c>
      <c r="K1636" s="16"/>
      <c r="L1636" s="16"/>
      <c r="M1636" s="20">
        <v>51</v>
      </c>
      <c r="N1636" s="19" t="s">
        <v>8474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8581</v>
      </c>
      <c r="B1637" s="16" t="s">
        <v>8160</v>
      </c>
      <c r="C1637" s="16" t="s">
        <v>8751</v>
      </c>
      <c r="D1637" s="16" t="s">
        <v>21</v>
      </c>
      <c r="E1637" s="36" t="s">
        <v>8458</v>
      </c>
      <c r="F1637" s="16" t="s">
        <v>93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8878</v>
      </c>
      <c r="K1637" s="16"/>
      <c r="L1637" s="16"/>
      <c r="M1637" s="20">
        <v>56</v>
      </c>
      <c r="N1637" s="19" t="s">
        <v>8474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8582</v>
      </c>
      <c r="B1638" s="16" t="s">
        <v>8161</v>
      </c>
      <c r="C1638" s="16" t="s">
        <v>8752</v>
      </c>
      <c r="D1638" s="16" t="s">
        <v>21</v>
      </c>
      <c r="E1638" s="36" t="s">
        <v>8458</v>
      </c>
      <c r="F1638" s="16" t="s">
        <v>95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8878</v>
      </c>
      <c r="K1638" s="16"/>
      <c r="L1638" s="16"/>
      <c r="M1638" s="20">
        <v>62</v>
      </c>
      <c r="N1638" s="19" t="s">
        <v>8474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8583</v>
      </c>
      <c r="B1639" s="16" t="s">
        <v>8162</v>
      </c>
      <c r="C1639" s="16" t="s">
        <v>8753</v>
      </c>
      <c r="D1639" s="16" t="s">
        <v>21</v>
      </c>
      <c r="E1639" s="36" t="s">
        <v>8458</v>
      </c>
      <c r="F1639" s="16" t="s">
        <v>97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8878</v>
      </c>
      <c r="K1639" s="16"/>
      <c r="L1639" s="16"/>
      <c r="M1639" s="20">
        <v>68</v>
      </c>
      <c r="N1639" s="19" t="s">
        <v>8474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8584</v>
      </c>
      <c r="B1640" s="16" t="s">
        <v>8163</v>
      </c>
      <c r="C1640" s="16" t="s">
        <v>8754</v>
      </c>
      <c r="D1640" s="16" t="s">
        <v>21</v>
      </c>
      <c r="E1640" s="36" t="s">
        <v>8458</v>
      </c>
      <c r="F1640" s="16" t="s">
        <v>99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8878</v>
      </c>
      <c r="K1640" s="16"/>
      <c r="L1640" s="16"/>
      <c r="M1640" s="20">
        <v>75</v>
      </c>
      <c r="N1640" s="19" t="s">
        <v>8474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6"/>
      <c r="Z1640" s="25"/>
      <c r="AA1640" s="17"/>
      <c r="AB1640" s="17"/>
    </row>
    <row r="1641" spans="1:28">
      <c r="A1641" s="16" t="s">
        <v>8585</v>
      </c>
      <c r="B1641" s="16" t="s">
        <v>8164</v>
      </c>
      <c r="C1641" s="16" t="s">
        <v>8755</v>
      </c>
      <c r="D1641" s="16" t="s">
        <v>21</v>
      </c>
      <c r="E1641" s="36" t="s">
        <v>8458</v>
      </c>
      <c r="F1641" s="16" t="s">
        <v>101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8878</v>
      </c>
      <c r="K1641" s="16"/>
      <c r="L1641" s="16"/>
      <c r="M1641" s="20">
        <v>82</v>
      </c>
      <c r="N1641" s="19" t="s">
        <v>8474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6"/>
      <c r="Y1641" s="16"/>
      <c r="AA1641" s="17"/>
      <c r="AB1641" s="17"/>
    </row>
    <row r="1642" spans="1:28">
      <c r="A1642" s="16" t="s">
        <v>8586</v>
      </c>
      <c r="B1642" s="16" t="s">
        <v>8165</v>
      </c>
      <c r="C1642" s="16" t="s">
        <v>8756</v>
      </c>
      <c r="D1642" s="16" t="s">
        <v>21</v>
      </c>
      <c r="E1642" s="36" t="s">
        <v>8458</v>
      </c>
      <c r="F1642" s="16" t="s">
        <v>103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8878</v>
      </c>
      <c r="K1642" s="16"/>
      <c r="L1642" s="16"/>
      <c r="M1642" s="20">
        <v>91</v>
      </c>
      <c r="N1642" s="19" t="s">
        <v>8474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8587</v>
      </c>
      <c r="B1643" s="16" t="s">
        <v>8166</v>
      </c>
      <c r="C1643" s="16" t="s">
        <v>8757</v>
      </c>
      <c r="D1643" s="16" t="s">
        <v>21</v>
      </c>
      <c r="E1643" s="36" t="s">
        <v>8458</v>
      </c>
      <c r="F1643" s="16" t="s">
        <v>105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8878</v>
      </c>
      <c r="K1643" s="16"/>
      <c r="L1643" s="16"/>
      <c r="M1643" s="20">
        <v>100</v>
      </c>
      <c r="N1643" s="19" t="s">
        <v>8474</v>
      </c>
      <c r="O1643" s="16" t="s">
        <v>4414</v>
      </c>
      <c r="P1643" s="16" t="s">
        <v>8476</v>
      </c>
      <c r="Q1643" s="16" t="s">
        <v>25</v>
      </c>
      <c r="R1643" s="16" t="s">
        <v>10593</v>
      </c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8588</v>
      </c>
      <c r="B1644" s="16" t="s">
        <v>8167</v>
      </c>
      <c r="C1644" s="16" t="s">
        <v>8758</v>
      </c>
      <c r="D1644" s="16" t="s">
        <v>21</v>
      </c>
      <c r="E1644" s="36" t="s">
        <v>8458</v>
      </c>
      <c r="F1644" s="16" t="s">
        <v>109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8878</v>
      </c>
      <c r="K1644" s="16"/>
      <c r="L1644" s="16"/>
      <c r="M1644" s="20">
        <v>110</v>
      </c>
      <c r="N1644" s="19" t="s">
        <v>8474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8589</v>
      </c>
      <c r="B1645" s="16" t="s">
        <v>8168</v>
      </c>
      <c r="C1645" s="16" t="s">
        <v>8759</v>
      </c>
      <c r="D1645" s="16" t="s">
        <v>21</v>
      </c>
      <c r="E1645" s="36" t="s">
        <v>8458</v>
      </c>
      <c r="F1645" s="16" t="s">
        <v>111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8878</v>
      </c>
      <c r="K1645" s="16"/>
      <c r="L1645" s="16"/>
      <c r="M1645" s="20">
        <v>120</v>
      </c>
      <c r="N1645" s="19" t="s">
        <v>8474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7"/>
      <c r="Z1645" s="17"/>
      <c r="AA1645" s="17"/>
      <c r="AB1645" s="17"/>
    </row>
    <row r="1646" spans="1:28">
      <c r="A1646" s="16" t="s">
        <v>8590</v>
      </c>
      <c r="B1646" s="16" t="s">
        <v>8169</v>
      </c>
      <c r="C1646" s="16" t="s">
        <v>8760</v>
      </c>
      <c r="D1646" s="16" t="s">
        <v>21</v>
      </c>
      <c r="E1646" s="36" t="s">
        <v>8458</v>
      </c>
      <c r="F1646" s="16" t="s">
        <v>113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8878</v>
      </c>
      <c r="K1646" s="16"/>
      <c r="L1646" s="16"/>
      <c r="M1646" s="20">
        <v>130</v>
      </c>
      <c r="N1646" s="19" t="s">
        <v>8474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8591</v>
      </c>
      <c r="B1647" s="16" t="s">
        <v>8170</v>
      </c>
      <c r="C1647" s="16" t="s">
        <v>8761</v>
      </c>
      <c r="D1647" s="16" t="s">
        <v>21</v>
      </c>
      <c r="E1647" s="36" t="s">
        <v>8458</v>
      </c>
      <c r="F1647" s="16" t="s">
        <v>115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8878</v>
      </c>
      <c r="K1647" s="16"/>
      <c r="L1647" s="16"/>
      <c r="M1647" s="20">
        <v>150</v>
      </c>
      <c r="N1647" s="19" t="s">
        <v>8474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8592</v>
      </c>
      <c r="B1648" s="16" t="s">
        <v>8171</v>
      </c>
      <c r="C1648" s="16" t="s">
        <v>8762</v>
      </c>
      <c r="D1648" s="16" t="s">
        <v>21</v>
      </c>
      <c r="E1648" s="36" t="s">
        <v>8458</v>
      </c>
      <c r="F1648" s="16" t="s">
        <v>117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8878</v>
      </c>
      <c r="K1648" s="16"/>
      <c r="L1648" s="16"/>
      <c r="M1648" s="20">
        <v>160</v>
      </c>
      <c r="N1648" s="19" t="s">
        <v>8474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8593</v>
      </c>
      <c r="B1649" s="16" t="s">
        <v>8172</v>
      </c>
      <c r="C1649" s="16" t="s">
        <v>8763</v>
      </c>
      <c r="D1649" s="16" t="s">
        <v>21</v>
      </c>
      <c r="E1649" s="36" t="s">
        <v>8458</v>
      </c>
      <c r="F1649" s="16" t="s">
        <v>119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8878</v>
      </c>
      <c r="K1649" s="16"/>
      <c r="L1649" s="16"/>
      <c r="M1649" s="20">
        <v>180</v>
      </c>
      <c r="N1649" s="19" t="s">
        <v>8474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8594</v>
      </c>
      <c r="B1650" s="16" t="s">
        <v>8173</v>
      </c>
      <c r="C1650" s="16" t="s">
        <v>8764</v>
      </c>
      <c r="D1650" s="16" t="s">
        <v>21</v>
      </c>
      <c r="E1650" s="36" t="s">
        <v>8458</v>
      </c>
      <c r="F1650" s="16" t="s">
        <v>123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8878</v>
      </c>
      <c r="K1650" s="16"/>
      <c r="L1650" s="16"/>
      <c r="M1650" s="20">
        <v>200</v>
      </c>
      <c r="N1650" s="19" t="s">
        <v>8474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8595</v>
      </c>
      <c r="B1651" s="16" t="s">
        <v>8174</v>
      </c>
      <c r="C1651" s="16" t="s">
        <v>8765</v>
      </c>
      <c r="D1651" s="16" t="s">
        <v>21</v>
      </c>
      <c r="E1651" s="36" t="s">
        <v>8458</v>
      </c>
      <c r="F1651" s="16" t="s">
        <v>125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8878</v>
      </c>
      <c r="K1651" s="16"/>
      <c r="L1651" s="16"/>
      <c r="M1651" s="20">
        <v>220</v>
      </c>
      <c r="N1651" s="19" t="s">
        <v>8474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6"/>
      <c r="X1651" s="17"/>
      <c r="Y1651" s="16"/>
      <c r="Z1651" s="17"/>
      <c r="AA1651" s="16"/>
      <c r="AB1651" s="17"/>
    </row>
    <row r="1652" spans="1:28">
      <c r="A1652" s="16" t="s">
        <v>8596</v>
      </c>
      <c r="B1652" s="16" t="s">
        <v>8175</v>
      </c>
      <c r="C1652" s="16" t="s">
        <v>8766</v>
      </c>
      <c r="D1652" s="16" t="s">
        <v>21</v>
      </c>
      <c r="E1652" s="36" t="s">
        <v>8458</v>
      </c>
      <c r="F1652" s="16" t="s">
        <v>129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8878</v>
      </c>
      <c r="K1652" s="16"/>
      <c r="L1652" s="16"/>
      <c r="M1652" s="20">
        <v>240</v>
      </c>
      <c r="N1652" s="19" t="s">
        <v>8474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8597</v>
      </c>
      <c r="B1653" s="16" t="s">
        <v>8176</v>
      </c>
      <c r="C1653" s="16" t="s">
        <v>8767</v>
      </c>
      <c r="D1653" s="16" t="s">
        <v>21</v>
      </c>
      <c r="E1653" s="36" t="s">
        <v>8458</v>
      </c>
      <c r="F1653" s="16" t="s">
        <v>131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8878</v>
      </c>
      <c r="K1653" s="16"/>
      <c r="L1653" s="16"/>
      <c r="M1653" s="20">
        <v>270</v>
      </c>
      <c r="N1653" s="19" t="s">
        <v>8474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6"/>
      <c r="X1653" s="17"/>
      <c r="Y1653" s="16"/>
      <c r="Z1653" s="17"/>
      <c r="AA1653" s="16"/>
      <c r="AB1653" s="17"/>
    </row>
    <row r="1654" spans="1:28">
      <c r="A1654" s="16" t="s">
        <v>8598</v>
      </c>
      <c r="B1654" s="16" t="s">
        <v>8177</v>
      </c>
      <c r="C1654" s="16" t="s">
        <v>8768</v>
      </c>
      <c r="D1654" s="16" t="s">
        <v>21</v>
      </c>
      <c r="E1654" s="36" t="s">
        <v>8458</v>
      </c>
      <c r="F1654" s="16" t="s">
        <v>133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8878</v>
      </c>
      <c r="K1654" s="16"/>
      <c r="L1654" s="16"/>
      <c r="M1654" s="20">
        <v>300</v>
      </c>
      <c r="N1654" s="19" t="s">
        <v>8474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8599</v>
      </c>
      <c r="B1655" s="16" t="s">
        <v>8178</v>
      </c>
      <c r="C1655" s="16" t="s">
        <v>8769</v>
      </c>
      <c r="D1655" s="16" t="s">
        <v>21</v>
      </c>
      <c r="E1655" s="36" t="s">
        <v>8458</v>
      </c>
      <c r="F1655" s="16" t="s">
        <v>137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8878</v>
      </c>
      <c r="K1655" s="16"/>
      <c r="L1655" s="16"/>
      <c r="M1655" s="20">
        <v>330</v>
      </c>
      <c r="N1655" s="19" t="s">
        <v>8474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6"/>
      <c r="X1655" s="17"/>
      <c r="Y1655" s="16"/>
      <c r="Z1655" s="17"/>
      <c r="AA1655" s="16"/>
      <c r="AB1655" s="17"/>
    </row>
    <row r="1656" spans="1:28">
      <c r="A1656" s="16" t="s">
        <v>8600</v>
      </c>
      <c r="B1656" s="16" t="s">
        <v>8179</v>
      </c>
      <c r="C1656" s="16" t="s">
        <v>8770</v>
      </c>
      <c r="D1656" s="16" t="s">
        <v>21</v>
      </c>
      <c r="E1656" s="36" t="s">
        <v>8458</v>
      </c>
      <c r="F1656" s="16" t="s">
        <v>139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8878</v>
      </c>
      <c r="K1656" s="16"/>
      <c r="L1656" s="16"/>
      <c r="M1656" s="20">
        <v>360</v>
      </c>
      <c r="N1656" s="19" t="s">
        <v>8474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8601</v>
      </c>
      <c r="B1657" s="16" t="s">
        <v>8180</v>
      </c>
      <c r="C1657" s="16" t="s">
        <v>8771</v>
      </c>
      <c r="D1657" s="16" t="s">
        <v>21</v>
      </c>
      <c r="E1657" s="36" t="s">
        <v>8458</v>
      </c>
      <c r="F1657" s="16" t="s">
        <v>141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8878</v>
      </c>
      <c r="K1657" s="16"/>
      <c r="L1657" s="16"/>
      <c r="M1657" s="20">
        <v>390</v>
      </c>
      <c r="N1657" s="19" t="s">
        <v>8474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8602</v>
      </c>
      <c r="B1658" s="16" t="s">
        <v>8181</v>
      </c>
      <c r="C1658" s="16" t="s">
        <v>8772</v>
      </c>
      <c r="D1658" s="16" t="s">
        <v>21</v>
      </c>
      <c r="E1658" s="36" t="s">
        <v>8458</v>
      </c>
      <c r="F1658" s="16" t="s">
        <v>143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8878</v>
      </c>
      <c r="K1658" s="16"/>
      <c r="L1658" s="16"/>
      <c r="M1658" s="20">
        <v>430</v>
      </c>
      <c r="N1658" s="19" t="s">
        <v>8474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8603</v>
      </c>
      <c r="B1659" s="16" t="s">
        <v>8182</v>
      </c>
      <c r="C1659" s="16" t="s">
        <v>8773</v>
      </c>
      <c r="D1659" s="16" t="s">
        <v>21</v>
      </c>
      <c r="E1659" s="36" t="s">
        <v>8458</v>
      </c>
      <c r="F1659" s="16" t="s">
        <v>145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8878</v>
      </c>
      <c r="K1659" s="16"/>
      <c r="L1659" s="16"/>
      <c r="M1659" s="20">
        <v>470</v>
      </c>
      <c r="N1659" s="19" t="s">
        <v>8474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7"/>
      <c r="Z1659" s="17"/>
      <c r="AA1659" s="17"/>
      <c r="AB1659" s="17"/>
    </row>
    <row r="1660" spans="1:28">
      <c r="A1660" s="16" t="s">
        <v>8604</v>
      </c>
      <c r="B1660" s="16" t="s">
        <v>8183</v>
      </c>
      <c r="C1660" s="16" t="s">
        <v>8774</v>
      </c>
      <c r="D1660" s="16" t="s">
        <v>21</v>
      </c>
      <c r="E1660" s="36" t="s">
        <v>8458</v>
      </c>
      <c r="F1660" s="16" t="s">
        <v>149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8878</v>
      </c>
      <c r="K1660" s="16"/>
      <c r="L1660" s="16"/>
      <c r="M1660" s="20">
        <v>510</v>
      </c>
      <c r="N1660" s="19" t="s">
        <v>8474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8605</v>
      </c>
      <c r="B1661" s="16" t="s">
        <v>8184</v>
      </c>
      <c r="C1661" s="16" t="s">
        <v>8775</v>
      </c>
      <c r="D1661" s="16" t="s">
        <v>21</v>
      </c>
      <c r="E1661" s="36" t="s">
        <v>8458</v>
      </c>
      <c r="F1661" s="16" t="s">
        <v>151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8878</v>
      </c>
      <c r="K1661" s="16"/>
      <c r="L1661" s="16"/>
      <c r="M1661" s="20">
        <v>560</v>
      </c>
      <c r="N1661" s="19" t="s">
        <v>8474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8606</v>
      </c>
      <c r="B1662" s="16" t="s">
        <v>8185</v>
      </c>
      <c r="C1662" s="16" t="s">
        <v>8776</v>
      </c>
      <c r="D1662" s="16" t="s">
        <v>21</v>
      </c>
      <c r="E1662" s="36" t="s">
        <v>8458</v>
      </c>
      <c r="F1662" s="16" t="s">
        <v>153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8878</v>
      </c>
      <c r="K1662" s="16"/>
      <c r="L1662" s="16"/>
      <c r="M1662" s="20">
        <v>620</v>
      </c>
      <c r="N1662" s="19" t="s">
        <v>8474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8607</v>
      </c>
      <c r="B1663" s="16" t="s">
        <v>8186</v>
      </c>
      <c r="C1663" s="16" t="s">
        <v>8777</v>
      </c>
      <c r="D1663" s="16" t="s">
        <v>21</v>
      </c>
      <c r="E1663" s="36" t="s">
        <v>8458</v>
      </c>
      <c r="F1663" s="16" t="s">
        <v>155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8878</v>
      </c>
      <c r="K1663" s="16"/>
      <c r="L1663" s="16"/>
      <c r="M1663" s="20">
        <v>680</v>
      </c>
      <c r="N1663" s="19" t="s">
        <v>8474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8608</v>
      </c>
      <c r="B1664" s="16" t="s">
        <v>8187</v>
      </c>
      <c r="C1664" s="16" t="s">
        <v>8778</v>
      </c>
      <c r="D1664" s="16" t="s">
        <v>21</v>
      </c>
      <c r="E1664" s="36" t="s">
        <v>8458</v>
      </c>
      <c r="F1664" s="16" t="s">
        <v>157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8878</v>
      </c>
      <c r="K1664" s="16"/>
      <c r="L1664" s="16"/>
      <c r="M1664" s="20">
        <v>750</v>
      </c>
      <c r="N1664" s="19" t="s">
        <v>8474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8609</v>
      </c>
      <c r="B1665" s="16" t="s">
        <v>8188</v>
      </c>
      <c r="C1665" s="16" t="s">
        <v>8779</v>
      </c>
      <c r="D1665" s="16" t="s">
        <v>21</v>
      </c>
      <c r="E1665" s="36" t="s">
        <v>8458</v>
      </c>
      <c r="F1665" s="16" t="s">
        <v>159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8878</v>
      </c>
      <c r="K1665" s="16"/>
      <c r="L1665" s="16"/>
      <c r="M1665" s="20">
        <v>820</v>
      </c>
      <c r="N1665" s="19" t="s">
        <v>8474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8610</v>
      </c>
      <c r="B1666" s="16" t="s">
        <v>8189</v>
      </c>
      <c r="C1666" s="16" t="s">
        <v>8780</v>
      </c>
      <c r="D1666" s="16" t="s">
        <v>21</v>
      </c>
      <c r="E1666" s="36" t="s">
        <v>8458</v>
      </c>
      <c r="F1666" s="16" t="s">
        <v>161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8878</v>
      </c>
      <c r="K1666" s="16"/>
      <c r="L1666" s="16"/>
      <c r="M1666" s="20">
        <v>910</v>
      </c>
      <c r="N1666" s="19" t="s">
        <v>8474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8611</v>
      </c>
      <c r="B1667" s="16" t="s">
        <v>8190</v>
      </c>
      <c r="C1667" s="16" t="s">
        <v>8781</v>
      </c>
      <c r="D1667" s="16" t="s">
        <v>21</v>
      </c>
      <c r="E1667" s="36" t="s">
        <v>8458</v>
      </c>
      <c r="F1667" s="16" t="s">
        <v>163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8878</v>
      </c>
      <c r="K1667" s="16"/>
      <c r="L1667" s="16"/>
      <c r="M1667" s="20">
        <v>1000</v>
      </c>
      <c r="N1667" s="19" t="s">
        <v>8474</v>
      </c>
      <c r="O1667" s="16" t="s">
        <v>4414</v>
      </c>
      <c r="P1667" s="16" t="s">
        <v>8475</v>
      </c>
      <c r="Q1667" s="16" t="s">
        <v>25</v>
      </c>
      <c r="R1667" s="16" t="s">
        <v>10594</v>
      </c>
      <c r="S1667" s="16"/>
      <c r="T1667" s="16"/>
      <c r="U1667" s="16"/>
      <c r="V1667" s="16"/>
      <c r="W1667" s="17"/>
      <c r="X1667" s="17"/>
      <c r="Y1667" s="16"/>
      <c r="Z1667" s="17"/>
      <c r="AA1667" s="17"/>
      <c r="AB1667" s="17"/>
    </row>
    <row r="1668" spans="1:28">
      <c r="A1668" s="16" t="s">
        <v>8612</v>
      </c>
      <c r="B1668" s="16" t="s">
        <v>8191</v>
      </c>
      <c r="C1668" s="16" t="s">
        <v>8782</v>
      </c>
      <c r="D1668" s="16" t="s">
        <v>21</v>
      </c>
      <c r="E1668" s="36" t="s">
        <v>8458</v>
      </c>
      <c r="F1668" s="16" t="s">
        <v>165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8878</v>
      </c>
      <c r="K1668" s="16"/>
      <c r="L1668" s="16"/>
      <c r="M1668" s="20">
        <v>1100</v>
      </c>
      <c r="N1668" s="19" t="s">
        <v>8474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8613</v>
      </c>
      <c r="B1669" s="16" t="s">
        <v>8192</v>
      </c>
      <c r="C1669" s="16" t="s">
        <v>8783</v>
      </c>
      <c r="D1669" s="16" t="s">
        <v>21</v>
      </c>
      <c r="E1669" s="36" t="s">
        <v>8458</v>
      </c>
      <c r="F1669" s="16" t="s">
        <v>167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8878</v>
      </c>
      <c r="K1669" s="16"/>
      <c r="L1669" s="16"/>
      <c r="M1669" s="20">
        <v>1200</v>
      </c>
      <c r="N1669" s="19" t="s">
        <v>8474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8614</v>
      </c>
      <c r="B1670" s="16" t="s">
        <v>8193</v>
      </c>
      <c r="C1670" s="16" t="s">
        <v>8784</v>
      </c>
      <c r="D1670" s="16" t="s">
        <v>21</v>
      </c>
      <c r="E1670" s="36" t="s">
        <v>8458</v>
      </c>
      <c r="F1670" s="16" t="s">
        <v>169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8878</v>
      </c>
      <c r="K1670" s="16"/>
      <c r="L1670" s="16"/>
      <c r="M1670" s="20">
        <v>1300</v>
      </c>
      <c r="N1670" s="19" t="s">
        <v>8474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8615</v>
      </c>
      <c r="B1671" s="16" t="s">
        <v>8194</v>
      </c>
      <c r="C1671" s="16" t="s">
        <v>8785</v>
      </c>
      <c r="D1671" s="16" t="s">
        <v>21</v>
      </c>
      <c r="E1671" s="36" t="s">
        <v>8458</v>
      </c>
      <c r="F1671" s="16" t="s">
        <v>171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8878</v>
      </c>
      <c r="K1671" s="16"/>
      <c r="L1671" s="16"/>
      <c r="M1671" s="20">
        <v>1500</v>
      </c>
      <c r="N1671" s="19" t="s">
        <v>8474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6"/>
      <c r="X1671" s="17"/>
      <c r="Y1671" s="16"/>
      <c r="Z1671" s="17"/>
      <c r="AA1671" s="16"/>
      <c r="AB1671" s="17"/>
    </row>
    <row r="1672" spans="1:28">
      <c r="A1672" s="16" t="s">
        <v>8616</v>
      </c>
      <c r="B1672" s="16" t="s">
        <v>8195</v>
      </c>
      <c r="C1672" s="16" t="s">
        <v>8786</v>
      </c>
      <c r="D1672" s="16" t="s">
        <v>21</v>
      </c>
      <c r="E1672" s="36" t="s">
        <v>8458</v>
      </c>
      <c r="F1672" s="16" t="s">
        <v>175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8878</v>
      </c>
      <c r="K1672" s="16"/>
      <c r="L1672" s="16"/>
      <c r="M1672" s="20">
        <v>1600</v>
      </c>
      <c r="N1672" s="19" t="s">
        <v>8474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7"/>
      <c r="X1672" s="17"/>
      <c r="Y1672" s="17"/>
      <c r="Z1672" s="17"/>
      <c r="AA1672" s="17"/>
      <c r="AB1672" s="17"/>
    </row>
    <row r="1673" spans="1:28">
      <c r="A1673" s="16" t="s">
        <v>8617</v>
      </c>
      <c r="B1673" s="16" t="s">
        <v>8196</v>
      </c>
      <c r="C1673" s="16" t="s">
        <v>8787</v>
      </c>
      <c r="D1673" s="16" t="s">
        <v>21</v>
      </c>
      <c r="E1673" s="36" t="s">
        <v>8458</v>
      </c>
      <c r="F1673" s="16" t="s">
        <v>181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8878</v>
      </c>
      <c r="K1673" s="16"/>
      <c r="L1673" s="16"/>
      <c r="M1673" s="20">
        <v>1800</v>
      </c>
      <c r="N1673" s="19" t="s">
        <v>8474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8618</v>
      </c>
      <c r="B1674" s="16" t="s">
        <v>8197</v>
      </c>
      <c r="C1674" s="16" t="s">
        <v>8788</v>
      </c>
      <c r="D1674" s="16" t="s">
        <v>21</v>
      </c>
      <c r="E1674" s="36" t="s">
        <v>8458</v>
      </c>
      <c r="F1674" s="16" t="s">
        <v>183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8878</v>
      </c>
      <c r="K1674" s="16"/>
      <c r="L1674" s="16"/>
      <c r="M1674" s="20">
        <v>2000</v>
      </c>
      <c r="N1674" s="19" t="s">
        <v>8474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6"/>
      <c r="Z1674" s="17"/>
      <c r="AA1674" s="17"/>
      <c r="AB1674" s="17"/>
    </row>
    <row r="1675" spans="1:28">
      <c r="A1675" s="16" t="s">
        <v>8619</v>
      </c>
      <c r="B1675" s="16" t="s">
        <v>8198</v>
      </c>
      <c r="C1675" s="16" t="s">
        <v>8789</v>
      </c>
      <c r="D1675" s="16" t="s">
        <v>21</v>
      </c>
      <c r="E1675" s="36" t="s">
        <v>8458</v>
      </c>
      <c r="F1675" s="16" t="s">
        <v>187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8878</v>
      </c>
      <c r="K1675" s="16"/>
      <c r="L1675" s="16"/>
      <c r="M1675" s="20">
        <v>2200</v>
      </c>
      <c r="N1675" s="19" t="s">
        <v>8474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6"/>
      <c r="Y1675" s="16"/>
      <c r="AA1675" s="17"/>
      <c r="AB1675" s="17"/>
    </row>
    <row r="1676" spans="1:28">
      <c r="A1676" s="16" t="s">
        <v>8620</v>
      </c>
      <c r="B1676" s="16" t="s">
        <v>8199</v>
      </c>
      <c r="C1676" s="16" t="s">
        <v>8790</v>
      </c>
      <c r="D1676" s="16" t="s">
        <v>21</v>
      </c>
      <c r="E1676" s="36" t="s">
        <v>8458</v>
      </c>
      <c r="F1676" s="16" t="s">
        <v>191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8878</v>
      </c>
      <c r="K1676" s="16"/>
      <c r="L1676" s="16"/>
      <c r="M1676" s="20">
        <v>2400</v>
      </c>
      <c r="N1676" s="19" t="s">
        <v>8474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8621</v>
      </c>
      <c r="B1677" s="16" t="s">
        <v>8200</v>
      </c>
      <c r="C1677" s="16" t="s">
        <v>8791</v>
      </c>
      <c r="D1677" s="16" t="s">
        <v>21</v>
      </c>
      <c r="E1677" s="36" t="s">
        <v>8458</v>
      </c>
      <c r="F1677" s="16" t="s">
        <v>193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8878</v>
      </c>
      <c r="K1677" s="16"/>
      <c r="L1677" s="16"/>
      <c r="M1677" s="20">
        <v>2700</v>
      </c>
      <c r="N1677" s="19" t="s">
        <v>8474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8622</v>
      </c>
      <c r="B1678" s="16" t="s">
        <v>8201</v>
      </c>
      <c r="C1678" s="16" t="s">
        <v>8792</v>
      </c>
      <c r="D1678" s="16" t="s">
        <v>21</v>
      </c>
      <c r="E1678" s="36" t="s">
        <v>8458</v>
      </c>
      <c r="F1678" s="16" t="s">
        <v>197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8878</v>
      </c>
      <c r="K1678" s="16"/>
      <c r="L1678" s="16"/>
      <c r="M1678" s="20">
        <v>3000</v>
      </c>
      <c r="N1678" s="19" t="s">
        <v>8474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8623</v>
      </c>
      <c r="B1679" s="16" t="s">
        <v>8202</v>
      </c>
      <c r="C1679" s="16" t="s">
        <v>8793</v>
      </c>
      <c r="D1679" s="16" t="s">
        <v>21</v>
      </c>
      <c r="E1679" s="36" t="s">
        <v>8458</v>
      </c>
      <c r="F1679" s="16" t="s">
        <v>201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8878</v>
      </c>
      <c r="K1679" s="16"/>
      <c r="L1679" s="16"/>
      <c r="M1679" s="20">
        <v>3300</v>
      </c>
      <c r="N1679" s="19" t="s">
        <v>8474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8624</v>
      </c>
      <c r="B1680" s="16" t="s">
        <v>8203</v>
      </c>
      <c r="C1680" s="16" t="s">
        <v>8794</v>
      </c>
      <c r="D1680" s="16" t="s">
        <v>21</v>
      </c>
      <c r="E1680" s="36" t="s">
        <v>8458</v>
      </c>
      <c r="F1680" s="16" t="s">
        <v>203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8878</v>
      </c>
      <c r="K1680" s="16"/>
      <c r="L1680" s="16"/>
      <c r="M1680" s="20">
        <v>3600</v>
      </c>
      <c r="N1680" s="19" t="s">
        <v>8474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8625</v>
      </c>
      <c r="B1681" s="16" t="s">
        <v>8204</v>
      </c>
      <c r="C1681" s="16" t="s">
        <v>8795</v>
      </c>
      <c r="D1681" s="16" t="s">
        <v>21</v>
      </c>
      <c r="E1681" s="36" t="s">
        <v>8458</v>
      </c>
      <c r="F1681" s="16" t="s">
        <v>205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8878</v>
      </c>
      <c r="K1681" s="16"/>
      <c r="L1681" s="16"/>
      <c r="M1681" s="20">
        <v>3900</v>
      </c>
      <c r="N1681" s="19" t="s">
        <v>8474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8626</v>
      </c>
      <c r="B1682" s="16" t="s">
        <v>8205</v>
      </c>
      <c r="C1682" s="16" t="s">
        <v>8796</v>
      </c>
      <c r="D1682" s="16" t="s">
        <v>21</v>
      </c>
      <c r="E1682" s="36" t="s">
        <v>8458</v>
      </c>
      <c r="F1682" s="16" t="s">
        <v>207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8878</v>
      </c>
      <c r="K1682" s="16"/>
      <c r="L1682" s="16"/>
      <c r="M1682" s="20">
        <v>4300</v>
      </c>
      <c r="N1682" s="19" t="s">
        <v>8474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8627</v>
      </c>
      <c r="B1683" s="16" t="s">
        <v>8206</v>
      </c>
      <c r="C1683" s="16" t="s">
        <v>8797</v>
      </c>
      <c r="D1683" s="16" t="s">
        <v>21</v>
      </c>
      <c r="E1683" s="36" t="s">
        <v>8458</v>
      </c>
      <c r="F1683" s="16" t="s">
        <v>209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8878</v>
      </c>
      <c r="K1683" s="16"/>
      <c r="L1683" s="16"/>
      <c r="M1683" s="20">
        <v>4700</v>
      </c>
      <c r="N1683" s="19" t="s">
        <v>8474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6"/>
      <c r="X1683" s="17"/>
      <c r="Y1683" s="16"/>
      <c r="Z1683" s="17"/>
      <c r="AA1683" s="16"/>
      <c r="AB1683" s="17"/>
    </row>
    <row r="1684" spans="1:28">
      <c r="A1684" s="16" t="s">
        <v>8628</v>
      </c>
      <c r="B1684" s="16" t="s">
        <v>8207</v>
      </c>
      <c r="C1684" s="16" t="s">
        <v>8798</v>
      </c>
      <c r="D1684" s="16" t="s">
        <v>21</v>
      </c>
      <c r="E1684" s="36" t="s">
        <v>8458</v>
      </c>
      <c r="F1684" s="16" t="s">
        <v>213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8878</v>
      </c>
      <c r="K1684" s="16"/>
      <c r="L1684" s="16"/>
      <c r="M1684" s="20">
        <v>5100</v>
      </c>
      <c r="N1684" s="19" t="s">
        <v>8474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6"/>
      <c r="X1684" s="17"/>
      <c r="Y1684" s="16"/>
      <c r="Z1684" s="17"/>
      <c r="AA1684" s="16"/>
      <c r="AB1684" s="17"/>
    </row>
    <row r="1685" spans="1:28">
      <c r="A1685" s="16" t="s">
        <v>8629</v>
      </c>
      <c r="B1685" s="16" t="s">
        <v>8208</v>
      </c>
      <c r="C1685" s="16" t="s">
        <v>8799</v>
      </c>
      <c r="D1685" s="16" t="s">
        <v>21</v>
      </c>
      <c r="E1685" s="36" t="s">
        <v>8458</v>
      </c>
      <c r="F1685" s="16" t="s">
        <v>215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8878</v>
      </c>
      <c r="K1685" s="16"/>
      <c r="L1685" s="16"/>
      <c r="M1685" s="20">
        <v>5600</v>
      </c>
      <c r="N1685" s="19" t="s">
        <v>8474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8630</v>
      </c>
      <c r="B1686" s="16" t="s">
        <v>8209</v>
      </c>
      <c r="C1686" s="16" t="s">
        <v>8800</v>
      </c>
      <c r="D1686" s="16" t="s">
        <v>21</v>
      </c>
      <c r="E1686" s="36" t="s">
        <v>8458</v>
      </c>
      <c r="F1686" s="16" t="s">
        <v>217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8878</v>
      </c>
      <c r="K1686" s="16"/>
      <c r="L1686" s="16"/>
      <c r="M1686" s="20">
        <v>6200</v>
      </c>
      <c r="N1686" s="19" t="s">
        <v>8474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8631</v>
      </c>
      <c r="B1687" s="16" t="s">
        <v>8210</v>
      </c>
      <c r="C1687" s="16" t="s">
        <v>8801</v>
      </c>
      <c r="D1687" s="16" t="s">
        <v>21</v>
      </c>
      <c r="E1687" s="36" t="s">
        <v>8458</v>
      </c>
      <c r="F1687" s="16" t="s">
        <v>219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8878</v>
      </c>
      <c r="K1687" s="16"/>
      <c r="L1687" s="16"/>
      <c r="M1687" s="20">
        <v>6800</v>
      </c>
      <c r="N1687" s="19" t="s">
        <v>8474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8632</v>
      </c>
      <c r="B1688" s="16" t="s">
        <v>8211</v>
      </c>
      <c r="C1688" s="16" t="s">
        <v>8802</v>
      </c>
      <c r="D1688" s="16" t="s">
        <v>21</v>
      </c>
      <c r="E1688" s="36" t="s">
        <v>8458</v>
      </c>
      <c r="F1688" s="16" t="s">
        <v>221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8878</v>
      </c>
      <c r="K1688" s="16"/>
      <c r="L1688" s="16"/>
      <c r="M1688" s="20">
        <v>7500</v>
      </c>
      <c r="N1688" s="19" t="s">
        <v>8474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8633</v>
      </c>
      <c r="B1689" s="16" t="s">
        <v>8212</v>
      </c>
      <c r="C1689" s="16" t="s">
        <v>8803</v>
      </c>
      <c r="D1689" s="16" t="s">
        <v>21</v>
      </c>
      <c r="E1689" s="36" t="s">
        <v>8458</v>
      </c>
      <c r="F1689" s="16" t="s">
        <v>223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8878</v>
      </c>
      <c r="K1689" s="16"/>
      <c r="L1689" s="16"/>
      <c r="M1689" s="20">
        <v>8200</v>
      </c>
      <c r="N1689" s="19" t="s">
        <v>8474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8634</v>
      </c>
      <c r="B1690" s="16" t="s">
        <v>8213</v>
      </c>
      <c r="C1690" s="16" t="s">
        <v>8804</v>
      </c>
      <c r="D1690" s="16" t="s">
        <v>21</v>
      </c>
      <c r="E1690" s="36" t="s">
        <v>8458</v>
      </c>
      <c r="F1690" s="16" t="s">
        <v>225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8878</v>
      </c>
      <c r="K1690" s="16"/>
      <c r="L1690" s="16"/>
      <c r="M1690" s="20">
        <v>9100</v>
      </c>
      <c r="N1690" s="19" t="s">
        <v>8474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8635</v>
      </c>
      <c r="B1691" s="16" t="s">
        <v>8214</v>
      </c>
      <c r="C1691" s="16" t="s">
        <v>8805</v>
      </c>
      <c r="D1691" s="16" t="s">
        <v>21</v>
      </c>
      <c r="E1691" s="36" t="s">
        <v>8458</v>
      </c>
      <c r="F1691" s="16" t="s">
        <v>229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8878</v>
      </c>
      <c r="K1691" s="16"/>
      <c r="L1691" s="16"/>
      <c r="M1691" s="20">
        <v>10000</v>
      </c>
      <c r="N1691" s="19" t="s">
        <v>8474</v>
      </c>
      <c r="O1691" s="16" t="s">
        <v>4414</v>
      </c>
      <c r="P1691" s="16" t="s">
        <v>8459</v>
      </c>
      <c r="Q1691" s="16" t="s">
        <v>25</v>
      </c>
      <c r="R1691" s="16" t="s">
        <v>10595</v>
      </c>
      <c r="S1691" s="16" t="s">
        <v>4414</v>
      </c>
      <c r="T1691" s="16" t="s">
        <v>8459</v>
      </c>
      <c r="U1691" s="16" t="s">
        <v>8461</v>
      </c>
      <c r="V1691" s="16" t="s">
        <v>8462</v>
      </c>
      <c r="W1691" s="17"/>
      <c r="X1691" s="17"/>
      <c r="Y1691" s="16"/>
      <c r="Z1691" s="17"/>
      <c r="AA1691" s="17"/>
      <c r="AB1691" s="17"/>
    </row>
    <row r="1692" spans="1:28">
      <c r="A1692" s="16" t="s">
        <v>8636</v>
      </c>
      <c r="B1692" s="16" t="s">
        <v>8215</v>
      </c>
      <c r="C1692" s="16" t="s">
        <v>8806</v>
      </c>
      <c r="D1692" s="16" t="s">
        <v>21</v>
      </c>
      <c r="E1692" s="36" t="s">
        <v>8458</v>
      </c>
      <c r="F1692" s="16" t="s">
        <v>233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8878</v>
      </c>
      <c r="K1692" s="16"/>
      <c r="L1692" s="16"/>
      <c r="M1692" s="20">
        <v>11000</v>
      </c>
      <c r="N1692" s="19" t="s">
        <v>8474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8637</v>
      </c>
      <c r="B1693" s="16" t="s">
        <v>8216</v>
      </c>
      <c r="C1693" s="16" t="s">
        <v>8807</v>
      </c>
      <c r="D1693" s="16" t="s">
        <v>21</v>
      </c>
      <c r="E1693" s="36" t="s">
        <v>8458</v>
      </c>
      <c r="F1693" s="16" t="s">
        <v>235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8878</v>
      </c>
      <c r="K1693" s="16"/>
      <c r="L1693" s="16"/>
      <c r="M1693" s="20">
        <v>12000</v>
      </c>
      <c r="N1693" s="19" t="s">
        <v>8474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7"/>
      <c r="Z1693" s="17"/>
      <c r="AA1693" s="17"/>
      <c r="AB1693" s="17"/>
    </row>
    <row r="1694" spans="1:28">
      <c r="A1694" s="16" t="s">
        <v>8638</v>
      </c>
      <c r="B1694" s="16" t="s">
        <v>8217</v>
      </c>
      <c r="C1694" s="16" t="s">
        <v>8808</v>
      </c>
      <c r="D1694" s="16" t="s">
        <v>21</v>
      </c>
      <c r="E1694" s="36" t="s">
        <v>8458</v>
      </c>
      <c r="F1694" s="16" t="s">
        <v>239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8878</v>
      </c>
      <c r="K1694" s="16"/>
      <c r="L1694" s="16"/>
      <c r="M1694" s="20">
        <v>13000</v>
      </c>
      <c r="N1694" s="19" t="s">
        <v>8474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X1694" s="17"/>
      <c r="Y1694" s="16"/>
      <c r="Z1694" s="16"/>
      <c r="AA1694" s="16"/>
      <c r="AB1694" s="17"/>
    </row>
    <row r="1695" spans="1:28">
      <c r="A1695" s="16" t="s">
        <v>8639</v>
      </c>
      <c r="B1695" s="16" t="s">
        <v>8218</v>
      </c>
      <c r="C1695" s="16" t="s">
        <v>8809</v>
      </c>
      <c r="D1695" s="16" t="s">
        <v>21</v>
      </c>
      <c r="E1695" s="36" t="s">
        <v>8458</v>
      </c>
      <c r="F1695" s="16" t="s">
        <v>243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8878</v>
      </c>
      <c r="K1695" s="16"/>
      <c r="L1695" s="16"/>
      <c r="M1695" s="20">
        <v>15000</v>
      </c>
      <c r="N1695" s="19" t="s">
        <v>8474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6"/>
      <c r="Y1695" s="16"/>
      <c r="AA1695" s="16"/>
      <c r="AB1695" s="17"/>
    </row>
    <row r="1696" spans="1:28">
      <c r="A1696" s="16" t="s">
        <v>8640</v>
      </c>
      <c r="B1696" s="16" t="s">
        <v>8219</v>
      </c>
      <c r="C1696" s="16" t="s">
        <v>8810</v>
      </c>
      <c r="D1696" s="16" t="s">
        <v>21</v>
      </c>
      <c r="E1696" s="36" t="s">
        <v>8458</v>
      </c>
      <c r="F1696" s="16" t="s">
        <v>247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8878</v>
      </c>
      <c r="K1696" s="16"/>
      <c r="L1696" s="16"/>
      <c r="M1696" s="20">
        <v>16000</v>
      </c>
      <c r="N1696" s="19" t="s">
        <v>8474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8641</v>
      </c>
      <c r="B1697" s="16" t="s">
        <v>8220</v>
      </c>
      <c r="C1697" s="16" t="s">
        <v>8811</v>
      </c>
      <c r="D1697" s="16" t="s">
        <v>21</v>
      </c>
      <c r="E1697" s="36" t="s">
        <v>8458</v>
      </c>
      <c r="F1697" s="16" t="s">
        <v>251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8878</v>
      </c>
      <c r="K1697" s="16"/>
      <c r="L1697" s="16"/>
      <c r="M1697" s="20">
        <v>18000</v>
      </c>
      <c r="N1697" s="19" t="s">
        <v>8474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8642</v>
      </c>
      <c r="B1698" s="16" t="s">
        <v>8221</v>
      </c>
      <c r="C1698" s="16" t="s">
        <v>8812</v>
      </c>
      <c r="D1698" s="16" t="s">
        <v>21</v>
      </c>
      <c r="E1698" s="36" t="s">
        <v>8458</v>
      </c>
      <c r="F1698" s="16" t="s">
        <v>255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8878</v>
      </c>
      <c r="K1698" s="16"/>
      <c r="L1698" s="16"/>
      <c r="M1698" s="20">
        <v>20000</v>
      </c>
      <c r="N1698" s="19" t="s">
        <v>8474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8643</v>
      </c>
      <c r="B1699" s="16" t="s">
        <v>8222</v>
      </c>
      <c r="C1699" s="16" t="s">
        <v>8813</v>
      </c>
      <c r="D1699" s="16" t="s">
        <v>21</v>
      </c>
      <c r="E1699" s="36" t="s">
        <v>8458</v>
      </c>
      <c r="F1699" s="16" t="s">
        <v>257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8878</v>
      </c>
      <c r="K1699" s="16"/>
      <c r="L1699" s="16"/>
      <c r="M1699" s="20">
        <v>22000</v>
      </c>
      <c r="N1699" s="19" t="s">
        <v>8474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6"/>
      <c r="X1699" s="17"/>
      <c r="Y1699" s="16"/>
      <c r="Z1699" s="16"/>
      <c r="AA1699" s="16"/>
      <c r="AB1699" s="17"/>
    </row>
    <row r="1700" spans="1:28">
      <c r="A1700" s="16" t="s">
        <v>8644</v>
      </c>
      <c r="B1700" s="16" t="s">
        <v>8223</v>
      </c>
      <c r="C1700" s="16" t="s">
        <v>8814</v>
      </c>
      <c r="D1700" s="16" t="s">
        <v>21</v>
      </c>
      <c r="E1700" s="36" t="s">
        <v>8458</v>
      </c>
      <c r="F1700" s="16" t="s">
        <v>259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8878</v>
      </c>
      <c r="K1700" s="16"/>
      <c r="L1700" s="16"/>
      <c r="M1700" s="20">
        <v>24000</v>
      </c>
      <c r="N1700" s="19" t="s">
        <v>8474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8645</v>
      </c>
      <c r="B1701" s="16" t="s">
        <v>8224</v>
      </c>
      <c r="C1701" s="16" t="s">
        <v>8815</v>
      </c>
      <c r="D1701" s="16" t="s">
        <v>21</v>
      </c>
      <c r="E1701" s="36" t="s">
        <v>8458</v>
      </c>
      <c r="F1701" s="16" t="s">
        <v>263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8878</v>
      </c>
      <c r="K1701" s="16"/>
      <c r="L1701" s="16"/>
      <c r="M1701" s="20">
        <v>27000</v>
      </c>
      <c r="N1701" s="19" t="s">
        <v>8474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6"/>
      <c r="Y1701" s="16"/>
      <c r="AA1701" s="17"/>
      <c r="AB1701" s="17"/>
    </row>
    <row r="1702" spans="1:28">
      <c r="A1702" s="16" t="s">
        <v>8646</v>
      </c>
      <c r="B1702" s="16" t="s">
        <v>8225</v>
      </c>
      <c r="C1702" s="16" t="s">
        <v>8816</v>
      </c>
      <c r="D1702" s="16" t="s">
        <v>21</v>
      </c>
      <c r="E1702" s="36" t="s">
        <v>8458</v>
      </c>
      <c r="F1702" s="16" t="s">
        <v>265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8878</v>
      </c>
      <c r="K1702" s="16"/>
      <c r="L1702" s="16"/>
      <c r="M1702" s="20">
        <v>30000</v>
      </c>
      <c r="N1702" s="19" t="s">
        <v>8474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7"/>
      <c r="X1702" s="17"/>
      <c r="Y1702" s="17"/>
      <c r="Z1702" s="17"/>
      <c r="AA1702" s="17"/>
      <c r="AB1702" s="17"/>
    </row>
    <row r="1703" spans="1:28">
      <c r="A1703" s="16" t="s">
        <v>8647</v>
      </c>
      <c r="B1703" s="16" t="s">
        <v>8226</v>
      </c>
      <c r="C1703" s="16" t="s">
        <v>8817</v>
      </c>
      <c r="D1703" s="16" t="s">
        <v>21</v>
      </c>
      <c r="E1703" s="36" t="s">
        <v>8458</v>
      </c>
      <c r="F1703" s="16" t="s">
        <v>267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8878</v>
      </c>
      <c r="K1703" s="16"/>
      <c r="L1703" s="16"/>
      <c r="M1703" s="20">
        <v>33000</v>
      </c>
      <c r="N1703" s="19" t="s">
        <v>8474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8648</v>
      </c>
      <c r="B1704" s="16" t="s">
        <v>8227</v>
      </c>
      <c r="C1704" s="16" t="s">
        <v>8818</v>
      </c>
      <c r="D1704" s="16" t="s">
        <v>21</v>
      </c>
      <c r="E1704" s="36" t="s">
        <v>8458</v>
      </c>
      <c r="F1704" s="16" t="s">
        <v>269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8878</v>
      </c>
      <c r="K1704" s="16"/>
      <c r="L1704" s="16"/>
      <c r="M1704" s="20">
        <v>36000</v>
      </c>
      <c r="N1704" s="19" t="s">
        <v>8474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8649</v>
      </c>
      <c r="B1705" s="16" t="s">
        <v>8228</v>
      </c>
      <c r="C1705" s="16" t="s">
        <v>8819</v>
      </c>
      <c r="D1705" s="16" t="s">
        <v>21</v>
      </c>
      <c r="E1705" s="36" t="s">
        <v>8458</v>
      </c>
      <c r="F1705" s="16" t="s">
        <v>273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8878</v>
      </c>
      <c r="K1705" s="16"/>
      <c r="L1705" s="16"/>
      <c r="M1705" s="20">
        <v>39000</v>
      </c>
      <c r="N1705" s="19" t="s">
        <v>8474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8650</v>
      </c>
      <c r="B1706" s="16" t="s">
        <v>8229</v>
      </c>
      <c r="C1706" s="16" t="s">
        <v>8820</v>
      </c>
      <c r="D1706" s="16" t="s">
        <v>21</v>
      </c>
      <c r="E1706" s="36" t="s">
        <v>8458</v>
      </c>
      <c r="F1706" s="16" t="s">
        <v>277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8878</v>
      </c>
      <c r="K1706" s="16"/>
      <c r="L1706" s="16"/>
      <c r="M1706" s="20">
        <v>43000</v>
      </c>
      <c r="N1706" s="19" t="s">
        <v>8474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8651</v>
      </c>
      <c r="B1707" s="16" t="s">
        <v>8230</v>
      </c>
      <c r="C1707" s="16" t="s">
        <v>8821</v>
      </c>
      <c r="D1707" s="16" t="s">
        <v>21</v>
      </c>
      <c r="E1707" s="36" t="s">
        <v>8458</v>
      </c>
      <c r="F1707" s="16" t="s">
        <v>279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8878</v>
      </c>
      <c r="K1707" s="16"/>
      <c r="L1707" s="16"/>
      <c r="M1707" s="20">
        <v>47000</v>
      </c>
      <c r="N1707" s="19" t="s">
        <v>8474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6"/>
      <c r="X1707" s="17"/>
      <c r="Y1707" s="16"/>
      <c r="Z1707" s="17"/>
      <c r="AA1707" s="16"/>
      <c r="AB1707" s="17"/>
    </row>
    <row r="1708" spans="1:28">
      <c r="A1708" s="16" t="s">
        <v>8652</v>
      </c>
      <c r="B1708" s="16" t="s">
        <v>8231</v>
      </c>
      <c r="C1708" s="16" t="s">
        <v>8822</v>
      </c>
      <c r="D1708" s="16" t="s">
        <v>21</v>
      </c>
      <c r="E1708" s="36" t="s">
        <v>8458</v>
      </c>
      <c r="F1708" s="16" t="s">
        <v>283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8878</v>
      </c>
      <c r="K1708" s="16"/>
      <c r="L1708" s="16"/>
      <c r="M1708" s="20">
        <v>51000</v>
      </c>
      <c r="N1708" s="19" t="s">
        <v>8474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6"/>
      <c r="X1708" s="17"/>
      <c r="Y1708" s="16"/>
      <c r="Z1708" s="25"/>
      <c r="AA1708" s="16"/>
      <c r="AB1708" s="17"/>
    </row>
    <row r="1709" spans="1:28">
      <c r="A1709" s="16" t="s">
        <v>8653</v>
      </c>
      <c r="B1709" s="16" t="s">
        <v>8232</v>
      </c>
      <c r="C1709" s="16" t="s">
        <v>8823</v>
      </c>
      <c r="D1709" s="16" t="s">
        <v>21</v>
      </c>
      <c r="E1709" s="36" t="s">
        <v>8458</v>
      </c>
      <c r="F1709" s="16" t="s">
        <v>287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8878</v>
      </c>
      <c r="K1709" s="16"/>
      <c r="L1709" s="16"/>
      <c r="M1709" s="20">
        <v>56000</v>
      </c>
      <c r="N1709" s="19" t="s">
        <v>8474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8654</v>
      </c>
      <c r="B1710" s="16" t="s">
        <v>8233</v>
      </c>
      <c r="C1710" s="16" t="s">
        <v>8824</v>
      </c>
      <c r="D1710" s="16" t="s">
        <v>21</v>
      </c>
      <c r="E1710" s="36" t="s">
        <v>8458</v>
      </c>
      <c r="F1710" s="16" t="s">
        <v>291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8878</v>
      </c>
      <c r="K1710" s="16"/>
      <c r="L1710" s="16"/>
      <c r="M1710" s="20">
        <v>62000</v>
      </c>
      <c r="N1710" s="19" t="s">
        <v>8474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8655</v>
      </c>
      <c r="B1711" s="16" t="s">
        <v>8234</v>
      </c>
      <c r="C1711" s="16" t="s">
        <v>8825</v>
      </c>
      <c r="D1711" s="16" t="s">
        <v>21</v>
      </c>
      <c r="E1711" s="36" t="s">
        <v>8458</v>
      </c>
      <c r="F1711" s="16" t="s">
        <v>295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8878</v>
      </c>
      <c r="K1711" s="16"/>
      <c r="L1711" s="16"/>
      <c r="M1711" s="20">
        <v>68000</v>
      </c>
      <c r="N1711" s="19" t="s">
        <v>8474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6"/>
      <c r="Y1711" s="16"/>
      <c r="AA1711" s="16"/>
      <c r="AB1711" s="17"/>
    </row>
    <row r="1712" spans="1:28">
      <c r="A1712" s="16" t="s">
        <v>8656</v>
      </c>
      <c r="B1712" s="16" t="s">
        <v>8235</v>
      </c>
      <c r="C1712" s="16" t="s">
        <v>8826</v>
      </c>
      <c r="D1712" s="16" t="s">
        <v>21</v>
      </c>
      <c r="E1712" s="36" t="s">
        <v>8458</v>
      </c>
      <c r="F1712" s="16" t="s">
        <v>299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8878</v>
      </c>
      <c r="K1712" s="16"/>
      <c r="L1712" s="16"/>
      <c r="M1712" s="20">
        <v>75000</v>
      </c>
      <c r="N1712" s="19" t="s">
        <v>8474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Y1712" s="16"/>
      <c r="AA1712" s="16"/>
      <c r="AB1712" s="17"/>
    </row>
    <row r="1713" spans="1:28">
      <c r="A1713" s="16" t="s">
        <v>8657</v>
      </c>
      <c r="B1713" s="16" t="s">
        <v>8236</v>
      </c>
      <c r="C1713" s="16" t="s">
        <v>8827</v>
      </c>
      <c r="D1713" s="16" t="s">
        <v>21</v>
      </c>
      <c r="E1713" s="36" t="s">
        <v>8458</v>
      </c>
      <c r="F1713" s="16" t="s">
        <v>301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8878</v>
      </c>
      <c r="K1713" s="16"/>
      <c r="L1713" s="16"/>
      <c r="M1713" s="20">
        <v>82000</v>
      </c>
      <c r="N1713" s="19" t="s">
        <v>8474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7"/>
      <c r="X1713" s="17"/>
      <c r="Y1713" s="17"/>
      <c r="Z1713" s="17"/>
      <c r="AA1713" s="17"/>
      <c r="AB1713" s="17"/>
    </row>
    <row r="1714" spans="1:28">
      <c r="A1714" s="16" t="s">
        <v>8658</v>
      </c>
      <c r="B1714" s="16" t="s">
        <v>8237</v>
      </c>
      <c r="C1714" s="16" t="s">
        <v>8828</v>
      </c>
      <c r="D1714" s="16" t="s">
        <v>21</v>
      </c>
      <c r="E1714" s="36" t="s">
        <v>8458</v>
      </c>
      <c r="F1714" s="16" t="s">
        <v>303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8878</v>
      </c>
      <c r="K1714" s="16"/>
      <c r="L1714" s="16"/>
      <c r="M1714" s="20">
        <v>91000</v>
      </c>
      <c r="N1714" s="19" t="s">
        <v>8474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8659</v>
      </c>
      <c r="B1715" s="16" t="s">
        <v>8238</v>
      </c>
      <c r="C1715" s="16" t="s">
        <v>8829</v>
      </c>
      <c r="D1715" s="16" t="s">
        <v>21</v>
      </c>
      <c r="E1715" s="36" t="s">
        <v>8458</v>
      </c>
      <c r="F1715" s="16" t="s">
        <v>305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8878</v>
      </c>
      <c r="K1715" s="16"/>
      <c r="L1715" s="16"/>
      <c r="M1715" s="20">
        <v>100000</v>
      </c>
      <c r="N1715" s="19" t="s">
        <v>8474</v>
      </c>
      <c r="O1715" s="16" t="s">
        <v>4414</v>
      </c>
      <c r="P1715" s="16" t="s">
        <v>8460</v>
      </c>
      <c r="Q1715" s="16" t="s">
        <v>25</v>
      </c>
      <c r="R1715" s="16" t="s">
        <v>10596</v>
      </c>
      <c r="S1715" s="16" t="s">
        <v>4414</v>
      </c>
      <c r="T1715" s="16" t="s">
        <v>8460</v>
      </c>
      <c r="U1715" s="16" t="s">
        <v>8461</v>
      </c>
      <c r="V1715" s="16" t="s">
        <v>8462</v>
      </c>
      <c r="W1715" s="16"/>
      <c r="X1715" s="17"/>
      <c r="Y1715" s="16"/>
      <c r="Z1715" s="17"/>
      <c r="AA1715" s="16"/>
      <c r="AB1715" s="17"/>
    </row>
    <row r="1716" spans="1:28">
      <c r="A1716" s="16" t="s">
        <v>8660</v>
      </c>
      <c r="B1716" s="16" t="s">
        <v>8239</v>
      </c>
      <c r="C1716" s="16" t="s">
        <v>8830</v>
      </c>
      <c r="D1716" s="16" t="s">
        <v>21</v>
      </c>
      <c r="E1716" s="36" t="s">
        <v>8458</v>
      </c>
      <c r="F1716" s="16" t="s">
        <v>309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8878</v>
      </c>
      <c r="K1716" s="16"/>
      <c r="L1716" s="16"/>
      <c r="M1716" s="20">
        <v>110000</v>
      </c>
      <c r="N1716" s="19" t="s">
        <v>8474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8661</v>
      </c>
      <c r="B1717" s="16" t="s">
        <v>8240</v>
      </c>
      <c r="C1717" s="16" t="s">
        <v>8831</v>
      </c>
      <c r="D1717" s="16" t="s">
        <v>21</v>
      </c>
      <c r="E1717" s="36" t="s">
        <v>8458</v>
      </c>
      <c r="F1717" s="16" t="s">
        <v>313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8878</v>
      </c>
      <c r="K1717" s="16"/>
      <c r="L1717" s="16"/>
      <c r="M1717" s="20">
        <v>120000</v>
      </c>
      <c r="N1717" s="19" t="s">
        <v>8474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8662</v>
      </c>
      <c r="B1718" s="16" t="s">
        <v>8241</v>
      </c>
      <c r="C1718" s="16" t="s">
        <v>8832</v>
      </c>
      <c r="D1718" s="16" t="s">
        <v>21</v>
      </c>
      <c r="E1718" s="36" t="s">
        <v>8458</v>
      </c>
      <c r="F1718" s="16" t="s">
        <v>317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8878</v>
      </c>
      <c r="K1718" s="16"/>
      <c r="L1718" s="16"/>
      <c r="M1718" s="20">
        <v>130000</v>
      </c>
      <c r="N1718" s="19" t="s">
        <v>8474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8663</v>
      </c>
      <c r="B1719" s="16" t="s">
        <v>8242</v>
      </c>
      <c r="C1719" s="16" t="s">
        <v>8833</v>
      </c>
      <c r="D1719" s="16" t="s">
        <v>21</v>
      </c>
      <c r="E1719" s="36" t="s">
        <v>8458</v>
      </c>
      <c r="F1719" s="16" t="s">
        <v>321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8878</v>
      </c>
      <c r="K1719" s="16"/>
      <c r="L1719" s="16"/>
      <c r="M1719" s="20">
        <v>150000</v>
      </c>
      <c r="N1719" s="19" t="s">
        <v>8474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6"/>
      <c r="X1719" s="17"/>
      <c r="Y1719" s="16"/>
      <c r="Z1719" s="17"/>
      <c r="AA1719" s="16"/>
      <c r="AB1719" s="17"/>
    </row>
    <row r="1720" spans="1:28">
      <c r="A1720" s="16" t="s">
        <v>8664</v>
      </c>
      <c r="B1720" s="16" t="s">
        <v>8243</v>
      </c>
      <c r="C1720" s="16" t="s">
        <v>8834</v>
      </c>
      <c r="D1720" s="16" t="s">
        <v>21</v>
      </c>
      <c r="E1720" s="36" t="s">
        <v>8458</v>
      </c>
      <c r="F1720" s="16" t="s">
        <v>323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8878</v>
      </c>
      <c r="K1720" s="16"/>
      <c r="L1720" s="16"/>
      <c r="M1720" s="20">
        <v>160000</v>
      </c>
      <c r="N1720" s="19" t="s">
        <v>8474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7"/>
      <c r="X1720" s="17"/>
      <c r="Y1720" s="17"/>
      <c r="Z1720" s="17"/>
      <c r="AA1720" s="17"/>
      <c r="AB1720" s="17"/>
    </row>
    <row r="1721" spans="1:28">
      <c r="A1721" s="16" t="s">
        <v>8665</v>
      </c>
      <c r="B1721" s="16" t="s">
        <v>8244</v>
      </c>
      <c r="C1721" s="16" t="s">
        <v>8835</v>
      </c>
      <c r="D1721" s="16" t="s">
        <v>21</v>
      </c>
      <c r="E1721" s="36" t="s">
        <v>8458</v>
      </c>
      <c r="F1721" s="16" t="s">
        <v>327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8878</v>
      </c>
      <c r="K1721" s="16"/>
      <c r="L1721" s="16"/>
      <c r="M1721" s="20">
        <v>180000</v>
      </c>
      <c r="N1721" s="19" t="s">
        <v>8474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8666</v>
      </c>
      <c r="B1722" s="16" t="s">
        <v>8245</v>
      </c>
      <c r="C1722" s="16" t="s">
        <v>8836</v>
      </c>
      <c r="D1722" s="16" t="s">
        <v>21</v>
      </c>
      <c r="E1722" s="36" t="s">
        <v>8458</v>
      </c>
      <c r="F1722" s="16" t="s">
        <v>331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8878</v>
      </c>
      <c r="K1722" s="16"/>
      <c r="L1722" s="16"/>
      <c r="M1722" s="20">
        <v>200000</v>
      </c>
      <c r="N1722" s="19" t="s">
        <v>8474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8667</v>
      </c>
      <c r="B1723" s="16" t="s">
        <v>8246</v>
      </c>
      <c r="C1723" s="16" t="s">
        <v>8837</v>
      </c>
      <c r="D1723" s="16" t="s">
        <v>21</v>
      </c>
      <c r="E1723" s="36" t="s">
        <v>8458</v>
      </c>
      <c r="F1723" s="16" t="s">
        <v>333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8878</v>
      </c>
      <c r="K1723" s="16"/>
      <c r="L1723" s="16"/>
      <c r="M1723" s="20">
        <v>220000</v>
      </c>
      <c r="N1723" s="19" t="s">
        <v>8474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6"/>
      <c r="X1723" s="17"/>
      <c r="Y1723" s="16"/>
      <c r="Z1723" s="16"/>
      <c r="AA1723" s="16"/>
      <c r="AB1723" s="17"/>
    </row>
    <row r="1724" spans="1:28">
      <c r="A1724" s="16" t="s">
        <v>8668</v>
      </c>
      <c r="B1724" s="16" t="s">
        <v>8247</v>
      </c>
      <c r="C1724" s="16" t="s">
        <v>8838</v>
      </c>
      <c r="D1724" s="16" t="s">
        <v>21</v>
      </c>
      <c r="E1724" s="36" t="s">
        <v>8458</v>
      </c>
      <c r="F1724" s="16" t="s">
        <v>335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8878</v>
      </c>
      <c r="K1724" s="16"/>
      <c r="L1724" s="16"/>
      <c r="M1724" s="20">
        <v>240000</v>
      </c>
      <c r="N1724" s="19" t="s">
        <v>8474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8669</v>
      </c>
      <c r="B1725" s="16" t="s">
        <v>8248</v>
      </c>
      <c r="C1725" s="16" t="s">
        <v>8839</v>
      </c>
      <c r="D1725" s="16" t="s">
        <v>21</v>
      </c>
      <c r="E1725" s="36" t="s">
        <v>8458</v>
      </c>
      <c r="F1725" s="16" t="s">
        <v>337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8878</v>
      </c>
      <c r="K1725" s="16"/>
      <c r="L1725" s="16"/>
      <c r="M1725" s="20">
        <v>270000</v>
      </c>
      <c r="N1725" s="19" t="s">
        <v>8474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8670</v>
      </c>
      <c r="B1726" s="16" t="s">
        <v>8249</v>
      </c>
      <c r="C1726" s="16" t="s">
        <v>8840</v>
      </c>
      <c r="D1726" s="16" t="s">
        <v>21</v>
      </c>
      <c r="E1726" s="36" t="s">
        <v>8458</v>
      </c>
      <c r="F1726" s="16" t="s">
        <v>339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8878</v>
      </c>
      <c r="K1726" s="16"/>
      <c r="L1726" s="16"/>
      <c r="M1726" s="20">
        <v>300000</v>
      </c>
      <c r="N1726" s="19" t="s">
        <v>8474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AA1726" s="16"/>
      <c r="AB1726" s="17"/>
    </row>
    <row r="1727" spans="1:28">
      <c r="A1727" s="16" t="s">
        <v>8671</v>
      </c>
      <c r="B1727" s="16" t="s">
        <v>8250</v>
      </c>
      <c r="C1727" s="16" t="s">
        <v>8841</v>
      </c>
      <c r="D1727" s="16" t="s">
        <v>21</v>
      </c>
      <c r="E1727" s="36" t="s">
        <v>8458</v>
      </c>
      <c r="F1727" s="16" t="s">
        <v>341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8878</v>
      </c>
      <c r="K1727" s="16"/>
      <c r="L1727" s="16"/>
      <c r="M1727" s="20">
        <v>330000</v>
      </c>
      <c r="N1727" s="19" t="s">
        <v>8474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Y1727" s="16"/>
      <c r="Z1727" s="16"/>
      <c r="AA1727" s="16"/>
      <c r="AB1727" s="17"/>
    </row>
    <row r="1728" spans="1:28">
      <c r="A1728" s="16" t="s">
        <v>8672</v>
      </c>
      <c r="B1728" s="16" t="s">
        <v>8251</v>
      </c>
      <c r="C1728" s="16" t="s">
        <v>8842</v>
      </c>
      <c r="D1728" s="16" t="s">
        <v>21</v>
      </c>
      <c r="E1728" s="36" t="s">
        <v>8458</v>
      </c>
      <c r="F1728" s="16" t="s">
        <v>345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8878</v>
      </c>
      <c r="K1728" s="16"/>
      <c r="L1728" s="16"/>
      <c r="M1728" s="20">
        <v>360000</v>
      </c>
      <c r="N1728" s="19" t="s">
        <v>8474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8673</v>
      </c>
      <c r="B1729" s="16" t="s">
        <v>8252</v>
      </c>
      <c r="C1729" s="16" t="s">
        <v>8843</v>
      </c>
      <c r="D1729" s="16" t="s">
        <v>21</v>
      </c>
      <c r="E1729" s="36" t="s">
        <v>8458</v>
      </c>
      <c r="F1729" s="16" t="s">
        <v>349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8878</v>
      </c>
      <c r="K1729" s="16"/>
      <c r="L1729" s="16"/>
      <c r="M1729" s="20">
        <v>390000</v>
      </c>
      <c r="N1729" s="19" t="s">
        <v>8474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6"/>
      <c r="Y1729" s="16"/>
      <c r="AA1729" s="16"/>
      <c r="AB1729" s="17"/>
    </row>
    <row r="1730" spans="1:28">
      <c r="A1730" s="16" t="s">
        <v>8674</v>
      </c>
      <c r="B1730" s="16" t="s">
        <v>8253</v>
      </c>
      <c r="C1730" s="16" t="s">
        <v>8844</v>
      </c>
      <c r="D1730" s="16" t="s">
        <v>21</v>
      </c>
      <c r="E1730" s="36" t="s">
        <v>8458</v>
      </c>
      <c r="F1730" s="16" t="s">
        <v>351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8878</v>
      </c>
      <c r="K1730" s="16"/>
      <c r="L1730" s="16"/>
      <c r="M1730" s="20">
        <v>430000</v>
      </c>
      <c r="N1730" s="19" t="s">
        <v>8474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7"/>
      <c r="X1730" s="17"/>
      <c r="Y1730" s="17"/>
      <c r="Z1730" s="17"/>
      <c r="AA1730" s="17"/>
      <c r="AB1730" s="17"/>
    </row>
    <row r="1731" spans="1:28">
      <c r="A1731" s="16" t="s">
        <v>8675</v>
      </c>
      <c r="B1731" s="16" t="s">
        <v>8254</v>
      </c>
      <c r="C1731" s="16" t="s">
        <v>8845</v>
      </c>
      <c r="D1731" s="16" t="s">
        <v>21</v>
      </c>
      <c r="E1731" s="36" t="s">
        <v>8458</v>
      </c>
      <c r="F1731" s="16" t="s">
        <v>353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8878</v>
      </c>
      <c r="K1731" s="16"/>
      <c r="L1731" s="16"/>
      <c r="M1731" s="20">
        <v>470000</v>
      </c>
      <c r="N1731" s="19" t="s">
        <v>8474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8676</v>
      </c>
      <c r="B1732" s="16" t="s">
        <v>8255</v>
      </c>
      <c r="C1732" s="16" t="s">
        <v>8846</v>
      </c>
      <c r="D1732" s="16" t="s">
        <v>21</v>
      </c>
      <c r="E1732" s="36" t="s">
        <v>8458</v>
      </c>
      <c r="F1732" s="16" t="s">
        <v>355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8878</v>
      </c>
      <c r="K1732" s="16"/>
      <c r="L1732" s="16"/>
      <c r="M1732" s="20">
        <v>510000</v>
      </c>
      <c r="N1732" s="19" t="s">
        <v>8474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8677</v>
      </c>
      <c r="B1733" s="16" t="s">
        <v>8256</v>
      </c>
      <c r="C1733" s="16" t="s">
        <v>8847</v>
      </c>
      <c r="D1733" s="16" t="s">
        <v>21</v>
      </c>
      <c r="E1733" s="36" t="s">
        <v>8458</v>
      </c>
      <c r="F1733" s="16" t="s">
        <v>357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8878</v>
      </c>
      <c r="K1733" s="16"/>
      <c r="L1733" s="16"/>
      <c r="M1733" s="20">
        <v>560000</v>
      </c>
      <c r="N1733" s="19" t="s">
        <v>8474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8678</v>
      </c>
      <c r="B1734" s="16" t="s">
        <v>8257</v>
      </c>
      <c r="C1734" s="16" t="s">
        <v>8848</v>
      </c>
      <c r="D1734" s="16" t="s">
        <v>21</v>
      </c>
      <c r="E1734" s="36" t="s">
        <v>8458</v>
      </c>
      <c r="F1734" s="16" t="s">
        <v>359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8878</v>
      </c>
      <c r="K1734" s="16"/>
      <c r="L1734" s="16"/>
      <c r="M1734" s="20">
        <v>620000</v>
      </c>
      <c r="N1734" s="19" t="s">
        <v>8474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8679</v>
      </c>
      <c r="B1735" s="16" t="s">
        <v>8258</v>
      </c>
      <c r="C1735" s="16" t="s">
        <v>8849</v>
      </c>
      <c r="D1735" s="16" t="s">
        <v>21</v>
      </c>
      <c r="E1735" s="36" t="s">
        <v>8458</v>
      </c>
      <c r="F1735" s="16" t="s">
        <v>361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8878</v>
      </c>
      <c r="K1735" s="16"/>
      <c r="L1735" s="16"/>
      <c r="M1735" s="20">
        <v>680000</v>
      </c>
      <c r="N1735" s="19" t="s">
        <v>8474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8680</v>
      </c>
      <c r="B1736" s="16" t="s">
        <v>8259</v>
      </c>
      <c r="C1736" s="16" t="s">
        <v>8850</v>
      </c>
      <c r="D1736" s="16" t="s">
        <v>21</v>
      </c>
      <c r="E1736" s="36" t="s">
        <v>8458</v>
      </c>
      <c r="F1736" s="16" t="s">
        <v>363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8878</v>
      </c>
      <c r="K1736" s="16"/>
      <c r="L1736" s="16"/>
      <c r="M1736" s="20">
        <v>750000</v>
      </c>
      <c r="N1736" s="19" t="s">
        <v>8474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8681</v>
      </c>
      <c r="B1737" s="16" t="s">
        <v>8260</v>
      </c>
      <c r="C1737" s="16" t="s">
        <v>8851</v>
      </c>
      <c r="D1737" s="16" t="s">
        <v>21</v>
      </c>
      <c r="E1737" s="36" t="s">
        <v>8458</v>
      </c>
      <c r="F1737" s="16" t="s">
        <v>365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8878</v>
      </c>
      <c r="K1737" s="16"/>
      <c r="L1737" s="16"/>
      <c r="M1737" s="20">
        <v>820000</v>
      </c>
      <c r="N1737" s="19" t="s">
        <v>8474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8682</v>
      </c>
      <c r="B1738" s="16" t="s">
        <v>8261</v>
      </c>
      <c r="C1738" s="16" t="s">
        <v>8852</v>
      </c>
      <c r="D1738" s="16" t="s">
        <v>21</v>
      </c>
      <c r="E1738" s="36" t="s">
        <v>8458</v>
      </c>
      <c r="F1738" s="16" t="s">
        <v>367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8878</v>
      </c>
      <c r="K1738" s="16"/>
      <c r="L1738" s="16"/>
      <c r="M1738" s="20">
        <v>910000</v>
      </c>
      <c r="N1738" s="19" t="s">
        <v>8474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8683</v>
      </c>
      <c r="B1739" s="16" t="s">
        <v>8262</v>
      </c>
      <c r="C1739" s="16" t="s">
        <v>8853</v>
      </c>
      <c r="D1739" s="16" t="s">
        <v>21</v>
      </c>
      <c r="E1739" s="36" t="s">
        <v>8458</v>
      </c>
      <c r="F1739" s="16" t="s">
        <v>369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8878</v>
      </c>
      <c r="K1739" s="16"/>
      <c r="L1739" s="16"/>
      <c r="M1739" s="20">
        <v>1000000</v>
      </c>
      <c r="N1739" s="19" t="s">
        <v>8474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8684</v>
      </c>
      <c r="B1740" s="16" t="s">
        <v>8263</v>
      </c>
      <c r="C1740" s="16" t="s">
        <v>8854</v>
      </c>
      <c r="D1740" s="16" t="s">
        <v>21</v>
      </c>
      <c r="E1740" s="36" t="s">
        <v>8458</v>
      </c>
      <c r="F1740" s="16" t="s">
        <v>371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8878</v>
      </c>
      <c r="K1740" s="16"/>
      <c r="L1740" s="16"/>
      <c r="M1740" s="20">
        <v>1100000</v>
      </c>
      <c r="N1740" s="19" t="s">
        <v>8474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8685</v>
      </c>
      <c r="B1741" s="16" t="s">
        <v>8264</v>
      </c>
      <c r="C1741" s="16" t="s">
        <v>8855</v>
      </c>
      <c r="D1741" s="16" t="s">
        <v>21</v>
      </c>
      <c r="E1741" s="36" t="s">
        <v>8458</v>
      </c>
      <c r="F1741" s="16" t="s">
        <v>373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8878</v>
      </c>
      <c r="K1741" s="16"/>
      <c r="L1741" s="16"/>
      <c r="M1741" s="20">
        <v>1200000</v>
      </c>
      <c r="N1741" s="19" t="s">
        <v>8474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8686</v>
      </c>
      <c r="B1742" s="16" t="s">
        <v>8265</v>
      </c>
      <c r="C1742" s="16" t="s">
        <v>8856</v>
      </c>
      <c r="D1742" s="16" t="s">
        <v>21</v>
      </c>
      <c r="E1742" s="36" t="s">
        <v>8458</v>
      </c>
      <c r="F1742" s="16" t="s">
        <v>375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8878</v>
      </c>
      <c r="K1742" s="16"/>
      <c r="L1742" s="16"/>
      <c r="M1742" s="20">
        <v>1300000</v>
      </c>
      <c r="N1742" s="19" t="s">
        <v>8474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8687</v>
      </c>
      <c r="B1743" s="16" t="s">
        <v>8266</v>
      </c>
      <c r="C1743" s="16" t="s">
        <v>8857</v>
      </c>
      <c r="D1743" s="16" t="s">
        <v>21</v>
      </c>
      <c r="E1743" s="36" t="s">
        <v>8458</v>
      </c>
      <c r="F1743" s="16" t="s">
        <v>377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8878</v>
      </c>
      <c r="K1743" s="16"/>
      <c r="L1743" s="16"/>
      <c r="M1743" s="20">
        <v>1500000</v>
      </c>
      <c r="N1743" s="19" t="s">
        <v>8474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8688</v>
      </c>
      <c r="B1744" s="16" t="s">
        <v>8267</v>
      </c>
      <c r="C1744" s="16" t="s">
        <v>8858</v>
      </c>
      <c r="D1744" s="16" t="s">
        <v>21</v>
      </c>
      <c r="E1744" s="36" t="s">
        <v>8458</v>
      </c>
      <c r="F1744" s="16" t="s">
        <v>379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8878</v>
      </c>
      <c r="K1744" s="16"/>
      <c r="L1744" s="16"/>
      <c r="M1744" s="20">
        <v>1600000</v>
      </c>
      <c r="N1744" s="19" t="s">
        <v>8474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8689</v>
      </c>
      <c r="B1745" s="16" t="s">
        <v>8268</v>
      </c>
      <c r="C1745" s="16" t="s">
        <v>8859</v>
      </c>
      <c r="D1745" s="16" t="s">
        <v>21</v>
      </c>
      <c r="E1745" s="36" t="s">
        <v>8458</v>
      </c>
      <c r="F1745" s="16" t="s">
        <v>381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8878</v>
      </c>
      <c r="K1745" s="16"/>
      <c r="L1745" s="16"/>
      <c r="M1745" s="20">
        <v>1800000</v>
      </c>
      <c r="N1745" s="19" t="s">
        <v>8474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7"/>
      <c r="X1745" s="17"/>
      <c r="Y1745" s="17"/>
      <c r="Z1745" s="17"/>
      <c r="AA1745" s="17"/>
      <c r="AB1745" s="17"/>
    </row>
    <row r="1746" spans="1:28">
      <c r="A1746" s="16" t="s">
        <v>8690</v>
      </c>
      <c r="B1746" s="16" t="s">
        <v>8269</v>
      </c>
      <c r="C1746" s="16" t="s">
        <v>8860</v>
      </c>
      <c r="D1746" s="16" t="s">
        <v>21</v>
      </c>
      <c r="E1746" s="36" t="s">
        <v>8458</v>
      </c>
      <c r="F1746" s="16" t="s">
        <v>383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8878</v>
      </c>
      <c r="K1746" s="16"/>
      <c r="L1746" s="16"/>
      <c r="M1746" s="20">
        <v>2000000</v>
      </c>
      <c r="N1746" s="19" t="s">
        <v>8474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8691</v>
      </c>
      <c r="B1747" s="16" t="s">
        <v>8270</v>
      </c>
      <c r="C1747" s="16" t="s">
        <v>8861</v>
      </c>
      <c r="D1747" s="16" t="s">
        <v>21</v>
      </c>
      <c r="E1747" s="36" t="s">
        <v>8458</v>
      </c>
      <c r="F1747" s="16" t="s">
        <v>385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8878</v>
      </c>
      <c r="K1747" s="16"/>
      <c r="L1747" s="16"/>
      <c r="M1747" s="20">
        <v>2200000</v>
      </c>
      <c r="N1747" s="19" t="s">
        <v>8474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8692</v>
      </c>
      <c r="B1748" s="16" t="s">
        <v>8271</v>
      </c>
      <c r="C1748" s="16" t="s">
        <v>8862</v>
      </c>
      <c r="D1748" s="16" t="s">
        <v>21</v>
      </c>
      <c r="E1748" s="36" t="s">
        <v>8458</v>
      </c>
      <c r="F1748" s="16" t="s">
        <v>387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8878</v>
      </c>
      <c r="K1748" s="16"/>
      <c r="L1748" s="16"/>
      <c r="M1748" s="20">
        <v>2400000</v>
      </c>
      <c r="N1748" s="19" t="s">
        <v>8474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8693</v>
      </c>
      <c r="B1749" s="16" t="s">
        <v>8272</v>
      </c>
      <c r="C1749" s="16" t="s">
        <v>8863</v>
      </c>
      <c r="D1749" s="16" t="s">
        <v>21</v>
      </c>
      <c r="E1749" s="36" t="s">
        <v>8458</v>
      </c>
      <c r="F1749" s="16" t="s">
        <v>389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8878</v>
      </c>
      <c r="K1749" s="16"/>
      <c r="L1749" s="16"/>
      <c r="M1749" s="20">
        <v>2700000</v>
      </c>
      <c r="N1749" s="19" t="s">
        <v>8474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8694</v>
      </c>
      <c r="B1750" s="16" t="s">
        <v>8273</v>
      </c>
      <c r="C1750" s="16" t="s">
        <v>8864</v>
      </c>
      <c r="D1750" s="16" t="s">
        <v>21</v>
      </c>
      <c r="E1750" s="36" t="s">
        <v>8458</v>
      </c>
      <c r="F1750" s="16" t="s">
        <v>391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8878</v>
      </c>
      <c r="K1750" s="16"/>
      <c r="L1750" s="16"/>
      <c r="M1750" s="20">
        <v>3000000</v>
      </c>
      <c r="N1750" s="19" t="s">
        <v>8474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8695</v>
      </c>
      <c r="B1751" s="16" t="s">
        <v>8274</v>
      </c>
      <c r="C1751" s="16" t="s">
        <v>8865</v>
      </c>
      <c r="D1751" s="16" t="s">
        <v>21</v>
      </c>
      <c r="E1751" s="36" t="s">
        <v>8458</v>
      </c>
      <c r="F1751" s="16" t="s">
        <v>393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8878</v>
      </c>
      <c r="K1751" s="16"/>
      <c r="L1751" s="16"/>
      <c r="M1751" s="20">
        <v>3300000</v>
      </c>
      <c r="N1751" s="19" t="s">
        <v>8474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8696</v>
      </c>
      <c r="B1752" s="16" t="s">
        <v>8275</v>
      </c>
      <c r="C1752" s="16" t="s">
        <v>8866</v>
      </c>
      <c r="D1752" s="16" t="s">
        <v>21</v>
      </c>
      <c r="E1752" s="36" t="s">
        <v>8458</v>
      </c>
      <c r="F1752" s="16" t="s">
        <v>395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8878</v>
      </c>
      <c r="K1752" s="16"/>
      <c r="L1752" s="16"/>
      <c r="M1752" s="20">
        <v>3600000</v>
      </c>
      <c r="N1752" s="19" t="s">
        <v>8474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8697</v>
      </c>
      <c r="B1753" s="16" t="s">
        <v>8276</v>
      </c>
      <c r="C1753" s="16" t="s">
        <v>8867</v>
      </c>
      <c r="D1753" s="16" t="s">
        <v>21</v>
      </c>
      <c r="E1753" s="36" t="s">
        <v>8458</v>
      </c>
      <c r="F1753" s="16" t="s">
        <v>397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8878</v>
      </c>
      <c r="K1753" s="16"/>
      <c r="L1753" s="16"/>
      <c r="M1753" s="20">
        <v>3900000</v>
      </c>
      <c r="N1753" s="19" t="s">
        <v>8474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8698</v>
      </c>
      <c r="B1754" s="16" t="s">
        <v>8277</v>
      </c>
      <c r="C1754" s="16" t="s">
        <v>8868</v>
      </c>
      <c r="D1754" s="16" t="s">
        <v>21</v>
      </c>
      <c r="E1754" s="36" t="s">
        <v>8458</v>
      </c>
      <c r="F1754" s="16" t="s">
        <v>399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8878</v>
      </c>
      <c r="K1754" s="16"/>
      <c r="L1754" s="16"/>
      <c r="M1754" s="20">
        <v>4300000</v>
      </c>
      <c r="N1754" s="19" t="s">
        <v>8474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8699</v>
      </c>
      <c r="B1755" s="16" t="s">
        <v>8278</v>
      </c>
      <c r="C1755" s="16" t="s">
        <v>8869</v>
      </c>
      <c r="D1755" s="16" t="s">
        <v>21</v>
      </c>
      <c r="E1755" s="36" t="s">
        <v>8458</v>
      </c>
      <c r="F1755" s="16" t="s">
        <v>401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8878</v>
      </c>
      <c r="K1755" s="16"/>
      <c r="L1755" s="16"/>
      <c r="M1755" s="20">
        <v>4700000</v>
      </c>
      <c r="N1755" s="19" t="s">
        <v>8474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8700</v>
      </c>
      <c r="B1756" s="16" t="s">
        <v>8279</v>
      </c>
      <c r="C1756" s="16" t="s">
        <v>8870</v>
      </c>
      <c r="D1756" s="16" t="s">
        <v>21</v>
      </c>
      <c r="E1756" s="36" t="s">
        <v>8458</v>
      </c>
      <c r="F1756" s="16" t="s">
        <v>403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8878</v>
      </c>
      <c r="K1756" s="16"/>
      <c r="L1756" s="16"/>
      <c r="M1756" s="20">
        <v>5100000</v>
      </c>
      <c r="N1756" s="19" t="s">
        <v>8474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8701</v>
      </c>
      <c r="B1757" s="16" t="s">
        <v>8280</v>
      </c>
      <c r="C1757" s="16" t="s">
        <v>8871</v>
      </c>
      <c r="D1757" s="16" t="s">
        <v>21</v>
      </c>
      <c r="E1757" s="36" t="s">
        <v>8458</v>
      </c>
      <c r="F1757" s="16" t="s">
        <v>405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8878</v>
      </c>
      <c r="K1757" s="16"/>
      <c r="L1757" s="16"/>
      <c r="M1757" s="20">
        <v>5600000</v>
      </c>
      <c r="N1757" s="19" t="s">
        <v>8474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8702</v>
      </c>
      <c r="B1758" s="16" t="s">
        <v>8281</v>
      </c>
      <c r="C1758" s="16" t="s">
        <v>8872</v>
      </c>
      <c r="D1758" s="16" t="s">
        <v>21</v>
      </c>
      <c r="E1758" s="36" t="s">
        <v>8458</v>
      </c>
      <c r="F1758" s="16" t="s">
        <v>407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8878</v>
      </c>
      <c r="K1758" s="16"/>
      <c r="L1758" s="16"/>
      <c r="M1758" s="20">
        <v>6200000</v>
      </c>
      <c r="N1758" s="19" t="s">
        <v>8474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8703</v>
      </c>
      <c r="B1759" s="16" t="s">
        <v>8282</v>
      </c>
      <c r="C1759" s="16" t="s">
        <v>8873</v>
      </c>
      <c r="D1759" s="16" t="s">
        <v>21</v>
      </c>
      <c r="E1759" s="36" t="s">
        <v>8458</v>
      </c>
      <c r="F1759" s="16" t="s">
        <v>409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8878</v>
      </c>
      <c r="K1759" s="16"/>
      <c r="L1759" s="16"/>
      <c r="M1759" s="20">
        <v>6800000</v>
      </c>
      <c r="N1759" s="19" t="s">
        <v>8474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8704</v>
      </c>
      <c r="B1760" s="16" t="s">
        <v>8283</v>
      </c>
      <c r="C1760" s="16" t="s">
        <v>8874</v>
      </c>
      <c r="D1760" s="16" t="s">
        <v>21</v>
      </c>
      <c r="E1760" s="36" t="s">
        <v>8458</v>
      </c>
      <c r="F1760" s="16" t="s">
        <v>411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8878</v>
      </c>
      <c r="K1760" s="16"/>
      <c r="L1760" s="16"/>
      <c r="M1760" s="20">
        <v>7500000</v>
      </c>
      <c r="N1760" s="19" t="s">
        <v>8474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7" t="s">
        <v>8705</v>
      </c>
      <c r="B1761" s="17" t="s">
        <v>8284</v>
      </c>
      <c r="C1761" s="17" t="s">
        <v>8875</v>
      </c>
      <c r="D1761" s="17" t="s">
        <v>21</v>
      </c>
      <c r="E1761" s="37" t="s">
        <v>8458</v>
      </c>
      <c r="F1761" s="17" t="s">
        <v>413</v>
      </c>
      <c r="G1761" s="17" t="str">
        <f>Config!$B$3</f>
        <v>SCH/R_IEC.SchLib</v>
      </c>
      <c r="H1761" s="17" t="s">
        <v>419</v>
      </c>
      <c r="I1761" s="18" t="s">
        <v>7503</v>
      </c>
      <c r="J1761" s="16" t="s">
        <v>8878</v>
      </c>
      <c r="K1761" s="16"/>
      <c r="L1761" s="16"/>
      <c r="M1761" s="21">
        <v>8200000</v>
      </c>
      <c r="N1761" s="19" t="s">
        <v>8474</v>
      </c>
      <c r="O1761" s="16" t="s">
        <v>4414</v>
      </c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  <c r="AA1761" s="17"/>
      <c r="AB1761" s="17"/>
    </row>
    <row r="1762" spans="1:28">
      <c r="A1762" s="17" t="s">
        <v>8706</v>
      </c>
      <c r="B1762" s="17" t="s">
        <v>8285</v>
      </c>
      <c r="C1762" s="17" t="s">
        <v>8876</v>
      </c>
      <c r="D1762" s="17" t="s">
        <v>21</v>
      </c>
      <c r="E1762" s="37" t="s">
        <v>8458</v>
      </c>
      <c r="F1762" s="17" t="s">
        <v>415</v>
      </c>
      <c r="G1762" s="17" t="str">
        <f>Config!$B$3</f>
        <v>SCH/R_IEC.SchLib</v>
      </c>
      <c r="H1762" s="17" t="s">
        <v>419</v>
      </c>
      <c r="I1762" s="18" t="s">
        <v>7503</v>
      </c>
      <c r="J1762" s="16" t="s">
        <v>8878</v>
      </c>
      <c r="K1762" s="16"/>
      <c r="L1762" s="16"/>
      <c r="M1762" s="21">
        <v>9100000</v>
      </c>
      <c r="N1762" s="19" t="s">
        <v>8474</v>
      </c>
      <c r="O1762" s="16" t="s">
        <v>4414</v>
      </c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  <c r="AA1762" s="17"/>
      <c r="AB1762" s="17"/>
    </row>
    <row r="1763" spans="1:28">
      <c r="A1763" s="17" t="s">
        <v>8707</v>
      </c>
      <c r="B1763" s="17" t="s">
        <v>8286</v>
      </c>
      <c r="C1763" s="17" t="s">
        <v>8877</v>
      </c>
      <c r="D1763" s="17" t="s">
        <v>21</v>
      </c>
      <c r="E1763" s="37" t="s">
        <v>8458</v>
      </c>
      <c r="F1763" s="17" t="s">
        <v>417</v>
      </c>
      <c r="G1763" s="17" t="str">
        <f>Config!$B$3</f>
        <v>SCH/R_IEC.SchLib</v>
      </c>
      <c r="H1763" s="17" t="s">
        <v>419</v>
      </c>
      <c r="I1763" s="18" t="s">
        <v>7503</v>
      </c>
      <c r="J1763" s="16" t="s">
        <v>8878</v>
      </c>
      <c r="K1763" s="16"/>
      <c r="L1763" s="16"/>
      <c r="M1763" s="21">
        <v>10000000</v>
      </c>
      <c r="N1763" s="19" t="s">
        <v>8474</v>
      </c>
      <c r="O1763" s="16" t="s">
        <v>4414</v>
      </c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  <c r="AA1763" s="17"/>
      <c r="AB1763" s="17"/>
    </row>
    <row r="1764" spans="1:28">
      <c r="A1764" t="s">
        <v>11695</v>
      </c>
      <c r="B1764" t="s">
        <v>11639</v>
      </c>
      <c r="C1764" t="s">
        <v>11751</v>
      </c>
      <c r="D1764" s="17" t="s">
        <v>21</v>
      </c>
      <c r="E1764" t="s">
        <v>11615</v>
      </c>
      <c r="F1764" t="s">
        <v>1116</v>
      </c>
      <c r="G1764" s="17" t="str">
        <f>Config!$B$3</f>
        <v>SCH/R_IEC.SchLib</v>
      </c>
      <c r="H1764" s="17" t="s">
        <v>419</v>
      </c>
      <c r="I1764" s="18" t="s">
        <v>7503</v>
      </c>
      <c r="J1764" t="s">
        <v>11616</v>
      </c>
      <c r="M1764" s="3">
        <v>5.0999999999999996</v>
      </c>
      <c r="N1764" t="s">
        <v>11455</v>
      </c>
      <c r="O1764" t="s">
        <v>11510</v>
      </c>
      <c r="P1764" t="s">
        <v>11560</v>
      </c>
      <c r="Q1764" t="s">
        <v>25</v>
      </c>
      <c r="R1764" t="s">
        <v>11969</v>
      </c>
    </row>
    <row r="1765" spans="1:28">
      <c r="A1765" t="s">
        <v>11700</v>
      </c>
      <c r="B1765" t="s">
        <v>11644</v>
      </c>
      <c r="C1765" t="s">
        <v>11756</v>
      </c>
      <c r="D1765" s="17" t="s">
        <v>21</v>
      </c>
      <c r="E1765" t="s">
        <v>11615</v>
      </c>
      <c r="F1765" t="s">
        <v>47</v>
      </c>
      <c r="G1765" s="17" t="str">
        <f>Config!$B$3</f>
        <v>SCH/R_IEC.SchLib</v>
      </c>
      <c r="H1765" s="17" t="s">
        <v>419</v>
      </c>
      <c r="I1765" s="18" t="s">
        <v>7503</v>
      </c>
      <c r="J1765" t="s">
        <v>11616</v>
      </c>
      <c r="M1765" s="3">
        <v>5.6</v>
      </c>
      <c r="N1765" t="s">
        <v>11462</v>
      </c>
      <c r="O1765" t="s">
        <v>11510</v>
      </c>
      <c r="P1765" t="s">
        <v>11567</v>
      </c>
      <c r="Q1765" t="s">
        <v>25</v>
      </c>
      <c r="R1765" t="s">
        <v>11976</v>
      </c>
    </row>
    <row r="1766" spans="1:28">
      <c r="A1766" t="s">
        <v>11696</v>
      </c>
      <c r="B1766" t="s">
        <v>11640</v>
      </c>
      <c r="C1766" t="s">
        <v>11752</v>
      </c>
      <c r="D1766" s="17" t="s">
        <v>21</v>
      </c>
      <c r="E1766" t="s">
        <v>11615</v>
      </c>
      <c r="F1766" t="s">
        <v>1128</v>
      </c>
      <c r="G1766" s="17" t="str">
        <f>Config!$B$3</f>
        <v>SCH/R_IEC.SchLib</v>
      </c>
      <c r="H1766" s="17" t="s">
        <v>419</v>
      </c>
      <c r="I1766" s="18" t="s">
        <v>7503</v>
      </c>
      <c r="J1766" t="s">
        <v>11616</v>
      </c>
      <c r="M1766" s="3">
        <v>6.2</v>
      </c>
      <c r="N1766" t="s">
        <v>11456</v>
      </c>
      <c r="O1766" t="s">
        <v>11510</v>
      </c>
      <c r="P1766" t="s">
        <v>11561</v>
      </c>
      <c r="Q1766" t="s">
        <v>25</v>
      </c>
      <c r="R1766" t="s">
        <v>11970</v>
      </c>
    </row>
    <row r="1767" spans="1:28">
      <c r="A1767" t="s">
        <v>11717</v>
      </c>
      <c r="B1767" t="s">
        <v>11661</v>
      </c>
      <c r="C1767" t="s">
        <v>11773</v>
      </c>
      <c r="D1767" s="17" t="s">
        <v>21</v>
      </c>
      <c r="E1767" t="s">
        <v>11615</v>
      </c>
      <c r="F1767" t="s">
        <v>49</v>
      </c>
      <c r="G1767" s="17" t="str">
        <f>Config!$B$3</f>
        <v>SCH/R_IEC.SchLib</v>
      </c>
      <c r="H1767" s="17" t="s">
        <v>419</v>
      </c>
      <c r="I1767" s="18" t="s">
        <v>7503</v>
      </c>
      <c r="J1767" t="s">
        <v>11616</v>
      </c>
      <c r="M1767" s="3">
        <v>6.8</v>
      </c>
      <c r="N1767" t="s">
        <v>11488</v>
      </c>
      <c r="O1767" t="s">
        <v>11510</v>
      </c>
      <c r="P1767" t="s">
        <v>11593</v>
      </c>
      <c r="Q1767" t="s">
        <v>25</v>
      </c>
      <c r="R1767" t="s">
        <v>12002</v>
      </c>
    </row>
    <row r="1768" spans="1:28">
      <c r="A1768" t="s">
        <v>11697</v>
      </c>
      <c r="B1768" t="s">
        <v>11641</v>
      </c>
      <c r="C1768" t="s">
        <v>11753</v>
      </c>
      <c r="D1768" s="17" t="s">
        <v>21</v>
      </c>
      <c r="E1768" t="s">
        <v>11615</v>
      </c>
      <c r="F1768" t="s">
        <v>1138</v>
      </c>
      <c r="G1768" s="17" t="str">
        <f>Config!$B$3</f>
        <v>SCH/R_IEC.SchLib</v>
      </c>
      <c r="H1768" s="17" t="s">
        <v>419</v>
      </c>
      <c r="I1768" s="18" t="s">
        <v>7503</v>
      </c>
      <c r="J1768" t="s">
        <v>11616</v>
      </c>
      <c r="M1768" s="3">
        <v>7.5</v>
      </c>
      <c r="N1768" t="s">
        <v>11457</v>
      </c>
      <c r="O1768" t="s">
        <v>11510</v>
      </c>
      <c r="P1768" t="s">
        <v>11562</v>
      </c>
      <c r="Q1768" t="s">
        <v>25</v>
      </c>
      <c r="R1768" t="s">
        <v>11971</v>
      </c>
    </row>
    <row r="1769" spans="1:28">
      <c r="A1769" t="s">
        <v>11699</v>
      </c>
      <c r="B1769" t="s">
        <v>11643</v>
      </c>
      <c r="C1769" t="s">
        <v>11755</v>
      </c>
      <c r="D1769" s="17" t="s">
        <v>21</v>
      </c>
      <c r="E1769" t="s">
        <v>11615</v>
      </c>
      <c r="F1769" t="s">
        <v>51</v>
      </c>
      <c r="G1769" s="17" t="str">
        <f>Config!$B$3</f>
        <v>SCH/R_IEC.SchLib</v>
      </c>
      <c r="H1769" s="17" t="s">
        <v>419</v>
      </c>
      <c r="I1769" s="18" t="s">
        <v>7503</v>
      </c>
      <c r="J1769" t="s">
        <v>11616</v>
      </c>
      <c r="M1769" s="3">
        <v>8.1999999999999993</v>
      </c>
      <c r="N1769" t="s">
        <v>11459</v>
      </c>
      <c r="O1769" t="s">
        <v>11510</v>
      </c>
      <c r="P1769" t="s">
        <v>11564</v>
      </c>
      <c r="Q1769" t="s">
        <v>25</v>
      </c>
      <c r="R1769" t="s">
        <v>11973</v>
      </c>
    </row>
    <row r="1770" spans="1:28">
      <c r="A1770" t="s">
        <v>11723</v>
      </c>
      <c r="B1770" t="s">
        <v>11667</v>
      </c>
      <c r="C1770" t="s">
        <v>11779</v>
      </c>
      <c r="D1770" s="17" t="s">
        <v>21</v>
      </c>
      <c r="E1770" t="s">
        <v>11615</v>
      </c>
      <c r="F1770" t="s">
        <v>1148</v>
      </c>
      <c r="G1770" s="17" t="str">
        <f>Config!$B$3</f>
        <v>SCH/R_IEC.SchLib</v>
      </c>
      <c r="H1770" s="17" t="s">
        <v>419</v>
      </c>
      <c r="I1770" s="18" t="s">
        <v>7503</v>
      </c>
      <c r="J1770" t="s">
        <v>11616</v>
      </c>
      <c r="M1770" s="3">
        <v>9.1</v>
      </c>
      <c r="N1770" t="s">
        <v>11500</v>
      </c>
      <c r="O1770" t="s">
        <v>11510</v>
      </c>
      <c r="P1770" t="s">
        <v>11605</v>
      </c>
      <c r="Q1770" t="s">
        <v>25</v>
      </c>
      <c r="R1770" t="s">
        <v>12014</v>
      </c>
    </row>
    <row r="1771" spans="1:28">
      <c r="A1771" t="s">
        <v>11810</v>
      </c>
      <c r="B1771" t="s">
        <v>11855</v>
      </c>
      <c r="C1771" t="s">
        <v>11900</v>
      </c>
      <c r="D1771" s="17" t="s">
        <v>21</v>
      </c>
      <c r="E1771" t="s">
        <v>11615</v>
      </c>
      <c r="F1771" t="s">
        <v>53</v>
      </c>
      <c r="G1771" s="17" t="str">
        <f>Config!$B$3</f>
        <v>SCH/R_IEC.SchLib</v>
      </c>
      <c r="H1771" s="17" t="s">
        <v>419</v>
      </c>
      <c r="I1771" s="18" t="s">
        <v>7503</v>
      </c>
      <c r="J1771" t="s">
        <v>11616</v>
      </c>
      <c r="M1771" s="3">
        <v>10</v>
      </c>
      <c r="N1771" t="s">
        <v>11461</v>
      </c>
      <c r="O1771" t="s">
        <v>11510</v>
      </c>
      <c r="P1771" t="s">
        <v>11566</v>
      </c>
      <c r="Q1771" t="s">
        <v>25</v>
      </c>
      <c r="R1771" t="s">
        <v>11975</v>
      </c>
    </row>
    <row r="1772" spans="1:28">
      <c r="A1772" t="s">
        <v>11827</v>
      </c>
      <c r="B1772" t="s">
        <v>11872</v>
      </c>
      <c r="C1772" t="s">
        <v>11917</v>
      </c>
      <c r="D1772" s="17" t="s">
        <v>21</v>
      </c>
      <c r="E1772" t="s">
        <v>11615</v>
      </c>
      <c r="F1772" t="s">
        <v>57</v>
      </c>
      <c r="G1772" s="17" t="str">
        <f>Config!$B$3</f>
        <v>SCH/R_IEC.SchLib</v>
      </c>
      <c r="H1772" s="17" t="s">
        <v>419</v>
      </c>
      <c r="I1772" s="18" t="s">
        <v>7503</v>
      </c>
      <c r="J1772" t="s">
        <v>11616</v>
      </c>
      <c r="M1772" s="3">
        <v>11</v>
      </c>
      <c r="N1772" t="s">
        <v>11504</v>
      </c>
      <c r="O1772" t="s">
        <v>11510</v>
      </c>
      <c r="P1772" t="s">
        <v>11609</v>
      </c>
      <c r="Q1772" t="s">
        <v>25</v>
      </c>
      <c r="R1772" t="s">
        <v>12018</v>
      </c>
    </row>
    <row r="1773" spans="1:28">
      <c r="A1773" t="s">
        <v>11821</v>
      </c>
      <c r="B1773" t="s">
        <v>11866</v>
      </c>
      <c r="C1773" t="s">
        <v>11911</v>
      </c>
      <c r="D1773" s="17" t="s">
        <v>21</v>
      </c>
      <c r="E1773" t="s">
        <v>11615</v>
      </c>
      <c r="F1773" t="s">
        <v>59</v>
      </c>
      <c r="G1773" s="17" t="str">
        <f>Config!$B$3</f>
        <v>SCH/R_IEC.SchLib</v>
      </c>
      <c r="H1773" s="17" t="s">
        <v>419</v>
      </c>
      <c r="I1773" s="18" t="s">
        <v>7503</v>
      </c>
      <c r="J1773" t="s">
        <v>11616</v>
      </c>
      <c r="M1773" s="3">
        <v>12</v>
      </c>
      <c r="N1773" t="s">
        <v>11492</v>
      </c>
      <c r="O1773" t="s">
        <v>11510</v>
      </c>
      <c r="P1773" t="s">
        <v>11597</v>
      </c>
      <c r="Q1773" t="s">
        <v>25</v>
      </c>
      <c r="R1773" t="s">
        <v>12006</v>
      </c>
    </row>
    <row r="1774" spans="1:28">
      <c r="A1774" t="s">
        <v>11826</v>
      </c>
      <c r="B1774" t="s">
        <v>11871</v>
      </c>
      <c r="C1774" t="s">
        <v>11916</v>
      </c>
      <c r="D1774" s="17" t="s">
        <v>21</v>
      </c>
      <c r="E1774" t="s">
        <v>11615</v>
      </c>
      <c r="F1774" t="s">
        <v>61</v>
      </c>
      <c r="G1774" s="17" t="str">
        <f>Config!$B$3</f>
        <v>SCH/R_IEC.SchLib</v>
      </c>
      <c r="H1774" s="17" t="s">
        <v>419</v>
      </c>
      <c r="I1774" s="18" t="s">
        <v>7503</v>
      </c>
      <c r="J1774" t="s">
        <v>11616</v>
      </c>
      <c r="M1774" s="3">
        <v>13</v>
      </c>
      <c r="N1774" t="s">
        <v>11501</v>
      </c>
      <c r="O1774" t="s">
        <v>11510</v>
      </c>
      <c r="P1774" t="s">
        <v>11606</v>
      </c>
      <c r="Q1774" t="s">
        <v>25</v>
      </c>
      <c r="R1774" t="s">
        <v>12015</v>
      </c>
    </row>
    <row r="1775" spans="1:28">
      <c r="A1775" t="s">
        <v>11789</v>
      </c>
      <c r="B1775" t="s">
        <v>11834</v>
      </c>
      <c r="C1775" t="s">
        <v>11879</v>
      </c>
      <c r="D1775" s="17" t="s">
        <v>21</v>
      </c>
      <c r="E1775" t="s">
        <v>11615</v>
      </c>
      <c r="F1775" t="s">
        <v>63</v>
      </c>
      <c r="G1775" s="17" t="str">
        <f>Config!$B$3</f>
        <v>SCH/R_IEC.SchLib</v>
      </c>
      <c r="H1775" s="17" t="s">
        <v>419</v>
      </c>
      <c r="I1775" s="18" t="s">
        <v>7503</v>
      </c>
      <c r="J1775" t="s">
        <v>11616</v>
      </c>
      <c r="M1775" s="3">
        <v>15</v>
      </c>
      <c r="N1775" t="s">
        <v>11412</v>
      </c>
      <c r="O1775" t="s">
        <v>11510</v>
      </c>
      <c r="P1775" t="s">
        <v>11517</v>
      </c>
      <c r="Q1775" t="s">
        <v>25</v>
      </c>
      <c r="R1775" t="s">
        <v>11926</v>
      </c>
    </row>
    <row r="1776" spans="1:28">
      <c r="A1776" t="s">
        <v>11794</v>
      </c>
      <c r="B1776" t="s">
        <v>11839</v>
      </c>
      <c r="C1776" t="s">
        <v>11884</v>
      </c>
      <c r="D1776" s="17" t="s">
        <v>21</v>
      </c>
      <c r="E1776" t="s">
        <v>11615</v>
      </c>
      <c r="F1776" t="s">
        <v>65</v>
      </c>
      <c r="G1776" s="17" t="str">
        <f>Config!$B$3</f>
        <v>SCH/R_IEC.SchLib</v>
      </c>
      <c r="H1776" s="17" t="s">
        <v>419</v>
      </c>
      <c r="I1776" s="18" t="s">
        <v>7503</v>
      </c>
      <c r="J1776" t="s">
        <v>11616</v>
      </c>
      <c r="M1776" s="3">
        <v>16</v>
      </c>
      <c r="N1776" t="s">
        <v>11423</v>
      </c>
      <c r="O1776" t="s">
        <v>11510</v>
      </c>
      <c r="P1776" t="s">
        <v>11528</v>
      </c>
      <c r="Q1776" t="s">
        <v>25</v>
      </c>
      <c r="R1776" t="s">
        <v>11937</v>
      </c>
    </row>
    <row r="1777" spans="1:18">
      <c r="A1777" t="s">
        <v>11800</v>
      </c>
      <c r="B1777" t="s">
        <v>11845</v>
      </c>
      <c r="C1777" t="s">
        <v>11890</v>
      </c>
      <c r="D1777" s="17" t="s">
        <v>21</v>
      </c>
      <c r="E1777" t="s">
        <v>11615</v>
      </c>
      <c r="F1777" t="s">
        <v>67</v>
      </c>
      <c r="G1777" s="17" t="str">
        <f>Config!$B$3</f>
        <v>SCH/R_IEC.SchLib</v>
      </c>
      <c r="H1777" s="17" t="s">
        <v>419</v>
      </c>
      <c r="I1777" s="18" t="s">
        <v>7503</v>
      </c>
      <c r="J1777" t="s">
        <v>11616</v>
      </c>
      <c r="M1777" s="3">
        <v>18</v>
      </c>
      <c r="N1777" t="s">
        <v>11431</v>
      </c>
      <c r="O1777" t="s">
        <v>11510</v>
      </c>
      <c r="P1777" t="s">
        <v>11536</v>
      </c>
      <c r="Q1777" t="s">
        <v>25</v>
      </c>
      <c r="R1777" t="s">
        <v>11945</v>
      </c>
    </row>
    <row r="1778" spans="1:18">
      <c r="A1778" t="s">
        <v>11803</v>
      </c>
      <c r="B1778" t="s">
        <v>11848</v>
      </c>
      <c r="C1778" t="s">
        <v>11893</v>
      </c>
      <c r="D1778" s="17" t="s">
        <v>21</v>
      </c>
      <c r="E1778" t="s">
        <v>11615</v>
      </c>
      <c r="F1778" t="s">
        <v>69</v>
      </c>
      <c r="G1778" s="17" t="str">
        <f>Config!$B$3</f>
        <v>SCH/R_IEC.SchLib</v>
      </c>
      <c r="H1778" s="17" t="s">
        <v>419</v>
      </c>
      <c r="I1778" s="18" t="s">
        <v>7503</v>
      </c>
      <c r="J1778" t="s">
        <v>11616</v>
      </c>
      <c r="M1778" s="3">
        <v>20</v>
      </c>
      <c r="N1778" t="s">
        <v>11442</v>
      </c>
      <c r="O1778" t="s">
        <v>11510</v>
      </c>
      <c r="P1778" t="s">
        <v>11547</v>
      </c>
      <c r="Q1778" t="s">
        <v>25</v>
      </c>
      <c r="R1778" t="s">
        <v>11956</v>
      </c>
    </row>
    <row r="1779" spans="1:18">
      <c r="A1779" t="s">
        <v>11816</v>
      </c>
      <c r="B1779" t="s">
        <v>11861</v>
      </c>
      <c r="C1779" t="s">
        <v>11906</v>
      </c>
      <c r="D1779" s="17" t="s">
        <v>21</v>
      </c>
      <c r="E1779" t="s">
        <v>11615</v>
      </c>
      <c r="F1779" t="s">
        <v>71</v>
      </c>
      <c r="G1779" s="17" t="str">
        <f>Config!$B$3</f>
        <v>SCH/R_IEC.SchLib</v>
      </c>
      <c r="H1779" s="17" t="s">
        <v>419</v>
      </c>
      <c r="I1779" s="18" t="s">
        <v>7503</v>
      </c>
      <c r="J1779" t="s">
        <v>11616</v>
      </c>
      <c r="M1779" s="3">
        <v>22</v>
      </c>
      <c r="N1779" t="s">
        <v>11482</v>
      </c>
      <c r="O1779" t="s">
        <v>11510</v>
      </c>
      <c r="P1779" t="s">
        <v>11587</v>
      </c>
      <c r="Q1779" t="s">
        <v>25</v>
      </c>
      <c r="R1779" t="s">
        <v>11996</v>
      </c>
    </row>
    <row r="1780" spans="1:18">
      <c r="A1780" t="s">
        <v>11825</v>
      </c>
      <c r="B1780" t="s">
        <v>11870</v>
      </c>
      <c r="C1780" t="s">
        <v>11915</v>
      </c>
      <c r="D1780" s="17" t="s">
        <v>21</v>
      </c>
      <c r="E1780" t="s">
        <v>11615</v>
      </c>
      <c r="F1780" t="s">
        <v>75</v>
      </c>
      <c r="G1780" s="17" t="str">
        <f>Config!$B$3</f>
        <v>SCH/R_IEC.SchLib</v>
      </c>
      <c r="H1780" s="17" t="s">
        <v>419</v>
      </c>
      <c r="I1780" s="18" t="s">
        <v>7503</v>
      </c>
      <c r="J1780" t="s">
        <v>11616</v>
      </c>
      <c r="M1780" s="3">
        <v>24</v>
      </c>
      <c r="N1780" t="s">
        <v>11496</v>
      </c>
      <c r="O1780" t="s">
        <v>11510</v>
      </c>
      <c r="P1780" t="s">
        <v>11601</v>
      </c>
      <c r="Q1780" t="s">
        <v>25</v>
      </c>
      <c r="R1780" t="s">
        <v>12010</v>
      </c>
    </row>
    <row r="1781" spans="1:18">
      <c r="A1781" t="s">
        <v>11791</v>
      </c>
      <c r="B1781" t="s">
        <v>11836</v>
      </c>
      <c r="C1781" t="s">
        <v>11881</v>
      </c>
      <c r="D1781" s="17" t="s">
        <v>21</v>
      </c>
      <c r="E1781" t="s">
        <v>11615</v>
      </c>
      <c r="F1781" t="s">
        <v>77</v>
      </c>
      <c r="G1781" s="17" t="str">
        <f>Config!$B$3</f>
        <v>SCH/R_IEC.SchLib</v>
      </c>
      <c r="H1781" s="17" t="s">
        <v>419</v>
      </c>
      <c r="I1781" s="18" t="s">
        <v>7503</v>
      </c>
      <c r="J1781" t="s">
        <v>11616</v>
      </c>
      <c r="M1781" s="3">
        <v>27</v>
      </c>
      <c r="N1781" t="s">
        <v>11414</v>
      </c>
      <c r="O1781" t="s">
        <v>11510</v>
      </c>
      <c r="P1781" t="s">
        <v>11519</v>
      </c>
      <c r="Q1781" t="s">
        <v>25</v>
      </c>
      <c r="R1781" t="s">
        <v>11928</v>
      </c>
    </row>
    <row r="1782" spans="1:18">
      <c r="A1782" t="s">
        <v>11809</v>
      </c>
      <c r="B1782" t="s">
        <v>11854</v>
      </c>
      <c r="C1782" t="s">
        <v>11899</v>
      </c>
      <c r="D1782" s="17" t="s">
        <v>21</v>
      </c>
      <c r="E1782" t="s">
        <v>11615</v>
      </c>
      <c r="F1782" t="s">
        <v>79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11616</v>
      </c>
      <c r="M1782" s="3">
        <v>30</v>
      </c>
      <c r="N1782" t="s">
        <v>11460</v>
      </c>
      <c r="O1782" t="s">
        <v>11510</v>
      </c>
      <c r="P1782" t="s">
        <v>11565</v>
      </c>
      <c r="Q1782" t="s">
        <v>25</v>
      </c>
      <c r="R1782" t="s">
        <v>11974</v>
      </c>
    </row>
    <row r="1783" spans="1:18">
      <c r="A1783" t="s">
        <v>11812</v>
      </c>
      <c r="B1783" t="s">
        <v>11857</v>
      </c>
      <c r="C1783" t="s">
        <v>11902</v>
      </c>
      <c r="D1783" s="17" t="s">
        <v>21</v>
      </c>
      <c r="E1783" t="s">
        <v>11615</v>
      </c>
      <c r="F1783" t="s">
        <v>81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11616</v>
      </c>
      <c r="M1783" s="3">
        <v>33</v>
      </c>
      <c r="N1783" t="s">
        <v>11466</v>
      </c>
      <c r="O1783" t="s">
        <v>11510</v>
      </c>
      <c r="P1783" t="s">
        <v>11571</v>
      </c>
      <c r="Q1783" t="s">
        <v>25</v>
      </c>
      <c r="R1783" t="s">
        <v>11980</v>
      </c>
    </row>
    <row r="1784" spans="1:18">
      <c r="A1784" t="s">
        <v>11828</v>
      </c>
      <c r="B1784" t="s">
        <v>11873</v>
      </c>
      <c r="C1784" t="s">
        <v>11918</v>
      </c>
      <c r="D1784" s="17" t="s">
        <v>21</v>
      </c>
      <c r="E1784" t="s">
        <v>11615</v>
      </c>
      <c r="F1784" t="s">
        <v>83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11616</v>
      </c>
      <c r="M1784" s="3">
        <v>36</v>
      </c>
      <c r="N1784" t="s">
        <v>11505</v>
      </c>
      <c r="O1784" t="s">
        <v>11510</v>
      </c>
      <c r="P1784" t="s">
        <v>11610</v>
      </c>
      <c r="Q1784" t="s">
        <v>25</v>
      </c>
      <c r="R1784" t="s">
        <v>12019</v>
      </c>
    </row>
    <row r="1785" spans="1:18">
      <c r="A1785" t="s">
        <v>11824</v>
      </c>
      <c r="B1785" t="s">
        <v>11869</v>
      </c>
      <c r="C1785" t="s">
        <v>11914</v>
      </c>
      <c r="D1785" s="17" t="s">
        <v>21</v>
      </c>
      <c r="E1785" t="s">
        <v>11615</v>
      </c>
      <c r="F1785" t="s">
        <v>85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11616</v>
      </c>
      <c r="M1785" s="3">
        <v>39</v>
      </c>
      <c r="N1785" t="s">
        <v>11495</v>
      </c>
      <c r="O1785" t="s">
        <v>11510</v>
      </c>
      <c r="P1785" t="s">
        <v>11600</v>
      </c>
      <c r="Q1785" t="s">
        <v>25</v>
      </c>
      <c r="R1785" t="s">
        <v>12009</v>
      </c>
    </row>
    <row r="1786" spans="1:18">
      <c r="A1786" t="s">
        <v>11807</v>
      </c>
      <c r="B1786" t="s">
        <v>11852</v>
      </c>
      <c r="C1786" t="s">
        <v>11897</v>
      </c>
      <c r="D1786" s="17" t="s">
        <v>21</v>
      </c>
      <c r="E1786" t="s">
        <v>11615</v>
      </c>
      <c r="F1786" t="s">
        <v>87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11616</v>
      </c>
      <c r="M1786" s="3">
        <v>43</v>
      </c>
      <c r="N1786" t="s">
        <v>11450</v>
      </c>
      <c r="O1786" t="s">
        <v>11510</v>
      </c>
      <c r="P1786" t="s">
        <v>11555</v>
      </c>
      <c r="Q1786" t="s">
        <v>25</v>
      </c>
      <c r="R1786" t="s">
        <v>11964</v>
      </c>
    </row>
    <row r="1787" spans="1:18">
      <c r="A1787" t="s">
        <v>12024</v>
      </c>
      <c r="B1787" t="s">
        <v>12025</v>
      </c>
      <c r="C1787" t="s">
        <v>12026</v>
      </c>
      <c r="D1787" s="17" t="s">
        <v>21</v>
      </c>
      <c r="E1787" t="s">
        <v>11615</v>
      </c>
      <c r="F1787" t="s">
        <v>89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11616</v>
      </c>
      <c r="M1787" s="3">
        <v>47</v>
      </c>
      <c r="N1787" t="s">
        <v>11435</v>
      </c>
      <c r="O1787" t="s">
        <v>11510</v>
      </c>
      <c r="P1787" t="s">
        <v>11540</v>
      </c>
      <c r="Q1787" t="s">
        <v>25</v>
      </c>
      <c r="R1787" t="s">
        <v>11949</v>
      </c>
    </row>
    <row r="1788" spans="1:18">
      <c r="A1788" t="s">
        <v>11785</v>
      </c>
      <c r="B1788" t="s">
        <v>11830</v>
      </c>
      <c r="C1788" t="s">
        <v>11875</v>
      </c>
      <c r="D1788" s="17" t="s">
        <v>21</v>
      </c>
      <c r="E1788" t="s">
        <v>11615</v>
      </c>
      <c r="F1788" t="s">
        <v>91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11616</v>
      </c>
      <c r="M1788" s="3">
        <v>51</v>
      </c>
      <c r="N1788" t="s">
        <v>11406</v>
      </c>
      <c r="O1788" t="s">
        <v>11510</v>
      </c>
      <c r="P1788" t="s">
        <v>11511</v>
      </c>
      <c r="Q1788" t="s">
        <v>25</v>
      </c>
      <c r="R1788" t="s">
        <v>11920</v>
      </c>
    </row>
    <row r="1789" spans="1:18">
      <c r="A1789" t="s">
        <v>12027</v>
      </c>
      <c r="B1789" t="s">
        <v>12028</v>
      </c>
      <c r="C1789" t="s">
        <v>12029</v>
      </c>
      <c r="D1789" s="17" t="s">
        <v>21</v>
      </c>
      <c r="E1789" t="s">
        <v>11615</v>
      </c>
      <c r="F1789" t="s">
        <v>93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11616</v>
      </c>
      <c r="M1789" s="3">
        <v>56</v>
      </c>
      <c r="N1789" t="s">
        <v>11415</v>
      </c>
      <c r="O1789" t="s">
        <v>11510</v>
      </c>
      <c r="P1789" t="s">
        <v>11520</v>
      </c>
      <c r="Q1789" t="s">
        <v>25</v>
      </c>
      <c r="R1789" t="s">
        <v>11929</v>
      </c>
    </row>
    <row r="1790" spans="1:18">
      <c r="A1790" t="s">
        <v>11786</v>
      </c>
      <c r="B1790" t="s">
        <v>11831</v>
      </c>
      <c r="C1790" t="s">
        <v>11876</v>
      </c>
      <c r="D1790" s="17" t="s">
        <v>21</v>
      </c>
      <c r="E1790" t="s">
        <v>11615</v>
      </c>
      <c r="F1790" t="s">
        <v>95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11616</v>
      </c>
      <c r="M1790" s="3">
        <v>62</v>
      </c>
      <c r="N1790" t="s">
        <v>11408</v>
      </c>
      <c r="O1790" t="s">
        <v>11510</v>
      </c>
      <c r="P1790" t="s">
        <v>11513</v>
      </c>
      <c r="Q1790" t="s">
        <v>25</v>
      </c>
      <c r="R1790" t="s">
        <v>11922</v>
      </c>
    </row>
    <row r="1791" spans="1:18">
      <c r="A1791" t="s">
        <v>11823</v>
      </c>
      <c r="B1791" t="s">
        <v>11868</v>
      </c>
      <c r="C1791" t="s">
        <v>11913</v>
      </c>
      <c r="D1791" s="17" t="s">
        <v>21</v>
      </c>
      <c r="E1791" t="s">
        <v>11615</v>
      </c>
      <c r="F1791" t="s">
        <v>97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11616</v>
      </c>
      <c r="M1791" s="3">
        <v>68</v>
      </c>
      <c r="N1791" t="s">
        <v>11494</v>
      </c>
      <c r="O1791" t="s">
        <v>11510</v>
      </c>
      <c r="P1791" t="s">
        <v>11599</v>
      </c>
      <c r="Q1791" t="s">
        <v>25</v>
      </c>
      <c r="R1791" t="s">
        <v>12008</v>
      </c>
    </row>
    <row r="1792" spans="1:18">
      <c r="A1792" t="s">
        <v>12030</v>
      </c>
      <c r="B1792" t="s">
        <v>12031</v>
      </c>
      <c r="C1792" t="s">
        <v>12032</v>
      </c>
      <c r="D1792" s="17" t="s">
        <v>21</v>
      </c>
      <c r="E1792" t="s">
        <v>11615</v>
      </c>
      <c r="F1792" t="s">
        <v>99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11616</v>
      </c>
      <c r="M1792" s="3">
        <v>75</v>
      </c>
      <c r="N1792" t="s">
        <v>11436</v>
      </c>
      <c r="O1792" t="s">
        <v>11510</v>
      </c>
      <c r="P1792" t="s">
        <v>11541</v>
      </c>
      <c r="Q1792" t="s">
        <v>25</v>
      </c>
      <c r="R1792" t="s">
        <v>11950</v>
      </c>
    </row>
    <row r="1793" spans="1:18">
      <c r="A1793" t="s">
        <v>11817</v>
      </c>
      <c r="B1793" t="s">
        <v>11862</v>
      </c>
      <c r="C1793" t="s">
        <v>11907</v>
      </c>
      <c r="D1793" s="17" t="s">
        <v>21</v>
      </c>
      <c r="E1793" t="s">
        <v>11615</v>
      </c>
      <c r="F1793" t="s">
        <v>101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11616</v>
      </c>
      <c r="M1793" s="3">
        <v>82</v>
      </c>
      <c r="N1793" t="s">
        <v>11483</v>
      </c>
      <c r="O1793" t="s">
        <v>11510</v>
      </c>
      <c r="P1793" t="s">
        <v>11588</v>
      </c>
      <c r="Q1793" t="s">
        <v>25</v>
      </c>
      <c r="R1793" t="s">
        <v>11997</v>
      </c>
    </row>
    <row r="1794" spans="1:18">
      <c r="A1794" t="s">
        <v>11822</v>
      </c>
      <c r="B1794" t="s">
        <v>11867</v>
      </c>
      <c r="C1794" t="s">
        <v>11912</v>
      </c>
      <c r="D1794" s="17" t="s">
        <v>21</v>
      </c>
      <c r="E1794" t="s">
        <v>11615</v>
      </c>
      <c r="F1794" t="s">
        <v>103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11616</v>
      </c>
      <c r="M1794" s="3">
        <v>91</v>
      </c>
      <c r="N1794" t="s">
        <v>11493</v>
      </c>
      <c r="O1794" t="s">
        <v>11510</v>
      </c>
      <c r="P1794" t="s">
        <v>11598</v>
      </c>
      <c r="Q1794" t="s">
        <v>25</v>
      </c>
      <c r="R1794" t="s">
        <v>12007</v>
      </c>
    </row>
    <row r="1795" spans="1:18">
      <c r="A1795" t="s">
        <v>11788</v>
      </c>
      <c r="B1795" t="s">
        <v>11833</v>
      </c>
      <c r="C1795" t="s">
        <v>11878</v>
      </c>
      <c r="D1795" s="17" t="s">
        <v>21</v>
      </c>
      <c r="E1795" t="s">
        <v>11615</v>
      </c>
      <c r="F1795" t="s">
        <v>105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11616</v>
      </c>
      <c r="M1795" s="3">
        <v>100</v>
      </c>
      <c r="N1795" t="s">
        <v>11411</v>
      </c>
      <c r="O1795" t="s">
        <v>11510</v>
      </c>
      <c r="P1795" t="s">
        <v>11516</v>
      </c>
      <c r="Q1795" t="s">
        <v>25</v>
      </c>
      <c r="R1795" t="s">
        <v>11925</v>
      </c>
    </row>
    <row r="1796" spans="1:18">
      <c r="A1796" t="s">
        <v>11795</v>
      </c>
      <c r="B1796" t="s">
        <v>11840</v>
      </c>
      <c r="C1796" t="s">
        <v>11885</v>
      </c>
      <c r="D1796" s="17" t="s">
        <v>21</v>
      </c>
      <c r="E1796" t="s">
        <v>11615</v>
      </c>
      <c r="F1796" t="s">
        <v>109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11616</v>
      </c>
      <c r="M1796" s="3">
        <v>110</v>
      </c>
      <c r="N1796" t="s">
        <v>11426</v>
      </c>
      <c r="O1796" t="s">
        <v>11510</v>
      </c>
      <c r="P1796" t="s">
        <v>11531</v>
      </c>
      <c r="Q1796" t="s">
        <v>25</v>
      </c>
      <c r="R1796" t="s">
        <v>11940</v>
      </c>
    </row>
    <row r="1797" spans="1:18">
      <c r="A1797" t="s">
        <v>11799</v>
      </c>
      <c r="B1797" t="s">
        <v>11844</v>
      </c>
      <c r="C1797" t="s">
        <v>11889</v>
      </c>
      <c r="D1797" s="17" t="s">
        <v>21</v>
      </c>
      <c r="E1797" t="s">
        <v>11615</v>
      </c>
      <c r="F1797" t="s">
        <v>111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11616</v>
      </c>
      <c r="M1797" s="3">
        <v>120</v>
      </c>
      <c r="N1797" t="s">
        <v>11430</v>
      </c>
      <c r="O1797" t="s">
        <v>11510</v>
      </c>
      <c r="P1797" t="s">
        <v>11535</v>
      </c>
      <c r="Q1797" t="s">
        <v>25</v>
      </c>
      <c r="R1797" t="s">
        <v>11944</v>
      </c>
    </row>
    <row r="1798" spans="1:18">
      <c r="A1798" t="s">
        <v>11801</v>
      </c>
      <c r="B1798" t="s">
        <v>11846</v>
      </c>
      <c r="C1798" t="s">
        <v>11891</v>
      </c>
      <c r="D1798" s="17" t="s">
        <v>21</v>
      </c>
      <c r="E1798" t="s">
        <v>11615</v>
      </c>
      <c r="F1798" t="s">
        <v>113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11616</v>
      </c>
      <c r="M1798" s="3">
        <v>130</v>
      </c>
      <c r="N1798" t="s">
        <v>11439</v>
      </c>
      <c r="O1798" t="s">
        <v>11510</v>
      </c>
      <c r="P1798" t="s">
        <v>11544</v>
      </c>
      <c r="Q1798" t="s">
        <v>25</v>
      </c>
      <c r="R1798" t="s">
        <v>11953</v>
      </c>
    </row>
    <row r="1799" spans="1:18">
      <c r="A1799" t="s">
        <v>11818</v>
      </c>
      <c r="B1799" t="s">
        <v>11863</v>
      </c>
      <c r="C1799" t="s">
        <v>11908</v>
      </c>
      <c r="D1799" s="17" t="s">
        <v>21</v>
      </c>
      <c r="E1799" t="s">
        <v>11615</v>
      </c>
      <c r="F1799" t="s">
        <v>115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11616</v>
      </c>
      <c r="M1799" s="3">
        <v>150</v>
      </c>
      <c r="N1799" t="s">
        <v>11485</v>
      </c>
      <c r="O1799" t="s">
        <v>11510</v>
      </c>
      <c r="P1799" t="s">
        <v>11590</v>
      </c>
      <c r="Q1799" t="s">
        <v>25</v>
      </c>
      <c r="R1799" t="s">
        <v>11999</v>
      </c>
    </row>
    <row r="1800" spans="1:18">
      <c r="A1800" t="s">
        <v>11802</v>
      </c>
      <c r="B1800" t="s">
        <v>11847</v>
      </c>
      <c r="C1800" t="s">
        <v>11892</v>
      </c>
      <c r="D1800" s="17" t="s">
        <v>21</v>
      </c>
      <c r="E1800" t="s">
        <v>11615</v>
      </c>
      <c r="F1800" t="s">
        <v>117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11616</v>
      </c>
      <c r="M1800" s="3">
        <v>160</v>
      </c>
      <c r="N1800" t="s">
        <v>11440</v>
      </c>
      <c r="O1800" t="s">
        <v>11510</v>
      </c>
      <c r="P1800" t="s">
        <v>11545</v>
      </c>
      <c r="Q1800" t="s">
        <v>25</v>
      </c>
      <c r="R1800" t="s">
        <v>11954</v>
      </c>
    </row>
    <row r="1801" spans="1:18">
      <c r="A1801" t="s">
        <v>11805</v>
      </c>
      <c r="B1801" t="s">
        <v>11850</v>
      </c>
      <c r="C1801" t="s">
        <v>11895</v>
      </c>
      <c r="D1801" s="17" t="s">
        <v>21</v>
      </c>
      <c r="E1801" t="s">
        <v>11615</v>
      </c>
      <c r="F1801" t="s">
        <v>119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11616</v>
      </c>
      <c r="M1801" s="3">
        <v>180</v>
      </c>
      <c r="N1801" t="s">
        <v>11447</v>
      </c>
      <c r="O1801" t="s">
        <v>11510</v>
      </c>
      <c r="P1801" t="s">
        <v>11552</v>
      </c>
      <c r="Q1801" t="s">
        <v>25</v>
      </c>
      <c r="R1801" t="s">
        <v>11961</v>
      </c>
    </row>
    <row r="1802" spans="1:18">
      <c r="A1802" t="s">
        <v>11796</v>
      </c>
      <c r="B1802" t="s">
        <v>11841</v>
      </c>
      <c r="C1802" t="s">
        <v>11886</v>
      </c>
      <c r="D1802" s="17" t="s">
        <v>21</v>
      </c>
      <c r="E1802" t="s">
        <v>11615</v>
      </c>
      <c r="F1802" t="s">
        <v>123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11616</v>
      </c>
      <c r="M1802" s="3">
        <v>200</v>
      </c>
      <c r="N1802" t="s">
        <v>11427</v>
      </c>
      <c r="O1802" t="s">
        <v>11510</v>
      </c>
      <c r="P1802" t="s">
        <v>11532</v>
      </c>
      <c r="Q1802" t="s">
        <v>25</v>
      </c>
      <c r="R1802" t="s">
        <v>11941</v>
      </c>
    </row>
    <row r="1803" spans="1:18">
      <c r="A1803" t="s">
        <v>11790</v>
      </c>
      <c r="B1803" t="s">
        <v>11835</v>
      </c>
      <c r="C1803" t="s">
        <v>11880</v>
      </c>
      <c r="D1803" s="17" t="s">
        <v>21</v>
      </c>
      <c r="E1803" t="s">
        <v>11615</v>
      </c>
      <c r="F1803" t="s">
        <v>125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11616</v>
      </c>
      <c r="M1803" s="3">
        <v>220</v>
      </c>
      <c r="N1803" t="s">
        <v>11413</v>
      </c>
      <c r="O1803" t="s">
        <v>11510</v>
      </c>
      <c r="P1803" t="s">
        <v>11518</v>
      </c>
      <c r="Q1803" t="s">
        <v>25</v>
      </c>
      <c r="R1803" t="s">
        <v>11927</v>
      </c>
    </row>
    <row r="1804" spans="1:18">
      <c r="A1804" t="s">
        <v>11787</v>
      </c>
      <c r="B1804" t="s">
        <v>11832</v>
      </c>
      <c r="C1804" t="s">
        <v>11877</v>
      </c>
      <c r="D1804" s="17" t="s">
        <v>21</v>
      </c>
      <c r="E1804" t="s">
        <v>11615</v>
      </c>
      <c r="F1804" t="s">
        <v>129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11616</v>
      </c>
      <c r="M1804" s="3">
        <v>240</v>
      </c>
      <c r="N1804" t="s">
        <v>11409</v>
      </c>
      <c r="O1804" t="s">
        <v>11510</v>
      </c>
      <c r="P1804" t="s">
        <v>11514</v>
      </c>
      <c r="Q1804" t="s">
        <v>25</v>
      </c>
      <c r="R1804" t="s">
        <v>11923</v>
      </c>
    </row>
    <row r="1805" spans="1:18">
      <c r="A1805" t="s">
        <v>11793</v>
      </c>
      <c r="B1805" t="s">
        <v>11838</v>
      </c>
      <c r="C1805" t="s">
        <v>11883</v>
      </c>
      <c r="D1805" s="17" t="s">
        <v>21</v>
      </c>
      <c r="E1805" t="s">
        <v>11615</v>
      </c>
      <c r="F1805" t="s">
        <v>131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11616</v>
      </c>
      <c r="M1805" s="3">
        <v>270</v>
      </c>
      <c r="N1805" t="s">
        <v>11418</v>
      </c>
      <c r="O1805" t="s">
        <v>11510</v>
      </c>
      <c r="P1805" t="s">
        <v>11523</v>
      </c>
      <c r="Q1805" t="s">
        <v>25</v>
      </c>
      <c r="R1805" t="s">
        <v>11932</v>
      </c>
    </row>
    <row r="1806" spans="1:18">
      <c r="A1806" t="s">
        <v>11815</v>
      </c>
      <c r="B1806" t="s">
        <v>11860</v>
      </c>
      <c r="C1806" t="s">
        <v>11905</v>
      </c>
      <c r="D1806" s="17" t="s">
        <v>21</v>
      </c>
      <c r="E1806" t="s">
        <v>11615</v>
      </c>
      <c r="F1806" t="s">
        <v>133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11616</v>
      </c>
      <c r="M1806" s="3">
        <v>300</v>
      </c>
      <c r="N1806" t="s">
        <v>11481</v>
      </c>
      <c r="O1806" t="s">
        <v>11510</v>
      </c>
      <c r="P1806" t="s">
        <v>11586</v>
      </c>
      <c r="Q1806" t="s">
        <v>25</v>
      </c>
      <c r="R1806" t="s">
        <v>11995</v>
      </c>
    </row>
    <row r="1807" spans="1:18">
      <c r="A1807" t="s">
        <v>11797</v>
      </c>
      <c r="B1807" t="s">
        <v>11842</v>
      </c>
      <c r="C1807" t="s">
        <v>11887</v>
      </c>
      <c r="D1807" s="17" t="s">
        <v>21</v>
      </c>
      <c r="E1807" t="s">
        <v>11615</v>
      </c>
      <c r="F1807" t="s">
        <v>137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11616</v>
      </c>
      <c r="M1807" s="3">
        <v>330</v>
      </c>
      <c r="N1807" t="s">
        <v>11428</v>
      </c>
      <c r="O1807" t="s">
        <v>11510</v>
      </c>
      <c r="P1807" t="s">
        <v>11533</v>
      </c>
      <c r="Q1807" t="s">
        <v>25</v>
      </c>
      <c r="R1807" t="s">
        <v>11942</v>
      </c>
    </row>
    <row r="1808" spans="1:18">
      <c r="A1808" t="s">
        <v>11806</v>
      </c>
      <c r="B1808" t="s">
        <v>11851</v>
      </c>
      <c r="C1808" t="s">
        <v>11896</v>
      </c>
      <c r="D1808" s="17" t="s">
        <v>21</v>
      </c>
      <c r="E1808" t="s">
        <v>11615</v>
      </c>
      <c r="F1808" t="s">
        <v>139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11616</v>
      </c>
      <c r="M1808" s="3">
        <v>360</v>
      </c>
      <c r="N1808" t="s">
        <v>11448</v>
      </c>
      <c r="O1808" t="s">
        <v>11510</v>
      </c>
      <c r="P1808" t="s">
        <v>11553</v>
      </c>
      <c r="Q1808" t="s">
        <v>25</v>
      </c>
      <c r="R1808" t="s">
        <v>11962</v>
      </c>
    </row>
    <row r="1809" spans="1:18">
      <c r="A1809" t="s">
        <v>11804</v>
      </c>
      <c r="B1809" t="s">
        <v>11849</v>
      </c>
      <c r="C1809" t="s">
        <v>11894</v>
      </c>
      <c r="D1809" s="17" t="s">
        <v>21</v>
      </c>
      <c r="E1809" t="s">
        <v>11615</v>
      </c>
      <c r="F1809" t="s">
        <v>141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11616</v>
      </c>
      <c r="M1809" s="3">
        <v>390</v>
      </c>
      <c r="N1809" t="s">
        <v>11444</v>
      </c>
      <c r="O1809" t="s">
        <v>11510</v>
      </c>
      <c r="P1809" t="s">
        <v>11549</v>
      </c>
      <c r="Q1809" t="s">
        <v>25</v>
      </c>
      <c r="R1809" t="s">
        <v>11958</v>
      </c>
    </row>
    <row r="1810" spans="1:18">
      <c r="A1810" t="s">
        <v>11829</v>
      </c>
      <c r="B1810" t="s">
        <v>11874</v>
      </c>
      <c r="C1810" t="s">
        <v>11919</v>
      </c>
      <c r="D1810" s="17" t="s">
        <v>21</v>
      </c>
      <c r="E1810" t="s">
        <v>11615</v>
      </c>
      <c r="F1810" t="s">
        <v>143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11616</v>
      </c>
      <c r="M1810" s="3">
        <v>430</v>
      </c>
      <c r="N1810" t="s">
        <v>11509</v>
      </c>
      <c r="O1810" t="s">
        <v>11510</v>
      </c>
      <c r="P1810" t="s">
        <v>11614</v>
      </c>
      <c r="Q1810" t="s">
        <v>25</v>
      </c>
      <c r="R1810" t="s">
        <v>12023</v>
      </c>
    </row>
    <row r="1811" spans="1:18">
      <c r="A1811" t="s">
        <v>11792</v>
      </c>
      <c r="B1811" t="s">
        <v>11837</v>
      </c>
      <c r="C1811" t="s">
        <v>11882</v>
      </c>
      <c r="D1811" s="17" t="s">
        <v>21</v>
      </c>
      <c r="E1811" t="s">
        <v>11615</v>
      </c>
      <c r="F1811" t="s">
        <v>145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11616</v>
      </c>
      <c r="M1811" s="3">
        <v>470</v>
      </c>
      <c r="N1811" t="s">
        <v>11417</v>
      </c>
      <c r="O1811" t="s">
        <v>11510</v>
      </c>
      <c r="P1811" t="s">
        <v>11522</v>
      </c>
      <c r="Q1811" t="s">
        <v>25</v>
      </c>
      <c r="R1811" t="s">
        <v>11931</v>
      </c>
    </row>
    <row r="1812" spans="1:18">
      <c r="A1812" t="s">
        <v>11808</v>
      </c>
      <c r="B1812" t="s">
        <v>11853</v>
      </c>
      <c r="C1812" t="s">
        <v>11898</v>
      </c>
      <c r="D1812" s="17" t="s">
        <v>21</v>
      </c>
      <c r="E1812" t="s">
        <v>11615</v>
      </c>
      <c r="F1812" t="s">
        <v>149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11616</v>
      </c>
      <c r="M1812" s="3">
        <v>510</v>
      </c>
      <c r="N1812" t="s">
        <v>11451</v>
      </c>
      <c r="O1812" t="s">
        <v>11510</v>
      </c>
      <c r="P1812" t="s">
        <v>11556</v>
      </c>
      <c r="Q1812" t="s">
        <v>25</v>
      </c>
      <c r="R1812" t="s">
        <v>11965</v>
      </c>
    </row>
    <row r="1813" spans="1:18">
      <c r="A1813" t="s">
        <v>11811</v>
      </c>
      <c r="B1813" t="s">
        <v>11856</v>
      </c>
      <c r="C1813" t="s">
        <v>11901</v>
      </c>
      <c r="D1813" s="17" t="s">
        <v>21</v>
      </c>
      <c r="E1813" t="s">
        <v>11615</v>
      </c>
      <c r="F1813" t="s">
        <v>151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11616</v>
      </c>
      <c r="M1813" s="3">
        <v>560</v>
      </c>
      <c r="N1813" t="s">
        <v>11464</v>
      </c>
      <c r="O1813" t="s">
        <v>11510</v>
      </c>
      <c r="P1813" t="s">
        <v>11569</v>
      </c>
      <c r="Q1813" t="s">
        <v>25</v>
      </c>
      <c r="R1813" t="s">
        <v>11978</v>
      </c>
    </row>
    <row r="1814" spans="1:18">
      <c r="A1814" t="s">
        <v>11798</v>
      </c>
      <c r="B1814" t="s">
        <v>11843</v>
      </c>
      <c r="C1814" t="s">
        <v>11888</v>
      </c>
      <c r="D1814" s="17" t="s">
        <v>21</v>
      </c>
      <c r="E1814" t="s">
        <v>11615</v>
      </c>
      <c r="F1814" t="s">
        <v>153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11616</v>
      </c>
      <c r="M1814" s="3">
        <v>620</v>
      </c>
      <c r="N1814" t="s">
        <v>11429</v>
      </c>
      <c r="O1814" t="s">
        <v>11510</v>
      </c>
      <c r="P1814" t="s">
        <v>11534</v>
      </c>
      <c r="Q1814" t="s">
        <v>25</v>
      </c>
      <c r="R1814" t="s">
        <v>11943</v>
      </c>
    </row>
    <row r="1815" spans="1:18">
      <c r="A1815" t="s">
        <v>11820</v>
      </c>
      <c r="B1815" t="s">
        <v>11865</v>
      </c>
      <c r="C1815" t="s">
        <v>11910</v>
      </c>
      <c r="D1815" s="17" t="s">
        <v>21</v>
      </c>
      <c r="E1815" t="s">
        <v>11615</v>
      </c>
      <c r="F1815" t="s">
        <v>155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11616</v>
      </c>
      <c r="M1815" s="3">
        <v>680</v>
      </c>
      <c r="N1815" t="s">
        <v>11489</v>
      </c>
      <c r="O1815" t="s">
        <v>11510</v>
      </c>
      <c r="P1815" t="s">
        <v>11594</v>
      </c>
      <c r="Q1815" t="s">
        <v>25</v>
      </c>
      <c r="R1815" t="s">
        <v>12003</v>
      </c>
    </row>
    <row r="1816" spans="1:18">
      <c r="A1816" t="s">
        <v>11814</v>
      </c>
      <c r="B1816" t="s">
        <v>11859</v>
      </c>
      <c r="C1816" t="s">
        <v>11904</v>
      </c>
      <c r="D1816" s="17" t="s">
        <v>21</v>
      </c>
      <c r="E1816" t="s">
        <v>11615</v>
      </c>
      <c r="F1816" t="s">
        <v>157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11616</v>
      </c>
      <c r="M1816" s="3">
        <v>750</v>
      </c>
      <c r="N1816" t="s">
        <v>11479</v>
      </c>
      <c r="O1816" t="s">
        <v>11510</v>
      </c>
      <c r="P1816" t="s">
        <v>11584</v>
      </c>
      <c r="Q1816" t="s">
        <v>25</v>
      </c>
      <c r="R1816" t="s">
        <v>11993</v>
      </c>
    </row>
    <row r="1817" spans="1:18">
      <c r="A1817" t="s">
        <v>11819</v>
      </c>
      <c r="B1817" t="s">
        <v>11864</v>
      </c>
      <c r="C1817" t="s">
        <v>11909</v>
      </c>
      <c r="D1817" s="17" t="s">
        <v>21</v>
      </c>
      <c r="E1817" t="s">
        <v>11615</v>
      </c>
      <c r="F1817" t="s">
        <v>159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11616</v>
      </c>
      <c r="M1817" s="3">
        <v>820</v>
      </c>
      <c r="N1817" t="s">
        <v>11486</v>
      </c>
      <c r="O1817" t="s">
        <v>11510</v>
      </c>
      <c r="P1817" t="s">
        <v>11591</v>
      </c>
      <c r="Q1817" t="s">
        <v>25</v>
      </c>
      <c r="R1817" t="s">
        <v>12000</v>
      </c>
    </row>
    <row r="1818" spans="1:18">
      <c r="A1818" t="s">
        <v>11813</v>
      </c>
      <c r="B1818" t="s">
        <v>11858</v>
      </c>
      <c r="C1818" t="s">
        <v>11903</v>
      </c>
      <c r="D1818" s="17" t="s">
        <v>21</v>
      </c>
      <c r="E1818" t="s">
        <v>11615</v>
      </c>
      <c r="F1818" t="s">
        <v>161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11616</v>
      </c>
      <c r="M1818" s="3">
        <v>910</v>
      </c>
      <c r="N1818" t="s">
        <v>11470</v>
      </c>
      <c r="O1818" t="s">
        <v>11510</v>
      </c>
      <c r="P1818" t="s">
        <v>11575</v>
      </c>
      <c r="Q1818" t="s">
        <v>25</v>
      </c>
      <c r="R1818" t="s">
        <v>11984</v>
      </c>
    </row>
    <row r="1819" spans="1:18">
      <c r="A1819" t="s">
        <v>11682</v>
      </c>
      <c r="B1819" t="s">
        <v>11626</v>
      </c>
      <c r="C1819" t="s">
        <v>11738</v>
      </c>
      <c r="D1819" s="17" t="s">
        <v>21</v>
      </c>
      <c r="E1819" t="s">
        <v>11615</v>
      </c>
      <c r="F1819" t="s">
        <v>163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11616</v>
      </c>
      <c r="M1819" s="3">
        <v>1000</v>
      </c>
      <c r="N1819" t="s">
        <v>11432</v>
      </c>
      <c r="O1819" t="s">
        <v>11510</v>
      </c>
      <c r="P1819" t="s">
        <v>11537</v>
      </c>
      <c r="Q1819" t="s">
        <v>25</v>
      </c>
      <c r="R1819" t="s">
        <v>11946</v>
      </c>
    </row>
    <row r="1820" spans="1:18">
      <c r="A1820" t="s">
        <v>11681</v>
      </c>
      <c r="B1820" t="s">
        <v>11625</v>
      </c>
      <c r="C1820" t="s">
        <v>11737</v>
      </c>
      <c r="D1820" s="17" t="s">
        <v>21</v>
      </c>
      <c r="E1820" t="s">
        <v>11615</v>
      </c>
      <c r="F1820" t="s">
        <v>165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11616</v>
      </c>
      <c r="M1820" s="3">
        <v>1100</v>
      </c>
      <c r="N1820" t="s">
        <v>11425</v>
      </c>
      <c r="O1820" t="s">
        <v>11510</v>
      </c>
      <c r="P1820" t="s">
        <v>11530</v>
      </c>
      <c r="Q1820" t="s">
        <v>25</v>
      </c>
      <c r="R1820" t="s">
        <v>11939</v>
      </c>
    </row>
    <row r="1821" spans="1:18">
      <c r="A1821" t="s">
        <v>11715</v>
      </c>
      <c r="B1821" t="s">
        <v>11659</v>
      </c>
      <c r="C1821" t="s">
        <v>11771</v>
      </c>
      <c r="D1821" s="17" t="s">
        <v>21</v>
      </c>
      <c r="E1821" t="s">
        <v>11615</v>
      </c>
      <c r="F1821" t="s">
        <v>167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11616</v>
      </c>
      <c r="M1821" s="3">
        <v>1200</v>
      </c>
      <c r="N1821" t="s">
        <v>11484</v>
      </c>
      <c r="O1821" t="s">
        <v>11510</v>
      </c>
      <c r="P1821" t="s">
        <v>11589</v>
      </c>
      <c r="Q1821" t="s">
        <v>25</v>
      </c>
      <c r="R1821" t="s">
        <v>11998</v>
      </c>
    </row>
    <row r="1822" spans="1:18">
      <c r="A1822" t="s">
        <v>11705</v>
      </c>
      <c r="B1822" t="s">
        <v>11649</v>
      </c>
      <c r="C1822" t="s">
        <v>11761</v>
      </c>
      <c r="D1822" s="17" t="s">
        <v>21</v>
      </c>
      <c r="E1822" t="s">
        <v>11615</v>
      </c>
      <c r="F1822" t="s">
        <v>169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11616</v>
      </c>
      <c r="M1822" s="3">
        <v>1300</v>
      </c>
      <c r="N1822" t="s">
        <v>11469</v>
      </c>
      <c r="O1822" t="s">
        <v>11510</v>
      </c>
      <c r="P1822" t="s">
        <v>11574</v>
      </c>
      <c r="Q1822" t="s">
        <v>25</v>
      </c>
      <c r="R1822" t="s">
        <v>11983</v>
      </c>
    </row>
    <row r="1823" spans="1:18">
      <c r="A1823" t="s">
        <v>11713</v>
      </c>
      <c r="B1823" t="s">
        <v>11657</v>
      </c>
      <c r="C1823" t="s">
        <v>11769</v>
      </c>
      <c r="D1823" s="17" t="s">
        <v>21</v>
      </c>
      <c r="E1823" t="s">
        <v>11615</v>
      </c>
      <c r="F1823" t="s">
        <v>171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11616</v>
      </c>
      <c r="M1823" s="3">
        <v>1500</v>
      </c>
      <c r="N1823" t="s">
        <v>11478</v>
      </c>
      <c r="O1823" t="s">
        <v>11510</v>
      </c>
      <c r="P1823" t="s">
        <v>11583</v>
      </c>
      <c r="Q1823" t="s">
        <v>25</v>
      </c>
      <c r="R1823" t="s">
        <v>11992</v>
      </c>
    </row>
    <row r="1824" spans="1:18">
      <c r="A1824" t="s">
        <v>11727</v>
      </c>
      <c r="B1824" t="s">
        <v>11671</v>
      </c>
      <c r="C1824" t="s">
        <v>11783</v>
      </c>
      <c r="D1824" s="17" t="s">
        <v>21</v>
      </c>
      <c r="E1824" t="s">
        <v>11615</v>
      </c>
      <c r="F1824" t="s">
        <v>175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11616</v>
      </c>
      <c r="M1824" s="3">
        <v>1600</v>
      </c>
      <c r="N1824" t="s">
        <v>11507</v>
      </c>
      <c r="O1824" t="s">
        <v>11510</v>
      </c>
      <c r="P1824" t="s">
        <v>11612</v>
      </c>
      <c r="Q1824" t="s">
        <v>25</v>
      </c>
      <c r="R1824" t="s">
        <v>12021</v>
      </c>
    </row>
    <row r="1825" spans="1:18">
      <c r="A1825" t="s">
        <v>11721</v>
      </c>
      <c r="B1825" t="s">
        <v>11665</v>
      </c>
      <c r="C1825" t="s">
        <v>11777</v>
      </c>
      <c r="D1825" s="17" t="s">
        <v>21</v>
      </c>
      <c r="E1825" t="s">
        <v>11615</v>
      </c>
      <c r="F1825" t="s">
        <v>181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11616</v>
      </c>
      <c r="M1825" s="3">
        <v>1800</v>
      </c>
      <c r="N1825" t="s">
        <v>11498</v>
      </c>
      <c r="O1825" t="s">
        <v>11510</v>
      </c>
      <c r="P1825" t="s">
        <v>11603</v>
      </c>
      <c r="Q1825" t="s">
        <v>25</v>
      </c>
      <c r="R1825" t="s">
        <v>12012</v>
      </c>
    </row>
    <row r="1826" spans="1:18">
      <c r="A1826" t="s">
        <v>11683</v>
      </c>
      <c r="B1826" t="s">
        <v>11627</v>
      </c>
      <c r="C1826" t="s">
        <v>11739</v>
      </c>
      <c r="D1826" s="17" t="s">
        <v>21</v>
      </c>
      <c r="E1826" t="s">
        <v>11615</v>
      </c>
      <c r="F1826" t="s">
        <v>183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11616</v>
      </c>
      <c r="M1826" s="3">
        <v>2000</v>
      </c>
      <c r="N1826" t="s">
        <v>11433</v>
      </c>
      <c r="O1826" t="s">
        <v>11510</v>
      </c>
      <c r="P1826" t="s">
        <v>11538</v>
      </c>
      <c r="Q1826" t="s">
        <v>25</v>
      </c>
      <c r="R1826" t="s">
        <v>11947</v>
      </c>
    </row>
    <row r="1827" spans="1:18">
      <c r="A1827" t="s">
        <v>11689</v>
      </c>
      <c r="B1827" t="s">
        <v>11633</v>
      </c>
      <c r="C1827" t="s">
        <v>11745</v>
      </c>
      <c r="D1827" s="17" t="s">
        <v>21</v>
      </c>
      <c r="E1827" t="s">
        <v>11615</v>
      </c>
      <c r="F1827" t="s">
        <v>187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11616</v>
      </c>
      <c r="M1827" s="3">
        <v>2200</v>
      </c>
      <c r="N1827" t="s">
        <v>11445</v>
      </c>
      <c r="O1827" t="s">
        <v>11510</v>
      </c>
      <c r="P1827" t="s">
        <v>11550</v>
      </c>
      <c r="Q1827" t="s">
        <v>25</v>
      </c>
      <c r="R1827" t="s">
        <v>11959</v>
      </c>
    </row>
    <row r="1828" spans="1:18">
      <c r="A1828" t="s">
        <v>11707</v>
      </c>
      <c r="B1828" t="s">
        <v>11651</v>
      </c>
      <c r="C1828" t="s">
        <v>11763</v>
      </c>
      <c r="D1828" s="17" t="s">
        <v>21</v>
      </c>
      <c r="E1828" t="s">
        <v>11615</v>
      </c>
      <c r="F1828" t="s">
        <v>191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11616</v>
      </c>
      <c r="M1828" s="3">
        <v>2400</v>
      </c>
      <c r="N1828" t="s">
        <v>11472</v>
      </c>
      <c r="O1828" t="s">
        <v>11510</v>
      </c>
      <c r="P1828" t="s">
        <v>11577</v>
      </c>
      <c r="Q1828" t="s">
        <v>25</v>
      </c>
      <c r="R1828" t="s">
        <v>11986</v>
      </c>
    </row>
    <row r="1829" spans="1:18">
      <c r="A1829" t="s">
        <v>11719</v>
      </c>
      <c r="B1829" t="s">
        <v>11663</v>
      </c>
      <c r="C1829" t="s">
        <v>11775</v>
      </c>
      <c r="D1829" s="17" t="s">
        <v>21</v>
      </c>
      <c r="E1829" t="s">
        <v>11615</v>
      </c>
      <c r="F1829" t="s">
        <v>193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11616</v>
      </c>
      <c r="M1829" s="3">
        <v>2700</v>
      </c>
      <c r="N1829" t="s">
        <v>11491</v>
      </c>
      <c r="O1829" t="s">
        <v>11510</v>
      </c>
      <c r="P1829" t="s">
        <v>11596</v>
      </c>
      <c r="Q1829" t="s">
        <v>25</v>
      </c>
      <c r="R1829" t="s">
        <v>12005</v>
      </c>
    </row>
    <row r="1830" spans="1:18">
      <c r="A1830" t="s">
        <v>11728</v>
      </c>
      <c r="B1830" t="s">
        <v>11672</v>
      </c>
      <c r="C1830" t="s">
        <v>11784</v>
      </c>
      <c r="D1830" s="17" t="s">
        <v>21</v>
      </c>
      <c r="E1830" t="s">
        <v>11615</v>
      </c>
      <c r="F1830" t="s">
        <v>197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11616</v>
      </c>
      <c r="M1830" s="3">
        <v>3000</v>
      </c>
      <c r="N1830" t="s">
        <v>11508</v>
      </c>
      <c r="O1830" t="s">
        <v>11510</v>
      </c>
      <c r="P1830" t="s">
        <v>11613</v>
      </c>
      <c r="Q1830" t="s">
        <v>25</v>
      </c>
      <c r="R1830" t="s">
        <v>12022</v>
      </c>
    </row>
    <row r="1831" spans="1:18">
      <c r="A1831" t="s">
        <v>11724</v>
      </c>
      <c r="B1831" t="s">
        <v>11668</v>
      </c>
      <c r="C1831" t="s">
        <v>11780</v>
      </c>
      <c r="D1831" s="17" t="s">
        <v>21</v>
      </c>
      <c r="E1831" t="s">
        <v>11615</v>
      </c>
      <c r="F1831" t="s">
        <v>201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11616</v>
      </c>
      <c r="M1831" s="3">
        <v>3300</v>
      </c>
      <c r="N1831" t="s">
        <v>11502</v>
      </c>
      <c r="O1831" t="s">
        <v>11510</v>
      </c>
      <c r="P1831" t="s">
        <v>11607</v>
      </c>
      <c r="Q1831" t="s">
        <v>25</v>
      </c>
      <c r="R1831" t="s">
        <v>12016</v>
      </c>
    </row>
    <row r="1832" spans="1:18">
      <c r="A1832" t="s">
        <v>11703</v>
      </c>
      <c r="B1832" t="s">
        <v>11647</v>
      </c>
      <c r="C1832" t="s">
        <v>11759</v>
      </c>
      <c r="D1832" s="17" t="s">
        <v>21</v>
      </c>
      <c r="E1832" t="s">
        <v>11615</v>
      </c>
      <c r="F1832" t="s">
        <v>203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11616</v>
      </c>
      <c r="M1832" s="3">
        <v>3600</v>
      </c>
      <c r="N1832" t="s">
        <v>11467</v>
      </c>
      <c r="O1832" t="s">
        <v>11510</v>
      </c>
      <c r="P1832" t="s">
        <v>11572</v>
      </c>
      <c r="Q1832" t="s">
        <v>25</v>
      </c>
      <c r="R1832" t="s">
        <v>11981</v>
      </c>
    </row>
    <row r="1833" spans="1:18">
      <c r="A1833" t="s">
        <v>11677</v>
      </c>
      <c r="B1833" t="s">
        <v>11621</v>
      </c>
      <c r="C1833" t="s">
        <v>11733</v>
      </c>
      <c r="D1833" s="17" t="s">
        <v>21</v>
      </c>
      <c r="E1833" t="s">
        <v>11615</v>
      </c>
      <c r="F1833" t="s">
        <v>205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11616</v>
      </c>
      <c r="M1833" s="3">
        <v>3900</v>
      </c>
      <c r="N1833" t="s">
        <v>11420</v>
      </c>
      <c r="O1833" t="s">
        <v>11510</v>
      </c>
      <c r="P1833" t="s">
        <v>11525</v>
      </c>
      <c r="Q1833" t="s">
        <v>25</v>
      </c>
      <c r="R1833" t="s">
        <v>11934</v>
      </c>
    </row>
    <row r="1834" spans="1:18">
      <c r="A1834" t="s">
        <v>11710</v>
      </c>
      <c r="B1834" t="s">
        <v>11654</v>
      </c>
      <c r="C1834" t="s">
        <v>11766</v>
      </c>
      <c r="D1834" s="17" t="s">
        <v>21</v>
      </c>
      <c r="E1834" t="s">
        <v>11615</v>
      </c>
      <c r="F1834" t="s">
        <v>207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11616</v>
      </c>
      <c r="M1834" s="3">
        <v>4300</v>
      </c>
      <c r="N1834" t="s">
        <v>11475</v>
      </c>
      <c r="O1834" t="s">
        <v>11510</v>
      </c>
      <c r="P1834" t="s">
        <v>11580</v>
      </c>
      <c r="Q1834" t="s">
        <v>25</v>
      </c>
      <c r="R1834" t="s">
        <v>11989</v>
      </c>
    </row>
    <row r="1835" spans="1:18">
      <c r="A1835" t="s">
        <v>11685</v>
      </c>
      <c r="B1835" t="s">
        <v>11629</v>
      </c>
      <c r="C1835" t="s">
        <v>11741</v>
      </c>
      <c r="D1835" s="17" t="s">
        <v>21</v>
      </c>
      <c r="E1835" t="s">
        <v>11615</v>
      </c>
      <c r="F1835" t="s">
        <v>209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11616</v>
      </c>
      <c r="M1835" s="3">
        <v>4700</v>
      </c>
      <c r="N1835" t="s">
        <v>11437</v>
      </c>
      <c r="O1835" t="s">
        <v>11510</v>
      </c>
      <c r="P1835" t="s">
        <v>11542</v>
      </c>
      <c r="Q1835" t="s">
        <v>25</v>
      </c>
      <c r="R1835" t="s">
        <v>11951</v>
      </c>
    </row>
    <row r="1836" spans="1:18">
      <c r="A1836" t="s">
        <v>11691</v>
      </c>
      <c r="B1836" t="s">
        <v>11635</v>
      </c>
      <c r="C1836" t="s">
        <v>11747</v>
      </c>
      <c r="D1836" s="17" t="s">
        <v>21</v>
      </c>
      <c r="E1836" t="s">
        <v>11615</v>
      </c>
      <c r="F1836" t="s">
        <v>213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11616</v>
      </c>
      <c r="M1836" s="3">
        <v>5100</v>
      </c>
      <c r="N1836" t="s">
        <v>11449</v>
      </c>
      <c r="O1836" t="s">
        <v>11510</v>
      </c>
      <c r="P1836" t="s">
        <v>11554</v>
      </c>
      <c r="Q1836" t="s">
        <v>25</v>
      </c>
      <c r="R1836" t="s">
        <v>11963</v>
      </c>
    </row>
    <row r="1837" spans="1:18">
      <c r="A1837" t="s">
        <v>11678</v>
      </c>
      <c r="B1837" t="s">
        <v>11622</v>
      </c>
      <c r="C1837" t="s">
        <v>11734</v>
      </c>
      <c r="D1837" s="17" t="s">
        <v>21</v>
      </c>
      <c r="E1837" t="s">
        <v>11615</v>
      </c>
      <c r="F1837" t="s">
        <v>215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11616</v>
      </c>
      <c r="M1837" s="3">
        <v>5600</v>
      </c>
      <c r="N1837" t="s">
        <v>11421</v>
      </c>
      <c r="O1837" t="s">
        <v>11510</v>
      </c>
      <c r="P1837" t="s">
        <v>11526</v>
      </c>
      <c r="Q1837" t="s">
        <v>25</v>
      </c>
      <c r="R1837" t="s">
        <v>11935</v>
      </c>
    </row>
    <row r="1838" spans="1:18">
      <c r="A1838" t="s">
        <v>11704</v>
      </c>
      <c r="B1838" t="s">
        <v>11648</v>
      </c>
      <c r="C1838" t="s">
        <v>11760</v>
      </c>
      <c r="D1838" s="17" t="s">
        <v>21</v>
      </c>
      <c r="E1838" t="s">
        <v>11615</v>
      </c>
      <c r="F1838" t="s">
        <v>217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11616</v>
      </c>
      <c r="M1838" s="3">
        <v>6200</v>
      </c>
      <c r="N1838" t="s">
        <v>11468</v>
      </c>
      <c r="O1838" t="s">
        <v>11510</v>
      </c>
      <c r="P1838" t="s">
        <v>11573</v>
      </c>
      <c r="Q1838" t="s">
        <v>25</v>
      </c>
      <c r="R1838" t="s">
        <v>11982</v>
      </c>
    </row>
    <row r="1839" spans="1:18">
      <c r="A1839" t="s">
        <v>11684</v>
      </c>
      <c r="B1839" t="s">
        <v>11628</v>
      </c>
      <c r="C1839" t="s">
        <v>11740</v>
      </c>
      <c r="D1839" s="17" t="s">
        <v>21</v>
      </c>
      <c r="E1839" t="s">
        <v>11615</v>
      </c>
      <c r="F1839" t="s">
        <v>219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11616</v>
      </c>
      <c r="M1839" s="3">
        <v>6800</v>
      </c>
      <c r="N1839" t="s">
        <v>11434</v>
      </c>
      <c r="O1839" t="s">
        <v>11510</v>
      </c>
      <c r="P1839" t="s">
        <v>11539</v>
      </c>
      <c r="Q1839" t="s">
        <v>25</v>
      </c>
      <c r="R1839" t="s">
        <v>11948</v>
      </c>
    </row>
    <row r="1840" spans="1:18">
      <c r="A1840" t="s">
        <v>11714</v>
      </c>
      <c r="B1840" t="s">
        <v>11658</v>
      </c>
      <c r="C1840" t="s">
        <v>11770</v>
      </c>
      <c r="D1840" s="17" t="s">
        <v>21</v>
      </c>
      <c r="E1840" t="s">
        <v>11615</v>
      </c>
      <c r="F1840" t="s">
        <v>221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11616</v>
      </c>
      <c r="M1840" s="3">
        <v>7500</v>
      </c>
      <c r="N1840" t="s">
        <v>11480</v>
      </c>
      <c r="O1840" t="s">
        <v>11510</v>
      </c>
      <c r="P1840" t="s">
        <v>11585</v>
      </c>
      <c r="Q1840" t="s">
        <v>25</v>
      </c>
      <c r="R1840" t="s">
        <v>11994</v>
      </c>
    </row>
    <row r="1841" spans="1:18">
      <c r="A1841" t="s">
        <v>11676</v>
      </c>
      <c r="B1841" t="s">
        <v>11620</v>
      </c>
      <c r="C1841" t="s">
        <v>11732</v>
      </c>
      <c r="D1841" s="17" t="s">
        <v>21</v>
      </c>
      <c r="E1841" t="s">
        <v>11615</v>
      </c>
      <c r="F1841" t="s">
        <v>223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11616</v>
      </c>
      <c r="M1841" s="3">
        <v>8200</v>
      </c>
      <c r="N1841" t="s">
        <v>11419</v>
      </c>
      <c r="O1841" t="s">
        <v>11510</v>
      </c>
      <c r="P1841" t="s">
        <v>11524</v>
      </c>
      <c r="Q1841" t="s">
        <v>25</v>
      </c>
      <c r="R1841" t="s">
        <v>11933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11615</v>
      </c>
      <c r="F1842" t="s">
        <v>225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11616</v>
      </c>
      <c r="M1842" s="3">
        <v>9100</v>
      </c>
      <c r="N1842" t="s">
        <v>11476</v>
      </c>
      <c r="O1842" t="s">
        <v>11510</v>
      </c>
      <c r="P1842" t="s">
        <v>11581</v>
      </c>
      <c r="Q1842" t="s">
        <v>25</v>
      </c>
      <c r="R1842" t="s">
        <v>11990</v>
      </c>
    </row>
    <row r="1843" spans="1:18">
      <c r="A1843" t="s">
        <v>11694</v>
      </c>
      <c r="B1843" t="s">
        <v>11638</v>
      </c>
      <c r="C1843" t="s">
        <v>11750</v>
      </c>
      <c r="D1843" s="17" t="s">
        <v>21</v>
      </c>
      <c r="E1843" t="s">
        <v>11615</v>
      </c>
      <c r="F1843" t="s">
        <v>229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11616</v>
      </c>
      <c r="M1843" s="3">
        <v>10000</v>
      </c>
      <c r="N1843" t="s">
        <v>11454</v>
      </c>
      <c r="O1843" t="s">
        <v>11510</v>
      </c>
      <c r="P1843" t="s">
        <v>11559</v>
      </c>
      <c r="Q1843" t="s">
        <v>25</v>
      </c>
      <c r="R1843" t="s">
        <v>11968</v>
      </c>
    </row>
    <row r="1844" spans="1:18">
      <c r="A1844" t="s">
        <v>11709</v>
      </c>
      <c r="B1844" t="s">
        <v>11653</v>
      </c>
      <c r="C1844" t="s">
        <v>11765</v>
      </c>
      <c r="D1844" s="17" t="s">
        <v>21</v>
      </c>
      <c r="E1844" t="s">
        <v>11615</v>
      </c>
      <c r="F1844" t="s">
        <v>233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11616</v>
      </c>
      <c r="M1844" s="3">
        <v>11000</v>
      </c>
      <c r="N1844" t="s">
        <v>11474</v>
      </c>
      <c r="O1844" t="s">
        <v>11510</v>
      </c>
      <c r="P1844" t="s">
        <v>11579</v>
      </c>
      <c r="Q1844" t="s">
        <v>25</v>
      </c>
      <c r="R1844" t="s">
        <v>11988</v>
      </c>
    </row>
    <row r="1845" spans="1:18">
      <c r="A1845" t="s">
        <v>11686</v>
      </c>
      <c r="B1845" t="s">
        <v>11630</v>
      </c>
      <c r="C1845" t="s">
        <v>11742</v>
      </c>
      <c r="D1845" s="17" t="s">
        <v>21</v>
      </c>
      <c r="E1845" t="s">
        <v>11615</v>
      </c>
      <c r="F1845" t="s">
        <v>235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11616</v>
      </c>
      <c r="M1845" s="3">
        <v>12000</v>
      </c>
      <c r="N1845" t="s">
        <v>11438</v>
      </c>
      <c r="O1845" t="s">
        <v>11510</v>
      </c>
      <c r="P1845" t="s">
        <v>11543</v>
      </c>
      <c r="Q1845" t="s">
        <v>25</v>
      </c>
      <c r="R1845" t="s">
        <v>11952</v>
      </c>
    </row>
    <row r="1846" spans="1:18">
      <c r="A1846" t="s">
        <v>11708</v>
      </c>
      <c r="B1846" t="s">
        <v>11652</v>
      </c>
      <c r="C1846" t="s">
        <v>11764</v>
      </c>
      <c r="D1846" s="17" t="s">
        <v>21</v>
      </c>
      <c r="E1846" t="s">
        <v>11615</v>
      </c>
      <c r="F1846" t="s">
        <v>239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11616</v>
      </c>
      <c r="M1846" s="3">
        <v>13000</v>
      </c>
      <c r="N1846" t="s">
        <v>11473</v>
      </c>
      <c r="O1846" t="s">
        <v>11510</v>
      </c>
      <c r="P1846" t="s">
        <v>11578</v>
      </c>
      <c r="Q1846" t="s">
        <v>25</v>
      </c>
      <c r="R1846" t="s">
        <v>11987</v>
      </c>
    </row>
    <row r="1847" spans="1:18">
      <c r="A1847" t="s">
        <v>11688</v>
      </c>
      <c r="B1847" t="s">
        <v>11632</v>
      </c>
      <c r="C1847" t="s">
        <v>11744</v>
      </c>
      <c r="D1847" s="17" t="s">
        <v>21</v>
      </c>
      <c r="E1847" t="s">
        <v>11615</v>
      </c>
      <c r="F1847" t="s">
        <v>243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11616</v>
      </c>
      <c r="M1847" s="3">
        <v>15000</v>
      </c>
      <c r="N1847" t="s">
        <v>11443</v>
      </c>
      <c r="O1847" t="s">
        <v>11510</v>
      </c>
      <c r="P1847" t="s">
        <v>11548</v>
      </c>
      <c r="Q1847" t="s">
        <v>25</v>
      </c>
      <c r="R1847" t="s">
        <v>11957</v>
      </c>
    </row>
    <row r="1848" spans="1:18">
      <c r="A1848" t="s">
        <v>11720</v>
      </c>
      <c r="B1848" t="s">
        <v>11664</v>
      </c>
      <c r="C1848" t="s">
        <v>11776</v>
      </c>
      <c r="D1848" s="17" t="s">
        <v>21</v>
      </c>
      <c r="E1848" t="s">
        <v>11615</v>
      </c>
      <c r="F1848" t="s">
        <v>247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11616</v>
      </c>
      <c r="M1848" s="3">
        <v>16000</v>
      </c>
      <c r="N1848" t="s">
        <v>11497</v>
      </c>
      <c r="O1848" t="s">
        <v>11510</v>
      </c>
      <c r="P1848" t="s">
        <v>11602</v>
      </c>
      <c r="Q1848" t="s">
        <v>25</v>
      </c>
      <c r="R1848" t="s">
        <v>12011</v>
      </c>
    </row>
    <row r="1849" spans="1:18">
      <c r="A1849" t="s">
        <v>11673</v>
      </c>
      <c r="B1849" t="s">
        <v>11617</v>
      </c>
      <c r="C1849" t="s">
        <v>11729</v>
      </c>
      <c r="D1849" s="17" t="s">
        <v>21</v>
      </c>
      <c r="E1849" t="s">
        <v>11615</v>
      </c>
      <c r="F1849" t="s">
        <v>251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11616</v>
      </c>
      <c r="M1849" s="3">
        <v>18000</v>
      </c>
      <c r="N1849" t="s">
        <v>11407</v>
      </c>
      <c r="O1849" t="s">
        <v>11510</v>
      </c>
      <c r="P1849" t="s">
        <v>11512</v>
      </c>
      <c r="Q1849" t="s">
        <v>25</v>
      </c>
      <c r="R1849" t="s">
        <v>11921</v>
      </c>
    </row>
    <row r="1850" spans="1:18">
      <c r="A1850" t="s">
        <v>11690</v>
      </c>
      <c r="B1850" t="s">
        <v>11634</v>
      </c>
      <c r="C1850" t="s">
        <v>11746</v>
      </c>
      <c r="D1850" s="17" t="s">
        <v>21</v>
      </c>
      <c r="E1850" t="s">
        <v>11615</v>
      </c>
      <c r="F1850" t="s">
        <v>255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11616</v>
      </c>
      <c r="M1850" s="3">
        <v>20000</v>
      </c>
      <c r="N1850" t="s">
        <v>11446</v>
      </c>
      <c r="O1850" t="s">
        <v>11510</v>
      </c>
      <c r="P1850" t="s">
        <v>11551</v>
      </c>
      <c r="Q1850" t="s">
        <v>25</v>
      </c>
      <c r="R1850" t="s">
        <v>11960</v>
      </c>
    </row>
    <row r="1851" spans="1:18">
      <c r="A1851" t="s">
        <v>11712</v>
      </c>
      <c r="B1851" t="s">
        <v>11656</v>
      </c>
      <c r="C1851" t="s">
        <v>11768</v>
      </c>
      <c r="D1851" s="17" t="s">
        <v>21</v>
      </c>
      <c r="E1851" t="s">
        <v>11615</v>
      </c>
      <c r="F1851" t="s">
        <v>257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11616</v>
      </c>
      <c r="M1851" s="3">
        <v>22000</v>
      </c>
      <c r="N1851" t="s">
        <v>11477</v>
      </c>
      <c r="O1851" t="s">
        <v>11510</v>
      </c>
      <c r="P1851" t="s">
        <v>11582</v>
      </c>
      <c r="Q1851" t="s">
        <v>25</v>
      </c>
      <c r="R1851" t="s">
        <v>11991</v>
      </c>
    </row>
    <row r="1852" spans="1:18">
      <c r="A1852" t="s">
        <v>11702</v>
      </c>
      <c r="B1852" t="s">
        <v>11646</v>
      </c>
      <c r="C1852" t="s">
        <v>11758</v>
      </c>
      <c r="D1852" s="17" t="s">
        <v>21</v>
      </c>
      <c r="E1852" t="s">
        <v>11615</v>
      </c>
      <c r="F1852" t="s">
        <v>259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11616</v>
      </c>
      <c r="M1852" s="3">
        <v>24000</v>
      </c>
      <c r="N1852" t="s">
        <v>11465</v>
      </c>
      <c r="O1852" t="s">
        <v>11510</v>
      </c>
      <c r="P1852" t="s">
        <v>11570</v>
      </c>
      <c r="Q1852" t="s">
        <v>25</v>
      </c>
      <c r="R1852" t="s">
        <v>11979</v>
      </c>
    </row>
    <row r="1853" spans="1:18">
      <c r="A1853" t="s">
        <v>11698</v>
      </c>
      <c r="B1853" t="s">
        <v>11642</v>
      </c>
      <c r="C1853" t="s">
        <v>11754</v>
      </c>
      <c r="D1853" s="17" t="s">
        <v>21</v>
      </c>
      <c r="E1853" t="s">
        <v>11615</v>
      </c>
      <c r="F1853" t="s">
        <v>263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11616</v>
      </c>
      <c r="M1853" s="3">
        <v>27000</v>
      </c>
      <c r="N1853" t="s">
        <v>11458</v>
      </c>
      <c r="O1853" t="s">
        <v>11510</v>
      </c>
      <c r="P1853" t="s">
        <v>11563</v>
      </c>
      <c r="Q1853" t="s">
        <v>25</v>
      </c>
      <c r="R1853" t="s">
        <v>11972</v>
      </c>
    </row>
    <row r="1854" spans="1:18">
      <c r="A1854" t="s">
        <v>11692</v>
      </c>
      <c r="B1854" t="s">
        <v>11636</v>
      </c>
      <c r="C1854" t="s">
        <v>11748</v>
      </c>
      <c r="D1854" s="17" t="s">
        <v>21</v>
      </c>
      <c r="E1854" t="s">
        <v>11615</v>
      </c>
      <c r="F1854" t="s">
        <v>265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11616</v>
      </c>
      <c r="M1854" s="3">
        <v>30000</v>
      </c>
      <c r="N1854" t="s">
        <v>11452</v>
      </c>
      <c r="O1854" t="s">
        <v>11510</v>
      </c>
      <c r="P1854" t="s">
        <v>11557</v>
      </c>
      <c r="Q1854" t="s">
        <v>25</v>
      </c>
      <c r="R1854" t="s">
        <v>11966</v>
      </c>
    </row>
    <row r="1855" spans="1:18">
      <c r="A1855" t="s">
        <v>11680</v>
      </c>
      <c r="B1855" t="s">
        <v>11624</v>
      </c>
      <c r="C1855" t="s">
        <v>11736</v>
      </c>
      <c r="D1855" s="17" t="s">
        <v>21</v>
      </c>
      <c r="E1855" t="s">
        <v>11615</v>
      </c>
      <c r="F1855" t="s">
        <v>267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11616</v>
      </c>
      <c r="M1855" s="3">
        <v>33000</v>
      </c>
      <c r="N1855" t="s">
        <v>11424</v>
      </c>
      <c r="O1855" t="s">
        <v>11510</v>
      </c>
      <c r="P1855" t="s">
        <v>11529</v>
      </c>
      <c r="Q1855" t="s">
        <v>25</v>
      </c>
      <c r="R1855" t="s">
        <v>11938</v>
      </c>
    </row>
    <row r="1856" spans="1:18">
      <c r="A1856" t="s">
        <v>11726</v>
      </c>
      <c r="B1856" t="s">
        <v>11670</v>
      </c>
      <c r="C1856" t="s">
        <v>11782</v>
      </c>
      <c r="D1856" s="17" t="s">
        <v>21</v>
      </c>
      <c r="E1856" t="s">
        <v>11615</v>
      </c>
      <c r="F1856" t="s">
        <v>269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11616</v>
      </c>
      <c r="M1856" s="3">
        <v>36000</v>
      </c>
      <c r="N1856" t="s">
        <v>11506</v>
      </c>
      <c r="O1856" t="s">
        <v>11510</v>
      </c>
      <c r="P1856" t="s">
        <v>11611</v>
      </c>
      <c r="Q1856" t="s">
        <v>25</v>
      </c>
      <c r="R1856" t="s">
        <v>12020</v>
      </c>
    </row>
    <row r="1857" spans="1:18">
      <c r="A1857" t="s">
        <v>11675</v>
      </c>
      <c r="B1857" t="s">
        <v>11619</v>
      </c>
      <c r="C1857" t="s">
        <v>11731</v>
      </c>
      <c r="D1857" s="17" t="s">
        <v>21</v>
      </c>
      <c r="E1857" t="s">
        <v>11615</v>
      </c>
      <c r="F1857" t="s">
        <v>273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11616</v>
      </c>
      <c r="M1857" s="3">
        <v>39000</v>
      </c>
      <c r="N1857" t="s">
        <v>11416</v>
      </c>
      <c r="O1857" t="s">
        <v>11510</v>
      </c>
      <c r="P1857" t="s">
        <v>11521</v>
      </c>
      <c r="Q1857" t="s">
        <v>25</v>
      </c>
      <c r="R1857" t="s">
        <v>11930</v>
      </c>
    </row>
    <row r="1858" spans="1:18">
      <c r="A1858" t="s">
        <v>11718</v>
      </c>
      <c r="B1858" t="s">
        <v>11662</v>
      </c>
      <c r="C1858" t="s">
        <v>11774</v>
      </c>
      <c r="D1858" s="17" t="s">
        <v>21</v>
      </c>
      <c r="E1858" t="s">
        <v>11615</v>
      </c>
      <c r="F1858" t="s">
        <v>277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11616</v>
      </c>
      <c r="M1858" s="3">
        <v>43000</v>
      </c>
      <c r="N1858" t="s">
        <v>11490</v>
      </c>
      <c r="O1858" t="s">
        <v>11510</v>
      </c>
      <c r="P1858" t="s">
        <v>11595</v>
      </c>
      <c r="Q1858" t="s">
        <v>25</v>
      </c>
      <c r="R1858" t="s">
        <v>12004</v>
      </c>
    </row>
    <row r="1859" spans="1:18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11615</v>
      </c>
      <c r="F1859" t="s">
        <v>279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11616</v>
      </c>
      <c r="M1859" s="3">
        <v>47000</v>
      </c>
      <c r="N1859" t="s">
        <v>11410</v>
      </c>
      <c r="O1859" t="s">
        <v>11510</v>
      </c>
      <c r="P1859" t="s">
        <v>11515</v>
      </c>
      <c r="Q1859" t="s">
        <v>25</v>
      </c>
      <c r="R1859" t="s">
        <v>11924</v>
      </c>
    </row>
    <row r="1860" spans="1:18">
      <c r="A1860" t="s">
        <v>11701</v>
      </c>
      <c r="B1860" t="s">
        <v>11645</v>
      </c>
      <c r="C1860" t="s">
        <v>11757</v>
      </c>
      <c r="D1860" s="17" t="s">
        <v>21</v>
      </c>
      <c r="E1860" t="s">
        <v>11615</v>
      </c>
      <c r="F1860" t="s">
        <v>283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11616</v>
      </c>
      <c r="M1860" s="3">
        <v>51000</v>
      </c>
      <c r="N1860" t="s">
        <v>11463</v>
      </c>
      <c r="O1860" t="s">
        <v>11510</v>
      </c>
      <c r="P1860" t="s">
        <v>11568</v>
      </c>
      <c r="Q1860" t="s">
        <v>25</v>
      </c>
      <c r="R1860" t="s">
        <v>11977</v>
      </c>
    </row>
    <row r="1861" spans="1:18">
      <c r="A1861" t="s">
        <v>11693</v>
      </c>
      <c r="B1861" t="s">
        <v>11637</v>
      </c>
      <c r="C1861" t="s">
        <v>11749</v>
      </c>
      <c r="D1861" s="17" t="s">
        <v>21</v>
      </c>
      <c r="E1861" t="s">
        <v>11615</v>
      </c>
      <c r="F1861" t="s">
        <v>287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11616</v>
      </c>
      <c r="M1861" s="3">
        <v>56000</v>
      </c>
      <c r="N1861" t="s">
        <v>11453</v>
      </c>
      <c r="O1861" t="s">
        <v>11510</v>
      </c>
      <c r="P1861" t="s">
        <v>11558</v>
      </c>
      <c r="Q1861" t="s">
        <v>25</v>
      </c>
      <c r="R1861" t="s">
        <v>11967</v>
      </c>
    </row>
    <row r="1862" spans="1:18">
      <c r="A1862" t="s">
        <v>11706</v>
      </c>
      <c r="B1862" t="s">
        <v>11650</v>
      </c>
      <c r="C1862" t="s">
        <v>11762</v>
      </c>
      <c r="D1862" s="17" t="s">
        <v>21</v>
      </c>
      <c r="E1862" t="s">
        <v>11615</v>
      </c>
      <c r="F1862" t="s">
        <v>291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11616</v>
      </c>
      <c r="M1862" s="3">
        <v>62000</v>
      </c>
      <c r="N1862" t="s">
        <v>11471</v>
      </c>
      <c r="O1862" t="s">
        <v>11510</v>
      </c>
      <c r="P1862" t="s">
        <v>11576</v>
      </c>
      <c r="Q1862" t="s">
        <v>25</v>
      </c>
      <c r="R1862" t="s">
        <v>11985</v>
      </c>
    </row>
    <row r="1863" spans="1:18">
      <c r="A1863" t="s">
        <v>11687</v>
      </c>
      <c r="B1863" t="s">
        <v>11631</v>
      </c>
      <c r="C1863" t="s">
        <v>11743</v>
      </c>
      <c r="D1863" s="17" t="s">
        <v>21</v>
      </c>
      <c r="E1863" t="s">
        <v>11615</v>
      </c>
      <c r="F1863" t="s">
        <v>295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11616</v>
      </c>
      <c r="M1863" s="3">
        <v>68000</v>
      </c>
      <c r="N1863" t="s">
        <v>11441</v>
      </c>
      <c r="O1863" t="s">
        <v>11510</v>
      </c>
      <c r="P1863" t="s">
        <v>11546</v>
      </c>
      <c r="Q1863" t="s">
        <v>25</v>
      </c>
      <c r="R1863" t="s">
        <v>11955</v>
      </c>
    </row>
    <row r="1864" spans="1:18">
      <c r="A1864" t="s">
        <v>11716</v>
      </c>
      <c r="B1864" t="s">
        <v>11660</v>
      </c>
      <c r="C1864" t="s">
        <v>11772</v>
      </c>
      <c r="D1864" s="17" t="s">
        <v>21</v>
      </c>
      <c r="E1864" t="s">
        <v>11615</v>
      </c>
      <c r="F1864" t="s">
        <v>299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11616</v>
      </c>
      <c r="M1864" s="3">
        <v>75000</v>
      </c>
      <c r="N1864" t="s">
        <v>11487</v>
      </c>
      <c r="O1864" t="s">
        <v>11510</v>
      </c>
      <c r="P1864" t="s">
        <v>11592</v>
      </c>
      <c r="Q1864" t="s">
        <v>25</v>
      </c>
      <c r="R1864" t="s">
        <v>12001</v>
      </c>
    </row>
    <row r="1865" spans="1:18">
      <c r="A1865" t="s">
        <v>11725</v>
      </c>
      <c r="B1865" t="s">
        <v>11669</v>
      </c>
      <c r="C1865" t="s">
        <v>11781</v>
      </c>
      <c r="D1865" s="17" t="s">
        <v>21</v>
      </c>
      <c r="E1865" t="s">
        <v>11615</v>
      </c>
      <c r="F1865" t="s">
        <v>301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11616</v>
      </c>
      <c r="M1865" s="3">
        <v>82000</v>
      </c>
      <c r="N1865" t="s">
        <v>11503</v>
      </c>
      <c r="O1865" t="s">
        <v>11510</v>
      </c>
      <c r="P1865" t="s">
        <v>11608</v>
      </c>
      <c r="Q1865" t="s">
        <v>25</v>
      </c>
      <c r="R1865" t="s">
        <v>12017</v>
      </c>
    </row>
    <row r="1866" spans="1:18">
      <c r="A1866" t="s">
        <v>11722</v>
      </c>
      <c r="B1866" t="s">
        <v>11666</v>
      </c>
      <c r="C1866" t="s">
        <v>11778</v>
      </c>
      <c r="D1866" s="17" t="s">
        <v>21</v>
      </c>
      <c r="E1866" t="s">
        <v>11615</v>
      </c>
      <c r="F1866" t="s">
        <v>303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11616</v>
      </c>
      <c r="M1866" s="3">
        <v>91000</v>
      </c>
      <c r="N1866" t="s">
        <v>11499</v>
      </c>
      <c r="O1866" t="s">
        <v>11510</v>
      </c>
      <c r="P1866" t="s">
        <v>11604</v>
      </c>
      <c r="Q1866" t="s">
        <v>25</v>
      </c>
      <c r="R1866" t="s">
        <v>12013</v>
      </c>
    </row>
    <row r="1867" spans="1:18">
      <c r="A1867" t="s">
        <v>11679</v>
      </c>
      <c r="B1867" t="s">
        <v>11623</v>
      </c>
      <c r="C1867" t="s">
        <v>11735</v>
      </c>
      <c r="D1867" s="17" t="s">
        <v>21</v>
      </c>
      <c r="E1867" t="s">
        <v>11615</v>
      </c>
      <c r="F1867" t="s">
        <v>305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11616</v>
      </c>
      <c r="M1867" s="3">
        <v>100000</v>
      </c>
      <c r="N1867" t="s">
        <v>11422</v>
      </c>
      <c r="O1867" t="s">
        <v>11510</v>
      </c>
      <c r="P1867" t="s">
        <v>11527</v>
      </c>
      <c r="Q1867" t="s">
        <v>25</v>
      </c>
      <c r="R1867" t="s">
        <v>11936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W1373" r:id="rId1" display="https://www.lcsc.com/brand-detail/111.html" xr:uid="{D1F73D38-97E7-4193-911A-B7DA160312CB}"/>
    <hyperlink ref="N1375" r:id="rId2" xr:uid="{AC285E63-2C6B-4B42-AB35-DC4C22C3409A}"/>
    <hyperlink ref="N1383" r:id="rId3" xr:uid="{4B89F9F3-6532-44BA-832A-68A491748768}"/>
    <hyperlink ref="N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10608</v>
      </c>
      <c r="B2" t="s">
        <v>10608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10597</v>
      </c>
      <c r="B3" t="s">
        <v>10597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10598</v>
      </c>
      <c r="B4" t="s">
        <v>10598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10599</v>
      </c>
      <c r="B5" t="s">
        <v>10599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10600</v>
      </c>
      <c r="B6" t="s">
        <v>10600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10601</v>
      </c>
      <c r="B7" t="s">
        <v>10601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10602</v>
      </c>
      <c r="B8" t="s">
        <v>10602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10603</v>
      </c>
      <c r="B9" t="s">
        <v>10603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10604</v>
      </c>
      <c r="B10" t="s">
        <v>10604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13649</v>
      </c>
      <c r="W10" t="s">
        <v>4559</v>
      </c>
      <c r="X10" s="9" t="s">
        <v>13648</v>
      </c>
      <c r="Z10" t="s">
        <v>6497</v>
      </c>
    </row>
    <row r="11" spans="1:26">
      <c r="A11" t="s">
        <v>10605</v>
      </c>
      <c r="B11" t="s">
        <v>10605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10606</v>
      </c>
      <c r="B12" t="s">
        <v>10606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10607</v>
      </c>
      <c r="B13" t="s">
        <v>10607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13533</v>
      </c>
      <c r="W14" t="s">
        <v>4559</v>
      </c>
      <c r="X14" s="8" t="s">
        <v>13532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13531</v>
      </c>
      <c r="W22" t="s">
        <v>4559</v>
      </c>
      <c r="X22" s="8" t="s">
        <v>13530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13664</v>
      </c>
      <c r="W26" t="s">
        <v>4559</v>
      </c>
      <c r="X26" t="s">
        <v>13665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10618</v>
      </c>
      <c r="B38" t="s">
        <v>10618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13637</v>
      </c>
      <c r="W38" t="s">
        <v>4559</v>
      </c>
      <c r="X38" t="s">
        <v>13638</v>
      </c>
      <c r="Y38" t="s">
        <v>4727</v>
      </c>
      <c r="Z38" t="s">
        <v>6525</v>
      </c>
    </row>
    <row r="39" spans="1:26">
      <c r="A39" t="s">
        <v>10609</v>
      </c>
      <c r="B39" t="s">
        <v>10609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10610</v>
      </c>
      <c r="B40" t="s">
        <v>10610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10611</v>
      </c>
      <c r="B41" t="s">
        <v>10611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10612</v>
      </c>
      <c r="B42" t="s">
        <v>10612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10613</v>
      </c>
      <c r="B43" t="s">
        <v>10613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10614</v>
      </c>
      <c r="B44" t="s">
        <v>10614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10615</v>
      </c>
      <c r="B45" t="s">
        <v>10615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10616</v>
      </c>
      <c r="B46" t="s">
        <v>10616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10617</v>
      </c>
      <c r="B47" t="s">
        <v>10617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10630</v>
      </c>
      <c r="B61" t="s">
        <v>10630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13639</v>
      </c>
      <c r="W61" t="s">
        <v>4559</v>
      </c>
      <c r="X61" t="s">
        <v>13640</v>
      </c>
      <c r="Y61" t="s">
        <v>4728</v>
      </c>
      <c r="Z61" t="str">
        <f t="shared" si="0"/>
        <v>GPC0603102</v>
      </c>
    </row>
    <row r="62" spans="1:26">
      <c r="A62" t="s">
        <v>10619</v>
      </c>
      <c r="B62" t="s">
        <v>10619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10620</v>
      </c>
      <c r="B63" t="s">
        <v>10620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10621</v>
      </c>
      <c r="B64" t="s">
        <v>10621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10622</v>
      </c>
      <c r="B65" t="s">
        <v>10622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13529</v>
      </c>
      <c r="W65" t="s">
        <v>4559</v>
      </c>
      <c r="X65" s="8" t="s">
        <v>13528</v>
      </c>
      <c r="Y65" t="s">
        <v>4728</v>
      </c>
      <c r="Z65" t="str">
        <f t="shared" si="0"/>
        <v>GPC0603222</v>
      </c>
    </row>
    <row r="66" spans="1:26">
      <c r="A66" t="s">
        <v>10623</v>
      </c>
      <c r="B66" t="s">
        <v>10623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10624</v>
      </c>
      <c r="B67" t="s">
        <v>10624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10625</v>
      </c>
      <c r="B68" t="s">
        <v>10625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10626</v>
      </c>
      <c r="B69" t="s">
        <v>10626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10627</v>
      </c>
      <c r="B70" t="s">
        <v>10627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10628</v>
      </c>
      <c r="B71" t="s">
        <v>10628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10629</v>
      </c>
      <c r="B72" t="s">
        <v>10629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13523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13652</v>
      </c>
      <c r="B88" t="s">
        <v>13652</v>
      </c>
      <c r="C88" t="s">
        <v>13653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13655</v>
      </c>
      <c r="W88" t="s">
        <v>4559</v>
      </c>
      <c r="X88" s="44" t="s">
        <v>13654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13593</v>
      </c>
      <c r="W89" t="s">
        <v>4559</v>
      </c>
      <c r="X89" s="8" t="s">
        <v>13592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14069</v>
      </c>
      <c r="B90" t="s">
        <v>14069</v>
      </c>
      <c r="C90" t="s">
        <v>14070</v>
      </c>
      <c r="D90" t="s">
        <v>21</v>
      </c>
      <c r="E90" s="14" t="s">
        <v>22</v>
      </c>
      <c r="F90" t="s">
        <v>14071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14072</v>
      </c>
      <c r="M90" t="s">
        <v>477</v>
      </c>
      <c r="N90" t="s">
        <v>14073</v>
      </c>
      <c r="O90" t="s">
        <v>25</v>
      </c>
      <c r="P90" t="s">
        <v>14074</v>
      </c>
      <c r="Q90" t="s">
        <v>477</v>
      </c>
      <c r="R90" t="s">
        <v>14075</v>
      </c>
      <c r="S90" t="s">
        <v>25</v>
      </c>
      <c r="T90" t="s">
        <v>14076</v>
      </c>
      <c r="U90" s="8" t="s">
        <v>477</v>
      </c>
      <c r="V90" s="8" t="s">
        <v>14073</v>
      </c>
      <c r="W90" t="s">
        <v>4559</v>
      </c>
      <c r="X90" s="8" t="s">
        <v>14077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10675</v>
      </c>
      <c r="B92" t="s">
        <v>10675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10676</v>
      </c>
      <c r="B93" t="s">
        <v>10676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10677</v>
      </c>
      <c r="B94" t="s">
        <v>10677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13522</v>
      </c>
      <c r="W96" t="s">
        <v>4559</v>
      </c>
      <c r="X96" s="8" t="s">
        <v>13521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13350</v>
      </c>
      <c r="B98" t="s">
        <v>13350</v>
      </c>
      <c r="C98" t="s">
        <v>13351</v>
      </c>
      <c r="D98" t="s">
        <v>21</v>
      </c>
      <c r="E98" s="14" t="s">
        <v>22</v>
      </c>
      <c r="F98" t="s">
        <v>13352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13353</v>
      </c>
      <c r="M98" t="s">
        <v>1032</v>
      </c>
      <c r="N98" t="s">
        <v>13354</v>
      </c>
      <c r="O98" t="s">
        <v>25</v>
      </c>
      <c r="P98" t="s">
        <v>13355</v>
      </c>
      <c r="U98" t="s">
        <v>6196</v>
      </c>
      <c r="V98" t="s">
        <v>13356</v>
      </c>
      <c r="W98" t="s">
        <v>4559</v>
      </c>
      <c r="X98" t="s">
        <v>13357</v>
      </c>
    </row>
    <row r="99" spans="1:26">
      <c r="K99" s="3"/>
    </row>
    <row r="100" spans="1:26">
      <c r="A100" t="s">
        <v>10642</v>
      </c>
      <c r="B100" t="s">
        <v>10642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10631</v>
      </c>
      <c r="B101" t="s">
        <v>10631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10632</v>
      </c>
      <c r="B102" t="s">
        <v>10632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10633</v>
      </c>
      <c r="B103" t="s">
        <v>10633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10634</v>
      </c>
      <c r="B104" t="s">
        <v>10634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10635</v>
      </c>
      <c r="B105" t="s">
        <v>10635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10636</v>
      </c>
      <c r="B106" t="s">
        <v>10636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10637</v>
      </c>
      <c r="B107" t="s">
        <v>10637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10638</v>
      </c>
      <c r="B108" t="s">
        <v>10638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10639</v>
      </c>
      <c r="B109" t="s">
        <v>10639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10640</v>
      </c>
      <c r="B110" t="s">
        <v>10640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10641</v>
      </c>
      <c r="B111" t="s">
        <v>10641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10643</v>
      </c>
      <c r="B136" t="s">
        <v>10643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10655</v>
      </c>
      <c r="B149" t="s">
        <v>10655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10644</v>
      </c>
      <c r="B150" t="s">
        <v>10644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10645</v>
      </c>
      <c r="B151" t="s">
        <v>10645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10646</v>
      </c>
      <c r="B152" t="s">
        <v>10646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10647</v>
      </c>
      <c r="B153" t="s">
        <v>10647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10648</v>
      </c>
      <c r="B154" t="s">
        <v>10648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10649</v>
      </c>
      <c r="B155" t="s">
        <v>10649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10650</v>
      </c>
      <c r="B156" t="s">
        <v>10650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10651</v>
      </c>
      <c r="B157" t="s">
        <v>10651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10652</v>
      </c>
      <c r="B158" t="s">
        <v>10652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10653</v>
      </c>
      <c r="B159" t="s">
        <v>10653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10654</v>
      </c>
      <c r="B160" t="s">
        <v>10654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10656</v>
      </c>
      <c r="B176" t="s">
        <v>10656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14578</v>
      </c>
      <c r="B178" t="s">
        <v>14578</v>
      </c>
      <c r="C178" t="s">
        <v>14579</v>
      </c>
      <c r="D178" t="s">
        <v>21</v>
      </c>
      <c r="E178" s="14" t="s">
        <v>6767</v>
      </c>
      <c r="F178" t="s">
        <v>13352</v>
      </c>
      <c r="G178" t="str">
        <f>Config!$B$4</f>
        <v>SCH/C_IEC.SchLib</v>
      </c>
      <c r="H178" t="s">
        <v>425</v>
      </c>
      <c r="I178" t="s">
        <v>461</v>
      </c>
      <c r="J178" t="s">
        <v>12537</v>
      </c>
      <c r="K178" s="3">
        <v>2.2000000000000001E-6</v>
      </c>
      <c r="L178" t="s">
        <v>14072</v>
      </c>
      <c r="M178" t="s">
        <v>477</v>
      </c>
      <c r="N178" t="s">
        <v>14580</v>
      </c>
      <c r="O178" t="s">
        <v>25</v>
      </c>
      <c r="P178" t="s">
        <v>14581</v>
      </c>
      <c r="U178" t="s">
        <v>477</v>
      </c>
      <c r="V178" t="s">
        <v>14580</v>
      </c>
      <c r="W178" t="s">
        <v>4559</v>
      </c>
      <c r="X178" t="s">
        <v>14582</v>
      </c>
      <c r="Y178" t="s">
        <v>4727</v>
      </c>
    </row>
    <row r="179" spans="1:26">
      <c r="A179" t="s">
        <v>10657</v>
      </c>
      <c r="B179" t="s">
        <v>10657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8062</v>
      </c>
      <c r="B187" t="s">
        <v>8062</v>
      </c>
      <c r="C187" t="s">
        <v>8063</v>
      </c>
      <c r="D187" t="s">
        <v>21</v>
      </c>
      <c r="F187" t="s">
        <v>8064</v>
      </c>
      <c r="G187" t="str">
        <f>Config!$B$4</f>
        <v>SCH/C_IEC.SchLib</v>
      </c>
      <c r="H187" t="s">
        <v>425</v>
      </c>
      <c r="I187" t="s">
        <v>6287</v>
      </c>
      <c r="J187" t="s">
        <v>8081</v>
      </c>
      <c r="K187" s="3">
        <v>9.9999999999999995E-7</v>
      </c>
      <c r="L187" t="s">
        <v>8065</v>
      </c>
      <c r="M187" t="s">
        <v>7506</v>
      </c>
      <c r="N187" t="s">
        <v>8066</v>
      </c>
      <c r="O187" t="s">
        <v>25</v>
      </c>
      <c r="P187" t="s">
        <v>8067</v>
      </c>
    </row>
    <row r="188" spans="1:26">
      <c r="A188" t="s">
        <v>8068</v>
      </c>
      <c r="B188" t="s">
        <v>8068</v>
      </c>
      <c r="C188" t="s">
        <v>8069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8080</v>
      </c>
      <c r="K188" s="3">
        <v>2.1999999999999998E-9</v>
      </c>
      <c r="L188" t="s">
        <v>8070</v>
      </c>
      <c r="M188" t="s">
        <v>7506</v>
      </c>
      <c r="N188" t="s">
        <v>8071</v>
      </c>
      <c r="O188" t="s">
        <v>25</v>
      </c>
      <c r="P188" t="s">
        <v>8072</v>
      </c>
    </row>
    <row r="189" spans="1:26">
      <c r="A189" t="s">
        <v>10836</v>
      </c>
      <c r="B189" t="s">
        <v>10836</v>
      </c>
      <c r="C189" t="s">
        <v>10837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10840</v>
      </c>
      <c r="M189" t="s">
        <v>6162</v>
      </c>
      <c r="N189" t="s">
        <v>10841</v>
      </c>
      <c r="O189" t="s">
        <v>25</v>
      </c>
      <c r="P189" t="s">
        <v>10842</v>
      </c>
    </row>
    <row r="190" spans="1:26">
      <c r="A190" t="s">
        <v>10838</v>
      </c>
      <c r="B190" t="s">
        <v>10838</v>
      </c>
      <c r="C190" t="s">
        <v>10839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10843</v>
      </c>
      <c r="M190" t="s">
        <v>1029</v>
      </c>
      <c r="N190" t="s">
        <v>10844</v>
      </c>
      <c r="O190" t="s">
        <v>25</v>
      </c>
      <c r="P190" t="s">
        <v>10845</v>
      </c>
    </row>
    <row r="191" spans="1:26">
      <c r="A191" t="s">
        <v>10870</v>
      </c>
      <c r="B191" t="s">
        <v>10870</v>
      </c>
      <c r="C191" t="s">
        <v>10846</v>
      </c>
      <c r="D191" t="s">
        <v>21</v>
      </c>
      <c r="E191" s="14" t="s">
        <v>6284</v>
      </c>
      <c r="F191" t="s">
        <v>10847</v>
      </c>
      <c r="G191" t="str">
        <f>Config!$B$4</f>
        <v>SCH/C_IEC.SchLib</v>
      </c>
      <c r="H191" t="s">
        <v>6286</v>
      </c>
      <c r="I191" t="s">
        <v>6287</v>
      </c>
      <c r="J191" t="s">
        <v>12538</v>
      </c>
      <c r="K191" s="3">
        <v>1.5E-5</v>
      </c>
      <c r="L191" t="s">
        <v>10848</v>
      </c>
      <c r="M191" t="s">
        <v>10849</v>
      </c>
      <c r="N191" t="s">
        <v>10850</v>
      </c>
      <c r="O191" t="s">
        <v>25</v>
      </c>
      <c r="P191" t="s">
        <v>10851</v>
      </c>
    </row>
    <row r="192" spans="1:26" ht="16.5">
      <c r="A192" t="s">
        <v>13645</v>
      </c>
      <c r="B192" t="s">
        <v>13645</v>
      </c>
      <c r="C192" t="s">
        <v>13646</v>
      </c>
      <c r="D192" t="s">
        <v>21</v>
      </c>
      <c r="E192" s="14" t="s">
        <v>6767</v>
      </c>
      <c r="F192" t="s">
        <v>8064</v>
      </c>
      <c r="G192" t="str">
        <f>Config!$B$4</f>
        <v>SCH/C_IEC.SchLib</v>
      </c>
      <c r="H192" t="s">
        <v>425</v>
      </c>
      <c r="I192" t="s">
        <v>461</v>
      </c>
      <c r="J192" t="s">
        <v>12537</v>
      </c>
      <c r="K192" s="3">
        <v>9.9999999999999995E-7</v>
      </c>
      <c r="L192" t="s">
        <v>10860</v>
      </c>
      <c r="M192" t="s">
        <v>1032</v>
      </c>
      <c r="N192" t="s">
        <v>10861</v>
      </c>
      <c r="O192" t="s">
        <v>25</v>
      </c>
      <c r="P192" t="s">
        <v>10862</v>
      </c>
      <c r="U192" s="9" t="s">
        <v>6186</v>
      </c>
      <c r="V192" s="9" t="s">
        <v>13644</v>
      </c>
      <c r="W192" t="s">
        <v>4559</v>
      </c>
      <c r="X192" s="9" t="s">
        <v>13643</v>
      </c>
    </row>
    <row r="193" spans="1:24">
      <c r="A193" t="s">
        <v>10869</v>
      </c>
      <c r="B193" t="s">
        <v>10869</v>
      </c>
      <c r="C193" t="s">
        <v>10863</v>
      </c>
      <c r="D193" t="s">
        <v>21</v>
      </c>
      <c r="E193" s="14" t="s">
        <v>6284</v>
      </c>
      <c r="F193" t="s">
        <v>10864</v>
      </c>
      <c r="G193" t="str">
        <f>Config!$B$4</f>
        <v>SCH/C_IEC.SchLib</v>
      </c>
      <c r="H193" t="s">
        <v>6286</v>
      </c>
      <c r="I193" t="s">
        <v>6287</v>
      </c>
      <c r="J193" t="s">
        <v>12539</v>
      </c>
      <c r="K193" s="3">
        <v>6.8000000000000005E-4</v>
      </c>
      <c r="L193" t="s">
        <v>10865</v>
      </c>
      <c r="M193" t="s">
        <v>6162</v>
      </c>
      <c r="N193" t="s">
        <v>10866</v>
      </c>
      <c r="O193" t="s">
        <v>25</v>
      </c>
      <c r="P193" t="s">
        <v>10867</v>
      </c>
    </row>
    <row r="194" spans="1:24" ht="16.5">
      <c r="A194" t="s">
        <v>10868</v>
      </c>
      <c r="B194" t="s">
        <v>10868</v>
      </c>
      <c r="C194" t="s">
        <v>10871</v>
      </c>
      <c r="D194" t="s">
        <v>21</v>
      </c>
      <c r="E194" s="14" t="s">
        <v>6449</v>
      </c>
      <c r="F194" t="s">
        <v>10872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10873</v>
      </c>
      <c r="M194" t="s">
        <v>1032</v>
      </c>
      <c r="N194" t="s">
        <v>10874</v>
      </c>
      <c r="O194" t="s">
        <v>25</v>
      </c>
      <c r="P194" t="s">
        <v>10875</v>
      </c>
      <c r="U194" s="43" t="s">
        <v>1032</v>
      </c>
      <c r="V194" s="9" t="s">
        <v>10874</v>
      </c>
      <c r="W194" t="s">
        <v>4559</v>
      </c>
      <c r="X194" s="9" t="s">
        <v>13647</v>
      </c>
    </row>
    <row r="195" spans="1:24" ht="15.75">
      <c r="A195" t="s">
        <v>13608</v>
      </c>
      <c r="B195" t="s">
        <v>13608</v>
      </c>
      <c r="C195" t="s">
        <v>13611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13614</v>
      </c>
      <c r="M195" t="s">
        <v>6814</v>
      </c>
      <c r="N195" t="s">
        <v>13613</v>
      </c>
      <c r="O195" t="s">
        <v>25</v>
      </c>
      <c r="P195" t="s">
        <v>13612</v>
      </c>
      <c r="U195" s="42" t="s">
        <v>4592</v>
      </c>
      <c r="V195" s="8" t="s">
        <v>13610</v>
      </c>
      <c r="W195" t="s">
        <v>4559</v>
      </c>
      <c r="X195" s="8" t="s">
        <v>13609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21"/>
  <sheetViews>
    <sheetView workbookViewId="0">
      <pane xSplit="2" ySplit="1" topLeftCell="D185" activePane="bottomRight" state="frozen"/>
      <selection pane="topRight" activeCell="C1" sqref="C1"/>
      <selection pane="bottomLeft" activeCell="A2" sqref="A2"/>
      <selection pane="bottomRight" activeCell="H221" sqref="H221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10658</v>
      </c>
      <c r="B5" t="s">
        <v>10658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10659</v>
      </c>
      <c r="B6" t="s">
        <v>10659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10660</v>
      </c>
      <c r="B7" t="s">
        <v>10660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10661</v>
      </c>
      <c r="B13" t="s">
        <v>10661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10662</v>
      </c>
      <c r="B14" t="s">
        <v>10662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10663</v>
      </c>
      <c r="B18" t="s">
        <v>10663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10664</v>
      </c>
      <c r="B29" t="s">
        <v>10664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10665</v>
      </c>
      <c r="B30" t="s">
        <v>10665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10666</v>
      </c>
      <c r="B31" t="s">
        <v>10666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10667</v>
      </c>
      <c r="B32" t="s">
        <v>10667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10668</v>
      </c>
      <c r="B42" t="s">
        <v>10668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10669</v>
      </c>
      <c r="B43" t="s">
        <v>10669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10670</v>
      </c>
      <c r="B44" t="s">
        <v>10670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10671</v>
      </c>
      <c r="B45" t="s">
        <v>10671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10672</v>
      </c>
      <c r="B46" t="s">
        <v>10672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10673</v>
      </c>
      <c r="B47" t="s">
        <v>10673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7991</v>
      </c>
      <c r="B53" t="s">
        <v>7991</v>
      </c>
      <c r="C53" t="s">
        <v>7992</v>
      </c>
      <c r="D53" t="s">
        <v>7993</v>
      </c>
      <c r="E53" t="s">
        <v>7994</v>
      </c>
      <c r="F53" t="s">
        <v>7995</v>
      </c>
      <c r="G53" t="str">
        <f>Config!$B$5</f>
        <v>SCH/L_ANSI.SchLib</v>
      </c>
      <c r="H53" t="s">
        <v>424</v>
      </c>
      <c r="I53" t="s">
        <v>7996</v>
      </c>
      <c r="J53" t="s">
        <v>8043</v>
      </c>
      <c r="K53" s="46">
        <v>8.1999999999999998E-4</v>
      </c>
      <c r="L53" t="s">
        <v>7997</v>
      </c>
      <c r="M53" t="s">
        <v>7993</v>
      </c>
      <c r="N53" t="s">
        <v>7998</v>
      </c>
      <c r="O53" t="s">
        <v>25</v>
      </c>
    </row>
    <row r="54" spans="1:16">
      <c r="A54" t="s">
        <v>8073</v>
      </c>
      <c r="B54" t="s">
        <v>8073</v>
      </c>
      <c r="C54" t="s">
        <v>8074</v>
      </c>
      <c r="D54" t="s">
        <v>4279</v>
      </c>
      <c r="E54" t="s">
        <v>8075</v>
      </c>
      <c r="F54" t="s">
        <v>8076</v>
      </c>
      <c r="G54" t="str">
        <f>Config!$B$5</f>
        <v>SCH/L_ANSI.SchLib</v>
      </c>
      <c r="H54" t="s">
        <v>6312</v>
      </c>
      <c r="I54" t="s">
        <v>7996</v>
      </c>
      <c r="J54" t="s">
        <v>8079</v>
      </c>
      <c r="K54" s="46">
        <v>0.03</v>
      </c>
      <c r="L54" t="s">
        <v>8077</v>
      </c>
      <c r="M54" t="s">
        <v>6223</v>
      </c>
      <c r="N54">
        <v>7448050530</v>
      </c>
      <c r="O54" t="s">
        <v>25</v>
      </c>
      <c r="P54" t="s">
        <v>8078</v>
      </c>
    </row>
    <row r="55" spans="1:16">
      <c r="A55" t="s">
        <v>10896</v>
      </c>
      <c r="B55" t="s">
        <v>10896</v>
      </c>
      <c r="C55" t="s">
        <v>10907</v>
      </c>
      <c r="D55" t="s">
        <v>4479</v>
      </c>
      <c r="E55" t="s">
        <v>10887</v>
      </c>
      <c r="F55" t="s">
        <v>10918</v>
      </c>
      <c r="G55" t="str">
        <f>Config!$B$5</f>
        <v>SCH/L_ANSI.SchLib</v>
      </c>
      <c r="H55" t="s">
        <v>10940</v>
      </c>
      <c r="I55" t="s">
        <v>12570</v>
      </c>
      <c r="J55" t="s">
        <v>10887</v>
      </c>
      <c r="K55" s="46">
        <v>2.0999999999999998E-6</v>
      </c>
      <c r="L55" t="s">
        <v>10950</v>
      </c>
      <c r="N55" t="s">
        <v>10929</v>
      </c>
    </row>
    <row r="56" spans="1:16">
      <c r="A56" t="s">
        <v>12795</v>
      </c>
      <c r="B56" t="s">
        <v>10896</v>
      </c>
      <c r="C56" t="s">
        <v>10907</v>
      </c>
      <c r="D56" t="s">
        <v>4479</v>
      </c>
      <c r="E56" t="s">
        <v>10887</v>
      </c>
      <c r="F56" t="s">
        <v>10918</v>
      </c>
      <c r="G56" t="str">
        <f>Config!$B$5</f>
        <v>SCH/L_ANSI.SchLib</v>
      </c>
      <c r="H56" t="s">
        <v>10940</v>
      </c>
      <c r="I56" t="s">
        <v>12570</v>
      </c>
      <c r="J56" t="s">
        <v>12792</v>
      </c>
      <c r="K56" s="46">
        <v>2.0999999999999998E-6</v>
      </c>
      <c r="L56" t="s">
        <v>10950</v>
      </c>
      <c r="N56" t="s">
        <v>10929</v>
      </c>
    </row>
    <row r="57" spans="1:16">
      <c r="A57" t="s">
        <v>12796</v>
      </c>
      <c r="B57" t="s">
        <v>10896</v>
      </c>
      <c r="C57" t="s">
        <v>10907</v>
      </c>
      <c r="D57" t="s">
        <v>4479</v>
      </c>
      <c r="E57" t="s">
        <v>10887</v>
      </c>
      <c r="F57" t="s">
        <v>10918</v>
      </c>
      <c r="G57" t="str">
        <f>Config!$B$5</f>
        <v>SCH/L_ANSI.SchLib</v>
      </c>
      <c r="H57" t="s">
        <v>10940</v>
      </c>
      <c r="I57" t="s">
        <v>12570</v>
      </c>
      <c r="J57" t="s">
        <v>12793</v>
      </c>
      <c r="K57" s="46">
        <v>2.0999999999999998E-6</v>
      </c>
      <c r="L57" t="s">
        <v>10950</v>
      </c>
      <c r="N57" t="s">
        <v>10929</v>
      </c>
    </row>
    <row r="58" spans="1:16">
      <c r="A58" t="s">
        <v>10898</v>
      </c>
      <c r="B58" t="s">
        <v>10898</v>
      </c>
      <c r="C58" t="s">
        <v>10908</v>
      </c>
      <c r="D58" t="s">
        <v>4479</v>
      </c>
      <c r="E58" t="s">
        <v>10887</v>
      </c>
      <c r="F58" t="s">
        <v>10919</v>
      </c>
      <c r="G58" t="str">
        <f>Config!$B$5</f>
        <v>SCH/L_ANSI.SchLib</v>
      </c>
      <c r="H58" t="s">
        <v>10940</v>
      </c>
      <c r="I58" t="s">
        <v>12570</v>
      </c>
      <c r="J58" t="s">
        <v>10887</v>
      </c>
      <c r="K58" s="46">
        <v>3.1E-6</v>
      </c>
      <c r="L58" t="s">
        <v>10950</v>
      </c>
      <c r="M58" t="s">
        <v>7506</v>
      </c>
      <c r="N58" t="s">
        <v>10930</v>
      </c>
      <c r="O58" t="s">
        <v>25</v>
      </c>
      <c r="P58" t="s">
        <v>12573</v>
      </c>
    </row>
    <row r="59" spans="1:16">
      <c r="A59" t="s">
        <v>12797</v>
      </c>
      <c r="B59" t="s">
        <v>10898</v>
      </c>
      <c r="C59" t="s">
        <v>10908</v>
      </c>
      <c r="D59" t="s">
        <v>4479</v>
      </c>
      <c r="E59" t="s">
        <v>10887</v>
      </c>
      <c r="F59" t="s">
        <v>10919</v>
      </c>
      <c r="G59" t="str">
        <f>Config!$B$5</f>
        <v>SCH/L_ANSI.SchLib</v>
      </c>
      <c r="H59" t="s">
        <v>10940</v>
      </c>
      <c r="I59" t="s">
        <v>12570</v>
      </c>
      <c r="J59" t="s">
        <v>12792</v>
      </c>
      <c r="K59" s="46">
        <v>3.1E-6</v>
      </c>
      <c r="L59" t="s">
        <v>10950</v>
      </c>
      <c r="M59" t="s">
        <v>7506</v>
      </c>
      <c r="N59" t="s">
        <v>10930</v>
      </c>
      <c r="O59" t="s">
        <v>25</v>
      </c>
      <c r="P59" t="s">
        <v>12573</v>
      </c>
    </row>
    <row r="60" spans="1:16">
      <c r="A60" t="s">
        <v>12806</v>
      </c>
      <c r="B60" t="s">
        <v>10898</v>
      </c>
      <c r="C60" t="s">
        <v>10908</v>
      </c>
      <c r="D60" t="s">
        <v>4479</v>
      </c>
      <c r="E60" t="s">
        <v>10887</v>
      </c>
      <c r="F60" t="s">
        <v>10919</v>
      </c>
      <c r="G60" t="str">
        <f>Config!$B$5</f>
        <v>SCH/L_ANSI.SchLib</v>
      </c>
      <c r="H60" t="s">
        <v>10940</v>
      </c>
      <c r="I60" t="s">
        <v>12570</v>
      </c>
      <c r="J60" t="s">
        <v>12793</v>
      </c>
      <c r="K60" s="46">
        <v>3.1E-6</v>
      </c>
      <c r="L60" t="s">
        <v>10950</v>
      </c>
      <c r="M60" t="s">
        <v>7506</v>
      </c>
      <c r="N60" t="s">
        <v>10930</v>
      </c>
      <c r="O60" t="s">
        <v>25</v>
      </c>
      <c r="P60" t="s">
        <v>12573</v>
      </c>
    </row>
    <row r="61" spans="1:16">
      <c r="A61" t="s">
        <v>10899</v>
      </c>
      <c r="B61" t="s">
        <v>10899</v>
      </c>
      <c r="C61" t="s">
        <v>10909</v>
      </c>
      <c r="D61" t="s">
        <v>4479</v>
      </c>
      <c r="E61" t="s">
        <v>10887</v>
      </c>
      <c r="F61" t="s">
        <v>10920</v>
      </c>
      <c r="G61" t="str">
        <f>Config!$B$5</f>
        <v>SCH/L_ANSI.SchLib</v>
      </c>
      <c r="H61" t="s">
        <v>10940</v>
      </c>
      <c r="I61" t="s">
        <v>12570</v>
      </c>
      <c r="J61" t="s">
        <v>10887</v>
      </c>
      <c r="K61" s="46">
        <v>3.4000000000000001E-6</v>
      </c>
      <c r="L61" t="s">
        <v>10950</v>
      </c>
      <c r="M61" t="s">
        <v>7506</v>
      </c>
      <c r="N61" t="s">
        <v>10931</v>
      </c>
      <c r="O61" t="s">
        <v>25</v>
      </c>
      <c r="P61" t="s">
        <v>12574</v>
      </c>
    </row>
    <row r="62" spans="1:16">
      <c r="A62" t="s">
        <v>12798</v>
      </c>
      <c r="B62" t="s">
        <v>10899</v>
      </c>
      <c r="C62" t="s">
        <v>10909</v>
      </c>
      <c r="D62" t="s">
        <v>4479</v>
      </c>
      <c r="E62" t="s">
        <v>10887</v>
      </c>
      <c r="F62" t="s">
        <v>10920</v>
      </c>
      <c r="G62" t="str">
        <f>Config!$B$5</f>
        <v>SCH/L_ANSI.SchLib</v>
      </c>
      <c r="H62" t="s">
        <v>10940</v>
      </c>
      <c r="I62" t="s">
        <v>12570</v>
      </c>
      <c r="J62" t="s">
        <v>12792</v>
      </c>
      <c r="K62" s="46">
        <v>3.4000000000000001E-6</v>
      </c>
      <c r="L62" t="s">
        <v>10950</v>
      </c>
      <c r="M62" t="s">
        <v>7506</v>
      </c>
      <c r="N62" t="s">
        <v>10931</v>
      </c>
      <c r="O62" t="s">
        <v>25</v>
      </c>
      <c r="P62" t="s">
        <v>12574</v>
      </c>
    </row>
    <row r="63" spans="1:16">
      <c r="A63" t="s">
        <v>12807</v>
      </c>
      <c r="B63" t="s">
        <v>10899</v>
      </c>
      <c r="C63" t="s">
        <v>10909</v>
      </c>
      <c r="D63" t="s">
        <v>4479</v>
      </c>
      <c r="E63" t="s">
        <v>10887</v>
      </c>
      <c r="F63" t="s">
        <v>10920</v>
      </c>
      <c r="G63" t="str">
        <f>Config!$B$5</f>
        <v>SCH/L_ANSI.SchLib</v>
      </c>
      <c r="H63" t="s">
        <v>10940</v>
      </c>
      <c r="I63" t="s">
        <v>12570</v>
      </c>
      <c r="J63" t="s">
        <v>12793</v>
      </c>
      <c r="K63" s="46">
        <v>3.4000000000000001E-6</v>
      </c>
      <c r="L63" t="s">
        <v>10950</v>
      </c>
      <c r="M63" t="s">
        <v>7506</v>
      </c>
      <c r="N63" t="s">
        <v>10931</v>
      </c>
      <c r="O63" t="s">
        <v>25</v>
      </c>
      <c r="P63" t="s">
        <v>12574</v>
      </c>
    </row>
    <row r="64" spans="1:16">
      <c r="A64" t="s">
        <v>10895</v>
      </c>
      <c r="B64" t="s">
        <v>10895</v>
      </c>
      <c r="C64" t="s">
        <v>10910</v>
      </c>
      <c r="D64" t="s">
        <v>4479</v>
      </c>
      <c r="E64" t="s">
        <v>10887</v>
      </c>
      <c r="F64" t="s">
        <v>10921</v>
      </c>
      <c r="G64" t="str">
        <f>Config!$B$5</f>
        <v>SCH/L_ANSI.SchLib</v>
      </c>
      <c r="H64" t="s">
        <v>10940</v>
      </c>
      <c r="I64" t="s">
        <v>12570</v>
      </c>
      <c r="J64" t="s">
        <v>10887</v>
      </c>
      <c r="K64" s="46">
        <v>4.5000000000000001E-6</v>
      </c>
      <c r="L64" t="s">
        <v>10950</v>
      </c>
      <c r="M64" t="s">
        <v>7506</v>
      </c>
      <c r="N64" t="s">
        <v>10932</v>
      </c>
      <c r="O64" t="s">
        <v>25</v>
      </c>
      <c r="P64" t="s">
        <v>12575</v>
      </c>
    </row>
    <row r="65" spans="1:16">
      <c r="A65" t="s">
        <v>12791</v>
      </c>
      <c r="B65" t="s">
        <v>10895</v>
      </c>
      <c r="C65" t="s">
        <v>10910</v>
      </c>
      <c r="D65" t="s">
        <v>4479</v>
      </c>
      <c r="E65" t="s">
        <v>10887</v>
      </c>
      <c r="F65" t="s">
        <v>10921</v>
      </c>
      <c r="G65" t="str">
        <f>Config!$B$5</f>
        <v>SCH/L_ANSI.SchLib</v>
      </c>
      <c r="H65" t="s">
        <v>10940</v>
      </c>
      <c r="I65" t="s">
        <v>12570</v>
      </c>
      <c r="J65" t="s">
        <v>12792</v>
      </c>
      <c r="K65" s="46">
        <v>4.5000000000000001E-6</v>
      </c>
      <c r="L65" t="s">
        <v>10950</v>
      </c>
      <c r="M65" t="s">
        <v>7506</v>
      </c>
      <c r="N65" t="s">
        <v>10932</v>
      </c>
      <c r="O65" t="s">
        <v>25</v>
      </c>
      <c r="P65" t="s">
        <v>12575</v>
      </c>
    </row>
    <row r="66" spans="1:16">
      <c r="A66" t="s">
        <v>12794</v>
      </c>
      <c r="B66" t="s">
        <v>10895</v>
      </c>
      <c r="C66" t="s">
        <v>10910</v>
      </c>
      <c r="D66" t="s">
        <v>4479</v>
      </c>
      <c r="E66" t="s">
        <v>10887</v>
      </c>
      <c r="F66" t="s">
        <v>10921</v>
      </c>
      <c r="G66" t="str">
        <f>Config!$B$5</f>
        <v>SCH/L_ANSI.SchLib</v>
      </c>
      <c r="H66" t="s">
        <v>10940</v>
      </c>
      <c r="I66" t="s">
        <v>12570</v>
      </c>
      <c r="J66" t="s">
        <v>12793</v>
      </c>
      <c r="K66" s="46">
        <v>4.5000000000000001E-6</v>
      </c>
      <c r="L66" t="s">
        <v>10950</v>
      </c>
      <c r="M66" t="s">
        <v>7506</v>
      </c>
      <c r="N66" t="s">
        <v>10932</v>
      </c>
      <c r="O66" t="s">
        <v>25</v>
      </c>
      <c r="P66" t="s">
        <v>12575</v>
      </c>
    </row>
    <row r="67" spans="1:16">
      <c r="A67" t="s">
        <v>10900</v>
      </c>
      <c r="B67" t="s">
        <v>10900</v>
      </c>
      <c r="C67" t="s">
        <v>10911</v>
      </c>
      <c r="D67" t="s">
        <v>4479</v>
      </c>
      <c r="E67" t="s">
        <v>10887</v>
      </c>
      <c r="F67" t="s">
        <v>10922</v>
      </c>
      <c r="G67" t="str">
        <f>Config!$B$5</f>
        <v>SCH/L_ANSI.SchLib</v>
      </c>
      <c r="H67" t="s">
        <v>10940</v>
      </c>
      <c r="I67" t="s">
        <v>12570</v>
      </c>
      <c r="J67" t="s">
        <v>10887</v>
      </c>
      <c r="K67" s="46">
        <v>4.6E-6</v>
      </c>
      <c r="L67" t="s">
        <v>10950</v>
      </c>
      <c r="M67" t="s">
        <v>7506</v>
      </c>
      <c r="N67" t="s">
        <v>10933</v>
      </c>
      <c r="O67" t="s">
        <v>25</v>
      </c>
      <c r="P67" t="s">
        <v>12576</v>
      </c>
    </row>
    <row r="68" spans="1:16">
      <c r="A68" t="s">
        <v>12799</v>
      </c>
      <c r="B68" t="s">
        <v>10900</v>
      </c>
      <c r="C68" t="s">
        <v>10911</v>
      </c>
      <c r="D68" t="s">
        <v>4479</v>
      </c>
      <c r="E68" t="s">
        <v>10887</v>
      </c>
      <c r="F68" t="s">
        <v>10922</v>
      </c>
      <c r="G68" t="str">
        <f>Config!$B$5</f>
        <v>SCH/L_ANSI.SchLib</v>
      </c>
      <c r="H68" t="s">
        <v>10940</v>
      </c>
      <c r="I68" t="s">
        <v>12570</v>
      </c>
      <c r="J68" t="s">
        <v>12792</v>
      </c>
      <c r="K68" s="46">
        <v>4.6E-6</v>
      </c>
      <c r="L68" t="s">
        <v>10950</v>
      </c>
      <c r="M68" t="s">
        <v>7506</v>
      </c>
      <c r="N68" t="s">
        <v>10933</v>
      </c>
      <c r="O68" t="s">
        <v>25</v>
      </c>
      <c r="P68" t="s">
        <v>12576</v>
      </c>
    </row>
    <row r="69" spans="1:16">
      <c r="A69" t="s">
        <v>12808</v>
      </c>
      <c r="B69" t="s">
        <v>10900</v>
      </c>
      <c r="C69" t="s">
        <v>10911</v>
      </c>
      <c r="D69" t="s">
        <v>4479</v>
      </c>
      <c r="E69" t="s">
        <v>10887</v>
      </c>
      <c r="F69" t="s">
        <v>10922</v>
      </c>
      <c r="G69" t="str">
        <f>Config!$B$5</f>
        <v>SCH/L_ANSI.SchLib</v>
      </c>
      <c r="H69" t="s">
        <v>10940</v>
      </c>
      <c r="I69" t="s">
        <v>12570</v>
      </c>
      <c r="J69" t="s">
        <v>12793</v>
      </c>
      <c r="K69" s="46">
        <v>4.6E-6</v>
      </c>
      <c r="L69" t="s">
        <v>10950</v>
      </c>
      <c r="M69" t="s">
        <v>7506</v>
      </c>
      <c r="N69" t="s">
        <v>10933</v>
      </c>
      <c r="O69" t="s">
        <v>25</v>
      </c>
      <c r="P69" t="s">
        <v>12576</v>
      </c>
    </row>
    <row r="70" spans="1:16">
      <c r="A70" t="s">
        <v>10901</v>
      </c>
      <c r="B70" t="s">
        <v>10901</v>
      </c>
      <c r="C70" t="s">
        <v>10912</v>
      </c>
      <c r="D70" t="s">
        <v>4479</v>
      </c>
      <c r="E70" t="s">
        <v>10887</v>
      </c>
      <c r="F70" t="s">
        <v>10923</v>
      </c>
      <c r="G70" t="str">
        <f>Config!$B$5</f>
        <v>SCH/L_ANSI.SchLib</v>
      </c>
      <c r="H70" t="s">
        <v>10940</v>
      </c>
      <c r="I70" t="s">
        <v>12570</v>
      </c>
      <c r="J70" t="s">
        <v>10887</v>
      </c>
      <c r="K70" s="46">
        <v>5.4999999999999999E-6</v>
      </c>
      <c r="L70" t="s">
        <v>10950</v>
      </c>
      <c r="N70" t="s">
        <v>10934</v>
      </c>
    </row>
    <row r="71" spans="1:16">
      <c r="A71" t="s">
        <v>12800</v>
      </c>
      <c r="B71" t="s">
        <v>10901</v>
      </c>
      <c r="C71" t="s">
        <v>10912</v>
      </c>
      <c r="D71" t="s">
        <v>4479</v>
      </c>
      <c r="E71" t="s">
        <v>10887</v>
      </c>
      <c r="F71" t="s">
        <v>10923</v>
      </c>
      <c r="G71" t="str">
        <f>Config!$B$5</f>
        <v>SCH/L_ANSI.SchLib</v>
      </c>
      <c r="H71" t="s">
        <v>10940</v>
      </c>
      <c r="I71" t="s">
        <v>12570</v>
      </c>
      <c r="J71" t="s">
        <v>12792</v>
      </c>
      <c r="K71" s="46">
        <v>5.4999999999999999E-6</v>
      </c>
      <c r="L71" t="s">
        <v>10950</v>
      </c>
      <c r="N71" t="s">
        <v>10934</v>
      </c>
    </row>
    <row r="72" spans="1:16">
      <c r="A72" t="s">
        <v>12809</v>
      </c>
      <c r="B72" t="s">
        <v>10901</v>
      </c>
      <c r="C72" t="s">
        <v>10912</v>
      </c>
      <c r="D72" t="s">
        <v>4479</v>
      </c>
      <c r="E72" t="s">
        <v>10887</v>
      </c>
      <c r="F72" t="s">
        <v>10923</v>
      </c>
      <c r="G72" t="str">
        <f>Config!$B$5</f>
        <v>SCH/L_ANSI.SchLib</v>
      </c>
      <c r="H72" t="s">
        <v>10940</v>
      </c>
      <c r="I72" t="s">
        <v>12570</v>
      </c>
      <c r="J72" t="s">
        <v>12793</v>
      </c>
      <c r="K72" s="46">
        <v>5.4999999999999999E-6</v>
      </c>
      <c r="L72" t="s">
        <v>10950</v>
      </c>
      <c r="N72" t="s">
        <v>10934</v>
      </c>
    </row>
    <row r="73" spans="1:16">
      <c r="A73" t="s">
        <v>10903</v>
      </c>
      <c r="B73" t="s">
        <v>10903</v>
      </c>
      <c r="C73" t="s">
        <v>10913</v>
      </c>
      <c r="D73" t="s">
        <v>4479</v>
      </c>
      <c r="E73" t="s">
        <v>10887</v>
      </c>
      <c r="F73" t="s">
        <v>10924</v>
      </c>
      <c r="G73" t="str">
        <f>Config!$B$5</f>
        <v>SCH/L_ANSI.SchLib</v>
      </c>
      <c r="H73" t="s">
        <v>10940</v>
      </c>
      <c r="I73" t="s">
        <v>12570</v>
      </c>
      <c r="J73" t="s">
        <v>10887</v>
      </c>
      <c r="K73" s="46">
        <v>1.5200000000000001E-6</v>
      </c>
      <c r="L73" t="s">
        <v>10950</v>
      </c>
      <c r="M73" t="s">
        <v>7506</v>
      </c>
      <c r="N73" t="s">
        <v>10935</v>
      </c>
      <c r="O73" t="s">
        <v>25</v>
      </c>
      <c r="P73" t="s">
        <v>12577</v>
      </c>
    </row>
    <row r="74" spans="1:16">
      <c r="A74" t="s">
        <v>12801</v>
      </c>
      <c r="B74" t="s">
        <v>10903</v>
      </c>
      <c r="C74" t="s">
        <v>10913</v>
      </c>
      <c r="D74" t="s">
        <v>4479</v>
      </c>
      <c r="E74" t="s">
        <v>10887</v>
      </c>
      <c r="F74" t="s">
        <v>10924</v>
      </c>
      <c r="G74" t="str">
        <f>Config!$B$5</f>
        <v>SCH/L_ANSI.SchLib</v>
      </c>
      <c r="H74" t="s">
        <v>10940</v>
      </c>
      <c r="I74" t="s">
        <v>12570</v>
      </c>
      <c r="J74" t="s">
        <v>12792</v>
      </c>
      <c r="K74" s="46">
        <v>1.5200000000000001E-6</v>
      </c>
      <c r="L74" t="s">
        <v>10950</v>
      </c>
      <c r="M74" t="s">
        <v>7506</v>
      </c>
      <c r="N74" t="s">
        <v>10935</v>
      </c>
      <c r="O74" t="s">
        <v>25</v>
      </c>
      <c r="P74" t="s">
        <v>12577</v>
      </c>
    </row>
    <row r="75" spans="1:16">
      <c r="A75" t="s">
        <v>12810</v>
      </c>
      <c r="B75" t="s">
        <v>10903</v>
      </c>
      <c r="C75" t="s">
        <v>10913</v>
      </c>
      <c r="D75" t="s">
        <v>4479</v>
      </c>
      <c r="E75" t="s">
        <v>10887</v>
      </c>
      <c r="F75" t="s">
        <v>10924</v>
      </c>
      <c r="G75" t="str">
        <f>Config!$B$5</f>
        <v>SCH/L_ANSI.SchLib</v>
      </c>
      <c r="H75" t="s">
        <v>10940</v>
      </c>
      <c r="I75" t="s">
        <v>12570</v>
      </c>
      <c r="J75" t="s">
        <v>12793</v>
      </c>
      <c r="K75" s="46">
        <v>1.5200000000000001E-6</v>
      </c>
      <c r="L75" t="s">
        <v>10950</v>
      </c>
      <c r="M75" t="s">
        <v>7506</v>
      </c>
      <c r="N75" t="s">
        <v>10935</v>
      </c>
      <c r="O75" t="s">
        <v>25</v>
      </c>
      <c r="P75" t="s">
        <v>12577</v>
      </c>
    </row>
    <row r="76" spans="1:16">
      <c r="A76" t="s">
        <v>10902</v>
      </c>
      <c r="B76" t="s">
        <v>10902</v>
      </c>
      <c r="C76" t="s">
        <v>10914</v>
      </c>
      <c r="D76" t="s">
        <v>4479</v>
      </c>
      <c r="E76" t="s">
        <v>10887</v>
      </c>
      <c r="F76" t="s">
        <v>10925</v>
      </c>
      <c r="G76" t="str">
        <f>Config!$B$5</f>
        <v>SCH/L_ANSI.SchLib</v>
      </c>
      <c r="H76" t="s">
        <v>10940</v>
      </c>
      <c r="I76" t="s">
        <v>12570</v>
      </c>
      <c r="J76" t="s">
        <v>10887</v>
      </c>
      <c r="K76" s="46">
        <v>8.1999999999999998E-7</v>
      </c>
      <c r="L76" t="s">
        <v>10950</v>
      </c>
      <c r="N76" t="s">
        <v>10936</v>
      </c>
    </row>
    <row r="77" spans="1:16">
      <c r="A77" t="s">
        <v>12802</v>
      </c>
      <c r="B77" t="s">
        <v>10902</v>
      </c>
      <c r="C77" t="s">
        <v>10914</v>
      </c>
      <c r="D77" t="s">
        <v>4479</v>
      </c>
      <c r="E77" t="s">
        <v>10887</v>
      </c>
      <c r="F77" t="s">
        <v>10925</v>
      </c>
      <c r="G77" t="str">
        <f>Config!$B$5</f>
        <v>SCH/L_ANSI.SchLib</v>
      </c>
      <c r="H77" t="s">
        <v>10940</v>
      </c>
      <c r="I77" t="s">
        <v>12570</v>
      </c>
      <c r="J77" t="s">
        <v>12792</v>
      </c>
      <c r="K77" s="46">
        <v>8.1999999999999998E-7</v>
      </c>
      <c r="L77" t="s">
        <v>10950</v>
      </c>
      <c r="N77" t="s">
        <v>10936</v>
      </c>
    </row>
    <row r="78" spans="1:16">
      <c r="A78" t="s">
        <v>12811</v>
      </c>
      <c r="B78" t="s">
        <v>10902</v>
      </c>
      <c r="C78" t="s">
        <v>10914</v>
      </c>
      <c r="D78" t="s">
        <v>4479</v>
      </c>
      <c r="E78" t="s">
        <v>10887</v>
      </c>
      <c r="F78" t="s">
        <v>10925</v>
      </c>
      <c r="G78" t="str">
        <f>Config!$B$5</f>
        <v>SCH/L_ANSI.SchLib</v>
      </c>
      <c r="H78" t="s">
        <v>10940</v>
      </c>
      <c r="I78" t="s">
        <v>12570</v>
      </c>
      <c r="J78" t="s">
        <v>12793</v>
      </c>
      <c r="K78" s="46">
        <v>8.1999999999999998E-7</v>
      </c>
      <c r="L78" t="s">
        <v>10950</v>
      </c>
      <c r="N78" t="s">
        <v>10936</v>
      </c>
    </row>
    <row r="79" spans="1:16">
      <c r="A79" t="s">
        <v>10904</v>
      </c>
      <c r="B79" t="s">
        <v>10904</v>
      </c>
      <c r="C79" t="s">
        <v>10915</v>
      </c>
      <c r="D79" t="s">
        <v>4479</v>
      </c>
      <c r="E79" t="s">
        <v>10887</v>
      </c>
      <c r="F79" t="s">
        <v>10926</v>
      </c>
      <c r="G79" t="str">
        <f>Config!$B$5</f>
        <v>SCH/L_ANSI.SchLib</v>
      </c>
      <c r="H79" t="s">
        <v>10940</v>
      </c>
      <c r="I79" t="s">
        <v>12570</v>
      </c>
      <c r="J79" t="s">
        <v>10887</v>
      </c>
      <c r="K79" s="46">
        <v>3.3000000000000002E-7</v>
      </c>
      <c r="L79" t="s">
        <v>10950</v>
      </c>
      <c r="N79" t="s">
        <v>10937</v>
      </c>
    </row>
    <row r="80" spans="1:16">
      <c r="A80" t="s">
        <v>12803</v>
      </c>
      <c r="B80" t="s">
        <v>10904</v>
      </c>
      <c r="C80" t="s">
        <v>10915</v>
      </c>
      <c r="D80" t="s">
        <v>4479</v>
      </c>
      <c r="E80" t="s">
        <v>10887</v>
      </c>
      <c r="F80" t="s">
        <v>10926</v>
      </c>
      <c r="G80" t="str">
        <f>Config!$B$5</f>
        <v>SCH/L_ANSI.SchLib</v>
      </c>
      <c r="H80" t="s">
        <v>10940</v>
      </c>
      <c r="I80" t="s">
        <v>12570</v>
      </c>
      <c r="J80" t="s">
        <v>12792</v>
      </c>
      <c r="K80" s="46">
        <v>3.3000000000000002E-7</v>
      </c>
      <c r="L80" t="s">
        <v>10950</v>
      </c>
      <c r="N80" t="s">
        <v>10937</v>
      </c>
    </row>
    <row r="81" spans="1:16">
      <c r="A81" t="s">
        <v>12812</v>
      </c>
      <c r="B81" t="s">
        <v>10904</v>
      </c>
      <c r="C81" t="s">
        <v>10915</v>
      </c>
      <c r="D81" t="s">
        <v>4479</v>
      </c>
      <c r="E81" t="s">
        <v>10887</v>
      </c>
      <c r="F81" t="s">
        <v>10926</v>
      </c>
      <c r="G81" t="str">
        <f>Config!$B$5</f>
        <v>SCH/L_ANSI.SchLib</v>
      </c>
      <c r="H81" t="s">
        <v>10940</v>
      </c>
      <c r="I81" t="s">
        <v>12570</v>
      </c>
      <c r="J81" t="s">
        <v>12793</v>
      </c>
      <c r="K81" s="46">
        <v>3.3000000000000002E-7</v>
      </c>
      <c r="L81" t="s">
        <v>10950</v>
      </c>
      <c r="N81" t="s">
        <v>10937</v>
      </c>
    </row>
    <row r="82" spans="1:16">
      <c r="A82" t="s">
        <v>10905</v>
      </c>
      <c r="B82" t="s">
        <v>10905</v>
      </c>
      <c r="C82" t="s">
        <v>10916</v>
      </c>
      <c r="D82" t="s">
        <v>4479</v>
      </c>
      <c r="E82" t="s">
        <v>10887</v>
      </c>
      <c r="F82" t="s">
        <v>10927</v>
      </c>
      <c r="G82" t="str">
        <f>Config!$B$5</f>
        <v>SCH/L_ANSI.SchLib</v>
      </c>
      <c r="H82" t="s">
        <v>10940</v>
      </c>
      <c r="I82" t="s">
        <v>12570</v>
      </c>
      <c r="J82" t="s">
        <v>10887</v>
      </c>
      <c r="K82" s="46">
        <v>2.2000000000000001E-7</v>
      </c>
      <c r="L82" t="s">
        <v>10950</v>
      </c>
      <c r="N82" t="s">
        <v>10938</v>
      </c>
    </row>
    <row r="83" spans="1:16">
      <c r="A83" t="s">
        <v>12804</v>
      </c>
      <c r="B83" t="s">
        <v>10905</v>
      </c>
      <c r="C83" t="s">
        <v>10916</v>
      </c>
      <c r="D83" t="s">
        <v>4479</v>
      </c>
      <c r="E83" t="s">
        <v>10887</v>
      </c>
      <c r="F83" t="s">
        <v>10927</v>
      </c>
      <c r="G83" t="str">
        <f>Config!$B$5</f>
        <v>SCH/L_ANSI.SchLib</v>
      </c>
      <c r="H83" t="s">
        <v>10940</v>
      </c>
      <c r="I83" t="s">
        <v>12570</v>
      </c>
      <c r="J83" t="s">
        <v>12792</v>
      </c>
      <c r="K83" s="46">
        <v>2.2000000000000001E-7</v>
      </c>
      <c r="L83" t="s">
        <v>10950</v>
      </c>
      <c r="N83" t="s">
        <v>10938</v>
      </c>
    </row>
    <row r="84" spans="1:16">
      <c r="A84" t="s">
        <v>12813</v>
      </c>
      <c r="B84" t="s">
        <v>10905</v>
      </c>
      <c r="C84" t="s">
        <v>10916</v>
      </c>
      <c r="D84" t="s">
        <v>4479</v>
      </c>
      <c r="E84" t="s">
        <v>10887</v>
      </c>
      <c r="F84" t="s">
        <v>10927</v>
      </c>
      <c r="G84" t="str">
        <f>Config!$B$5</f>
        <v>SCH/L_ANSI.SchLib</v>
      </c>
      <c r="H84" t="s">
        <v>10940</v>
      </c>
      <c r="I84" t="s">
        <v>12570</v>
      </c>
      <c r="J84" t="s">
        <v>12793</v>
      </c>
      <c r="K84" s="46">
        <v>2.2000000000000001E-7</v>
      </c>
      <c r="L84" t="s">
        <v>10950</v>
      </c>
      <c r="N84" t="s">
        <v>10938</v>
      </c>
    </row>
    <row r="85" spans="1:16">
      <c r="A85" t="s">
        <v>10906</v>
      </c>
      <c r="B85" t="s">
        <v>10906</v>
      </c>
      <c r="C85" t="s">
        <v>10917</v>
      </c>
      <c r="D85" t="s">
        <v>4479</v>
      </c>
      <c r="E85" t="s">
        <v>10887</v>
      </c>
      <c r="F85" t="s">
        <v>10928</v>
      </c>
      <c r="G85" t="str">
        <f>Config!$B$5</f>
        <v>SCH/L_ANSI.SchLib</v>
      </c>
      <c r="H85" t="s">
        <v>10940</v>
      </c>
      <c r="I85" t="s">
        <v>12570</v>
      </c>
      <c r="J85" t="s">
        <v>10887</v>
      </c>
      <c r="K85" s="46">
        <v>1.2499999999999999E-7</v>
      </c>
      <c r="L85" t="s">
        <v>10950</v>
      </c>
      <c r="N85" t="s">
        <v>10939</v>
      </c>
    </row>
    <row r="86" spans="1:16">
      <c r="A86" t="s">
        <v>12805</v>
      </c>
      <c r="B86" t="s">
        <v>10906</v>
      </c>
      <c r="C86" t="s">
        <v>10917</v>
      </c>
      <c r="D86" t="s">
        <v>4479</v>
      </c>
      <c r="E86" t="s">
        <v>10887</v>
      </c>
      <c r="F86" t="s">
        <v>10928</v>
      </c>
      <c r="G86" t="str">
        <f>Config!$B$5</f>
        <v>SCH/L_ANSI.SchLib</v>
      </c>
      <c r="H86" t="s">
        <v>10940</v>
      </c>
      <c r="I86" t="s">
        <v>12570</v>
      </c>
      <c r="J86" t="s">
        <v>12792</v>
      </c>
      <c r="K86" s="46">
        <v>1.2499999999999999E-7</v>
      </c>
      <c r="L86" t="s">
        <v>10950</v>
      </c>
      <c r="N86" t="s">
        <v>10939</v>
      </c>
    </row>
    <row r="87" spans="1:16">
      <c r="A87" t="s">
        <v>12814</v>
      </c>
      <c r="B87" t="s">
        <v>10906</v>
      </c>
      <c r="C87" t="s">
        <v>10917</v>
      </c>
      <c r="D87" t="s">
        <v>4479</v>
      </c>
      <c r="E87" t="s">
        <v>10887</v>
      </c>
      <c r="F87" t="s">
        <v>10928</v>
      </c>
      <c r="G87" t="str">
        <f>Config!$B$5</f>
        <v>SCH/L_ANSI.SchLib</v>
      </c>
      <c r="H87" t="s">
        <v>10940</v>
      </c>
      <c r="I87" t="s">
        <v>12570</v>
      </c>
      <c r="J87" t="s">
        <v>12793</v>
      </c>
      <c r="K87" s="46">
        <v>1.2499999999999999E-7</v>
      </c>
      <c r="L87" t="s">
        <v>10950</v>
      </c>
      <c r="N87" t="s">
        <v>10939</v>
      </c>
    </row>
    <row r="88" spans="1:16">
      <c r="A88" t="s">
        <v>12815</v>
      </c>
      <c r="B88" t="s">
        <v>12815</v>
      </c>
      <c r="C88" t="s">
        <v>10955</v>
      </c>
      <c r="D88" t="s">
        <v>4479</v>
      </c>
      <c r="E88" t="s">
        <v>10953</v>
      </c>
      <c r="G88" t="str">
        <f>Config!$B$5</f>
        <v>SCH/L_ANSI.SchLib</v>
      </c>
      <c r="H88" t="s">
        <v>10959</v>
      </c>
      <c r="I88" t="s">
        <v>12570</v>
      </c>
      <c r="J88" t="s">
        <v>12817</v>
      </c>
      <c r="L88" t="s">
        <v>10950</v>
      </c>
      <c r="M88" t="s">
        <v>10954</v>
      </c>
      <c r="N88" t="s">
        <v>10954</v>
      </c>
      <c r="O88" t="s">
        <v>25</v>
      </c>
      <c r="P88" t="s">
        <v>12571</v>
      </c>
    </row>
    <row r="89" spans="1:16">
      <c r="A89" t="s">
        <v>12819</v>
      </c>
      <c r="B89" t="s">
        <v>12815</v>
      </c>
      <c r="C89" t="s">
        <v>10955</v>
      </c>
      <c r="D89" t="s">
        <v>4479</v>
      </c>
      <c r="E89" t="s">
        <v>10953</v>
      </c>
      <c r="G89" t="str">
        <f>Config!$B$5</f>
        <v>SCH/L_ANSI.SchLib</v>
      </c>
      <c r="H89" t="s">
        <v>10959</v>
      </c>
      <c r="I89" t="s">
        <v>12570</v>
      </c>
      <c r="J89" t="s">
        <v>12820</v>
      </c>
      <c r="L89" t="s">
        <v>10950</v>
      </c>
      <c r="M89" t="s">
        <v>10954</v>
      </c>
      <c r="N89" t="s">
        <v>10954</v>
      </c>
      <c r="O89" t="s">
        <v>25</v>
      </c>
      <c r="P89" t="s">
        <v>12571</v>
      </c>
    </row>
    <row r="90" spans="1:16">
      <c r="A90" t="s">
        <v>12816</v>
      </c>
      <c r="B90" t="s">
        <v>12816</v>
      </c>
      <c r="C90" t="s">
        <v>10957</v>
      </c>
      <c r="D90" t="s">
        <v>4479</v>
      </c>
      <c r="E90" t="s">
        <v>10956</v>
      </c>
      <c r="G90" t="str">
        <f>Config!$B$5</f>
        <v>SCH/L_ANSI.SchLib</v>
      </c>
      <c r="H90" t="s">
        <v>10959</v>
      </c>
      <c r="I90" t="s">
        <v>12570</v>
      </c>
      <c r="J90" t="s">
        <v>12818</v>
      </c>
      <c r="L90" t="s">
        <v>10950</v>
      </c>
      <c r="M90" t="s">
        <v>7506</v>
      </c>
      <c r="N90" t="s">
        <v>10958</v>
      </c>
      <c r="O90" t="s">
        <v>25</v>
      </c>
      <c r="P90" t="s">
        <v>12572</v>
      </c>
    </row>
    <row r="91" spans="1:16">
      <c r="A91" t="s">
        <v>10894</v>
      </c>
      <c r="B91" t="s">
        <v>10890</v>
      </c>
      <c r="C91" t="s">
        <v>10941</v>
      </c>
      <c r="E91" t="s">
        <v>10887</v>
      </c>
      <c r="F91" t="s">
        <v>10946</v>
      </c>
      <c r="G91" t="str">
        <f>Config!$B$5</f>
        <v>SCH/L_ANSI.SchLib</v>
      </c>
      <c r="H91" t="s">
        <v>10888</v>
      </c>
      <c r="I91" t="s">
        <v>12570</v>
      </c>
      <c r="J91" t="s">
        <v>10960</v>
      </c>
      <c r="K91" s="46">
        <v>1</v>
      </c>
      <c r="L91" t="s">
        <v>10950</v>
      </c>
    </row>
    <row r="92" spans="1:16">
      <c r="A92" t="s">
        <v>10893</v>
      </c>
      <c r="B92" t="s">
        <v>10889</v>
      </c>
      <c r="C92" t="s">
        <v>10942</v>
      </c>
      <c r="E92" t="s">
        <v>10887</v>
      </c>
      <c r="F92" t="s">
        <v>10947</v>
      </c>
      <c r="G92" t="str">
        <f>Config!$B$5</f>
        <v>SCH/L_ANSI.SchLib</v>
      </c>
      <c r="H92" t="s">
        <v>10888</v>
      </c>
      <c r="I92" t="s">
        <v>12570</v>
      </c>
      <c r="J92" t="s">
        <v>10961</v>
      </c>
      <c r="K92" s="46">
        <v>2</v>
      </c>
      <c r="L92" t="s">
        <v>10950</v>
      </c>
    </row>
    <row r="93" spans="1:16">
      <c r="A93" t="s">
        <v>10891</v>
      </c>
      <c r="B93" t="s">
        <v>10951</v>
      </c>
      <c r="C93" t="s">
        <v>10944</v>
      </c>
      <c r="E93" t="s">
        <v>10887</v>
      </c>
      <c r="F93" t="s">
        <v>10948</v>
      </c>
      <c r="G93" t="str">
        <f>Config!$B$5</f>
        <v>SCH/L_ANSI.SchLib</v>
      </c>
      <c r="H93" t="s">
        <v>10888</v>
      </c>
      <c r="I93" t="s">
        <v>12570</v>
      </c>
      <c r="J93" t="s">
        <v>10962</v>
      </c>
      <c r="K93" s="46">
        <v>8</v>
      </c>
      <c r="L93" t="s">
        <v>10950</v>
      </c>
    </row>
    <row r="94" spans="1:16">
      <c r="A94" t="s">
        <v>10892</v>
      </c>
      <c r="B94" t="s">
        <v>10952</v>
      </c>
      <c r="C94" t="s">
        <v>10943</v>
      </c>
      <c r="E94" t="s">
        <v>10887</v>
      </c>
      <c r="F94" t="s">
        <v>10949</v>
      </c>
      <c r="G94" t="str">
        <f>Config!$B$5</f>
        <v>SCH/L_ANSI.SchLib</v>
      </c>
      <c r="H94" t="s">
        <v>10888</v>
      </c>
      <c r="I94" t="s">
        <v>12570</v>
      </c>
      <c r="J94" t="s">
        <v>10963</v>
      </c>
      <c r="K94" s="46">
        <v>24</v>
      </c>
      <c r="L94" t="s">
        <v>10950</v>
      </c>
    </row>
    <row r="95" spans="1:16">
      <c r="A95" t="s">
        <v>12766</v>
      </c>
      <c r="B95" t="s">
        <v>10890</v>
      </c>
      <c r="C95" t="s">
        <v>12769</v>
      </c>
      <c r="E95" t="s">
        <v>10887</v>
      </c>
      <c r="F95" t="s">
        <v>10946</v>
      </c>
      <c r="G95" t="str">
        <f>Config!$B$5</f>
        <v>SCH/L_ANSI.SchLib</v>
      </c>
      <c r="H95" t="s">
        <v>10888</v>
      </c>
      <c r="I95" t="s">
        <v>12570</v>
      </c>
      <c r="J95" s="39"/>
      <c r="K95" s="46">
        <v>1</v>
      </c>
      <c r="L95" t="s">
        <v>10950</v>
      </c>
    </row>
    <row r="96" spans="1:16">
      <c r="A96" t="s">
        <v>12767</v>
      </c>
      <c r="B96" t="s">
        <v>10889</v>
      </c>
      <c r="C96" t="s">
        <v>12770</v>
      </c>
      <c r="E96" t="s">
        <v>10887</v>
      </c>
      <c r="F96" t="s">
        <v>10947</v>
      </c>
      <c r="G96" t="str">
        <f>Config!$B$5</f>
        <v>SCH/L_ANSI.SchLib</v>
      </c>
      <c r="H96" t="s">
        <v>10888</v>
      </c>
      <c r="I96" t="s">
        <v>12570</v>
      </c>
      <c r="J96" s="39"/>
      <c r="K96" s="46">
        <v>2</v>
      </c>
      <c r="L96" t="s">
        <v>10950</v>
      </c>
    </row>
    <row r="97" spans="1:12">
      <c r="A97" t="s">
        <v>10897</v>
      </c>
      <c r="B97" t="s">
        <v>10951</v>
      </c>
      <c r="C97" t="s">
        <v>10945</v>
      </c>
      <c r="E97" t="s">
        <v>10887</v>
      </c>
      <c r="F97" t="s">
        <v>10948</v>
      </c>
      <c r="G97" t="str">
        <f>Config!$B$5</f>
        <v>SCH/L_ANSI.SchLib</v>
      </c>
      <c r="H97" t="s">
        <v>10888</v>
      </c>
      <c r="I97" t="s">
        <v>12570</v>
      </c>
      <c r="J97" s="39"/>
      <c r="K97" s="46">
        <v>8</v>
      </c>
      <c r="L97" t="s">
        <v>10950</v>
      </c>
    </row>
    <row r="98" spans="1:12">
      <c r="A98" t="s">
        <v>12768</v>
      </c>
      <c r="B98" t="s">
        <v>10952</v>
      </c>
      <c r="C98" t="s">
        <v>12771</v>
      </c>
      <c r="E98" t="s">
        <v>10887</v>
      </c>
      <c r="F98" t="s">
        <v>10949</v>
      </c>
      <c r="G98" t="str">
        <f>Config!$B$5</f>
        <v>SCH/L_ANSI.SchLib</v>
      </c>
      <c r="H98" t="s">
        <v>10888</v>
      </c>
      <c r="I98" t="s">
        <v>12570</v>
      </c>
      <c r="J98" s="39"/>
      <c r="K98" s="46">
        <v>24</v>
      </c>
      <c r="L98" t="s">
        <v>10950</v>
      </c>
    </row>
    <row r="99" spans="1:12">
      <c r="A99" t="s">
        <v>12731</v>
      </c>
      <c r="B99" t="s">
        <v>10890</v>
      </c>
      <c r="C99" t="s">
        <v>12736</v>
      </c>
      <c r="E99" t="s">
        <v>10887</v>
      </c>
      <c r="F99" t="s">
        <v>10946</v>
      </c>
      <c r="G99" t="str">
        <f>Config!$B$5</f>
        <v>SCH/L_ANSI.SchLib</v>
      </c>
      <c r="H99" t="s">
        <v>10888</v>
      </c>
      <c r="I99" t="s">
        <v>12570</v>
      </c>
      <c r="J99" t="s">
        <v>12741</v>
      </c>
      <c r="K99" s="46">
        <v>1</v>
      </c>
      <c r="L99" t="s">
        <v>10950</v>
      </c>
    </row>
    <row r="100" spans="1:12">
      <c r="A100" t="s">
        <v>12732</v>
      </c>
      <c r="B100" t="s">
        <v>10890</v>
      </c>
      <c r="C100" t="s">
        <v>12737</v>
      </c>
      <c r="E100" t="s">
        <v>10887</v>
      </c>
      <c r="F100" t="s">
        <v>10946</v>
      </c>
      <c r="G100" t="str">
        <f>Config!$B$5</f>
        <v>SCH/L_ANSI.SchLib</v>
      </c>
      <c r="H100" t="s">
        <v>10888</v>
      </c>
      <c r="I100" t="s">
        <v>12570</v>
      </c>
      <c r="J100" t="s">
        <v>12742</v>
      </c>
      <c r="K100" s="46">
        <v>1</v>
      </c>
      <c r="L100" t="s">
        <v>10950</v>
      </c>
    </row>
    <row r="101" spans="1:12">
      <c r="A101" t="s">
        <v>12733</v>
      </c>
      <c r="B101" t="s">
        <v>10890</v>
      </c>
      <c r="C101" t="s">
        <v>12738</v>
      </c>
      <c r="E101" t="s">
        <v>10887</v>
      </c>
      <c r="F101" t="s">
        <v>10946</v>
      </c>
      <c r="G101" t="str">
        <f>Config!$B$5</f>
        <v>SCH/L_ANSI.SchLib</v>
      </c>
      <c r="H101" t="s">
        <v>10888</v>
      </c>
      <c r="I101" t="s">
        <v>12570</v>
      </c>
      <c r="J101" t="s">
        <v>12743</v>
      </c>
      <c r="K101" s="46">
        <v>1</v>
      </c>
      <c r="L101" t="s">
        <v>10950</v>
      </c>
    </row>
    <row r="102" spans="1:12">
      <c r="A102" t="s">
        <v>12734</v>
      </c>
      <c r="B102" t="s">
        <v>10890</v>
      </c>
      <c r="C102" t="s">
        <v>12739</v>
      </c>
      <c r="E102" t="s">
        <v>10887</v>
      </c>
      <c r="F102" t="s">
        <v>10946</v>
      </c>
      <c r="G102" t="str">
        <f>Config!$B$5</f>
        <v>SCH/L_ANSI.SchLib</v>
      </c>
      <c r="H102" t="s">
        <v>10888</v>
      </c>
      <c r="I102" t="s">
        <v>12570</v>
      </c>
      <c r="J102" t="s">
        <v>12744</v>
      </c>
      <c r="K102" s="46">
        <v>1</v>
      </c>
      <c r="L102" t="s">
        <v>10950</v>
      </c>
    </row>
    <row r="103" spans="1:12">
      <c r="A103" t="s">
        <v>12735</v>
      </c>
      <c r="B103" t="s">
        <v>10890</v>
      </c>
      <c r="C103" t="s">
        <v>12740</v>
      </c>
      <c r="E103" t="s">
        <v>10887</v>
      </c>
      <c r="F103" t="s">
        <v>10946</v>
      </c>
      <c r="G103" t="str">
        <f>Config!$B$5</f>
        <v>SCH/L_ANSI.SchLib</v>
      </c>
      <c r="H103" t="s">
        <v>10888</v>
      </c>
      <c r="I103" t="s">
        <v>12570</v>
      </c>
      <c r="J103" t="s">
        <v>12745</v>
      </c>
      <c r="K103" s="46">
        <v>1</v>
      </c>
      <c r="L103" t="s">
        <v>10950</v>
      </c>
    </row>
    <row r="104" spans="1:12">
      <c r="A104" t="s">
        <v>12782</v>
      </c>
      <c r="B104" t="s">
        <v>10890</v>
      </c>
      <c r="C104" t="s">
        <v>12783</v>
      </c>
      <c r="E104" t="s">
        <v>10887</v>
      </c>
      <c r="F104" t="s">
        <v>10946</v>
      </c>
      <c r="G104" t="str">
        <f>Config!$B$5</f>
        <v>SCH/L_ANSI.SchLib</v>
      </c>
      <c r="H104" t="s">
        <v>10888</v>
      </c>
      <c r="I104" t="s">
        <v>12570</v>
      </c>
      <c r="J104" t="s">
        <v>12784</v>
      </c>
      <c r="K104" s="46">
        <v>1</v>
      </c>
      <c r="L104" t="s">
        <v>10950</v>
      </c>
    </row>
    <row r="105" spans="1:12">
      <c r="A105" t="s">
        <v>12746</v>
      </c>
      <c r="B105" t="s">
        <v>10889</v>
      </c>
      <c r="C105" t="s">
        <v>12772</v>
      </c>
      <c r="E105" t="s">
        <v>10887</v>
      </c>
      <c r="F105" t="s">
        <v>10947</v>
      </c>
      <c r="G105" t="str">
        <f>Config!$B$5</f>
        <v>SCH/L_ANSI.SchLib</v>
      </c>
      <c r="H105" t="s">
        <v>10888</v>
      </c>
      <c r="I105" t="s">
        <v>12570</v>
      </c>
      <c r="J105" t="s">
        <v>12751</v>
      </c>
      <c r="K105" s="46">
        <v>2</v>
      </c>
      <c r="L105" t="s">
        <v>10950</v>
      </c>
    </row>
    <row r="106" spans="1:12">
      <c r="A106" t="s">
        <v>12747</v>
      </c>
      <c r="B106" t="s">
        <v>10889</v>
      </c>
      <c r="C106" t="s">
        <v>12773</v>
      </c>
      <c r="E106" t="s">
        <v>10887</v>
      </c>
      <c r="F106" t="s">
        <v>10947</v>
      </c>
      <c r="G106" t="str">
        <f>Config!$B$5</f>
        <v>SCH/L_ANSI.SchLib</v>
      </c>
      <c r="H106" t="s">
        <v>10888</v>
      </c>
      <c r="I106" t="s">
        <v>12570</v>
      </c>
      <c r="J106" t="s">
        <v>12752</v>
      </c>
      <c r="K106" s="46">
        <v>2</v>
      </c>
      <c r="L106" t="s">
        <v>10950</v>
      </c>
    </row>
    <row r="107" spans="1:12">
      <c r="A107" t="s">
        <v>12748</v>
      </c>
      <c r="B107" t="s">
        <v>10889</v>
      </c>
      <c r="C107" t="s">
        <v>12774</v>
      </c>
      <c r="E107" t="s">
        <v>10887</v>
      </c>
      <c r="F107" t="s">
        <v>10947</v>
      </c>
      <c r="G107" t="str">
        <f>Config!$B$5</f>
        <v>SCH/L_ANSI.SchLib</v>
      </c>
      <c r="H107" t="s">
        <v>10888</v>
      </c>
      <c r="I107" t="s">
        <v>12570</v>
      </c>
      <c r="J107" t="s">
        <v>12753</v>
      </c>
      <c r="K107" s="46">
        <v>2</v>
      </c>
      <c r="L107" t="s">
        <v>10950</v>
      </c>
    </row>
    <row r="108" spans="1:12">
      <c r="A108" t="s">
        <v>12749</v>
      </c>
      <c r="B108" t="s">
        <v>10889</v>
      </c>
      <c r="C108" t="s">
        <v>12775</v>
      </c>
      <c r="E108" t="s">
        <v>10887</v>
      </c>
      <c r="F108" t="s">
        <v>10947</v>
      </c>
      <c r="G108" t="str">
        <f>Config!$B$5</f>
        <v>SCH/L_ANSI.SchLib</v>
      </c>
      <c r="H108" t="s">
        <v>10888</v>
      </c>
      <c r="I108" t="s">
        <v>12570</v>
      </c>
      <c r="J108" t="s">
        <v>12754</v>
      </c>
      <c r="K108" s="46">
        <v>2</v>
      </c>
      <c r="L108" t="s">
        <v>10950</v>
      </c>
    </row>
    <row r="109" spans="1:12">
      <c r="A109" t="s">
        <v>12750</v>
      </c>
      <c r="B109" t="s">
        <v>10889</v>
      </c>
      <c r="C109" t="s">
        <v>12776</v>
      </c>
      <c r="E109" t="s">
        <v>10887</v>
      </c>
      <c r="F109" t="s">
        <v>10947</v>
      </c>
      <c r="G109" t="str">
        <f>Config!$B$5</f>
        <v>SCH/L_ANSI.SchLib</v>
      </c>
      <c r="H109" t="s">
        <v>10888</v>
      </c>
      <c r="I109" t="s">
        <v>12570</v>
      </c>
      <c r="J109" t="s">
        <v>12755</v>
      </c>
      <c r="K109" s="46">
        <v>2</v>
      </c>
      <c r="L109" t="s">
        <v>10950</v>
      </c>
    </row>
    <row r="110" spans="1:12">
      <c r="A110" t="s">
        <v>12785</v>
      </c>
      <c r="B110" t="s">
        <v>10889</v>
      </c>
      <c r="C110" t="s">
        <v>12786</v>
      </c>
      <c r="E110" t="s">
        <v>10887</v>
      </c>
      <c r="F110" t="s">
        <v>10947</v>
      </c>
      <c r="G110" t="str">
        <f>Config!$B$5</f>
        <v>SCH/L_ANSI.SchLib</v>
      </c>
      <c r="H110" t="s">
        <v>10888</v>
      </c>
      <c r="I110" t="s">
        <v>12570</v>
      </c>
      <c r="J110" t="s">
        <v>12787</v>
      </c>
      <c r="K110" s="46">
        <v>2</v>
      </c>
      <c r="L110" t="s">
        <v>10950</v>
      </c>
    </row>
    <row r="111" spans="1:12">
      <c r="A111" t="s">
        <v>12761</v>
      </c>
      <c r="B111" t="s">
        <v>10952</v>
      </c>
      <c r="C111" t="s">
        <v>12777</v>
      </c>
      <c r="E111" t="s">
        <v>10887</v>
      </c>
      <c r="F111" t="s">
        <v>10949</v>
      </c>
      <c r="G111" t="str">
        <f>Config!$B$5</f>
        <v>SCH/L_ANSI.SchLib</v>
      </c>
      <c r="H111" t="s">
        <v>10888</v>
      </c>
      <c r="I111" t="s">
        <v>12570</v>
      </c>
      <c r="J111" t="s">
        <v>12756</v>
      </c>
      <c r="K111" s="46">
        <v>24</v>
      </c>
      <c r="L111" t="s">
        <v>10950</v>
      </c>
    </row>
    <row r="112" spans="1:12">
      <c r="A112" t="s">
        <v>12762</v>
      </c>
      <c r="B112" t="s">
        <v>10952</v>
      </c>
      <c r="C112" t="s">
        <v>12778</v>
      </c>
      <c r="E112" t="s">
        <v>10887</v>
      </c>
      <c r="F112" t="s">
        <v>10949</v>
      </c>
      <c r="G112" t="str">
        <f>Config!$B$5</f>
        <v>SCH/L_ANSI.SchLib</v>
      </c>
      <c r="H112" t="s">
        <v>10888</v>
      </c>
      <c r="I112" t="s">
        <v>12570</v>
      </c>
      <c r="J112" t="s">
        <v>12757</v>
      </c>
      <c r="K112" s="46">
        <v>24</v>
      </c>
      <c r="L112" t="s">
        <v>10950</v>
      </c>
    </row>
    <row r="113" spans="1:16">
      <c r="A113" t="s">
        <v>12763</v>
      </c>
      <c r="B113" t="s">
        <v>10952</v>
      </c>
      <c r="C113" t="s">
        <v>12779</v>
      </c>
      <c r="E113" t="s">
        <v>10887</v>
      </c>
      <c r="F113" t="s">
        <v>10949</v>
      </c>
      <c r="G113" t="str">
        <f>Config!$B$5</f>
        <v>SCH/L_ANSI.SchLib</v>
      </c>
      <c r="H113" t="s">
        <v>10888</v>
      </c>
      <c r="I113" t="s">
        <v>12570</v>
      </c>
      <c r="J113" t="s">
        <v>12758</v>
      </c>
      <c r="K113" s="46">
        <v>24</v>
      </c>
      <c r="L113" t="s">
        <v>10950</v>
      </c>
    </row>
    <row r="114" spans="1:16">
      <c r="A114" t="s">
        <v>12764</v>
      </c>
      <c r="B114" t="s">
        <v>10952</v>
      </c>
      <c r="C114" t="s">
        <v>12780</v>
      </c>
      <c r="E114" t="s">
        <v>10887</v>
      </c>
      <c r="F114" t="s">
        <v>10949</v>
      </c>
      <c r="G114" t="str">
        <f>Config!$B$5</f>
        <v>SCH/L_ANSI.SchLib</v>
      </c>
      <c r="H114" t="s">
        <v>10888</v>
      </c>
      <c r="I114" t="s">
        <v>12570</v>
      </c>
      <c r="J114" t="s">
        <v>12759</v>
      </c>
      <c r="K114" s="46">
        <v>24</v>
      </c>
      <c r="L114" t="s">
        <v>10950</v>
      </c>
    </row>
    <row r="115" spans="1:16">
      <c r="A115" t="s">
        <v>12765</v>
      </c>
      <c r="B115" t="s">
        <v>10952</v>
      </c>
      <c r="C115" t="s">
        <v>12781</v>
      </c>
      <c r="E115" t="s">
        <v>10887</v>
      </c>
      <c r="F115" t="s">
        <v>10949</v>
      </c>
      <c r="G115" t="str">
        <f>Config!$B$5</f>
        <v>SCH/L_ANSI.SchLib</v>
      </c>
      <c r="H115" t="s">
        <v>10888</v>
      </c>
      <c r="I115" t="s">
        <v>12570</v>
      </c>
      <c r="J115" t="s">
        <v>12760</v>
      </c>
      <c r="K115" s="46">
        <v>24</v>
      </c>
      <c r="L115" t="s">
        <v>10950</v>
      </c>
    </row>
    <row r="116" spans="1:16">
      <c r="A116" t="s">
        <v>12788</v>
      </c>
      <c r="B116" t="s">
        <v>10952</v>
      </c>
      <c r="C116" t="s">
        <v>12789</v>
      </c>
      <c r="E116" t="s">
        <v>10887</v>
      </c>
      <c r="F116" t="s">
        <v>10949</v>
      </c>
      <c r="G116" t="str">
        <f>Config!$B$5</f>
        <v>SCH/L_ANSI.SchLib</v>
      </c>
      <c r="H116" t="s">
        <v>10888</v>
      </c>
      <c r="I116" t="s">
        <v>12570</v>
      </c>
      <c r="J116" t="s">
        <v>12790</v>
      </c>
      <c r="K116" s="46">
        <v>24</v>
      </c>
      <c r="L116" t="s">
        <v>10950</v>
      </c>
    </row>
    <row r="117" spans="1:16">
      <c r="A117" t="s">
        <v>11302</v>
      </c>
      <c r="B117" t="s">
        <v>11302</v>
      </c>
      <c r="C117" t="s">
        <v>11348</v>
      </c>
      <c r="D117" t="s">
        <v>11394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11404</v>
      </c>
      <c r="K117" s="46">
        <v>1.0000000000000001E-5</v>
      </c>
      <c r="L117" t="s">
        <v>11403</v>
      </c>
      <c r="M117" t="s">
        <v>11394</v>
      </c>
      <c r="N117" t="s">
        <v>11255</v>
      </c>
      <c r="O117" t="s">
        <v>25</v>
      </c>
      <c r="P117" t="s">
        <v>12188</v>
      </c>
    </row>
    <row r="118" spans="1:16">
      <c r="A118" t="s">
        <v>11303</v>
      </c>
      <c r="B118" t="s">
        <v>11303</v>
      </c>
      <c r="C118" t="s">
        <v>11349</v>
      </c>
      <c r="D118" t="s">
        <v>11394</v>
      </c>
      <c r="E118">
        <v>7635</v>
      </c>
      <c r="F118" t="s">
        <v>11395</v>
      </c>
      <c r="G118" t="str">
        <f>Config!$B$5</f>
        <v>SCH/L_ANSI.SchLib</v>
      </c>
      <c r="H118" t="s">
        <v>424</v>
      </c>
      <c r="I118" t="s">
        <v>6538</v>
      </c>
      <c r="J118" t="s">
        <v>11404</v>
      </c>
      <c r="K118" s="46">
        <v>1E-4</v>
      </c>
      <c r="L118" t="s">
        <v>11403</v>
      </c>
      <c r="M118" t="s">
        <v>11394</v>
      </c>
      <c r="N118" t="s">
        <v>11256</v>
      </c>
      <c r="O118" t="s">
        <v>25</v>
      </c>
      <c r="P118" t="s">
        <v>12189</v>
      </c>
    </row>
    <row r="119" spans="1:16">
      <c r="A119" t="s">
        <v>11304</v>
      </c>
      <c r="B119" t="s">
        <v>11304</v>
      </c>
      <c r="C119" t="s">
        <v>11350</v>
      </c>
      <c r="D119" t="s">
        <v>11394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11404</v>
      </c>
      <c r="K119" s="46">
        <v>1E-3</v>
      </c>
      <c r="L119" t="s">
        <v>11403</v>
      </c>
      <c r="M119" t="s">
        <v>11394</v>
      </c>
      <c r="N119" t="s">
        <v>11257</v>
      </c>
      <c r="O119" t="s">
        <v>25</v>
      </c>
      <c r="P119" t="s">
        <v>12190</v>
      </c>
    </row>
    <row r="120" spans="1:16">
      <c r="A120" t="s">
        <v>11305</v>
      </c>
      <c r="B120" t="s">
        <v>11305</v>
      </c>
      <c r="C120" t="s">
        <v>11351</v>
      </c>
      <c r="D120" t="s">
        <v>11394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11404</v>
      </c>
      <c r="K120" s="46">
        <v>1.5E-5</v>
      </c>
      <c r="L120" t="s">
        <v>11403</v>
      </c>
      <c r="M120" t="s">
        <v>11394</v>
      </c>
      <c r="N120" t="s">
        <v>11258</v>
      </c>
      <c r="O120" t="s">
        <v>25</v>
      </c>
      <c r="P120" t="s">
        <v>12191</v>
      </c>
    </row>
    <row r="121" spans="1:16">
      <c r="A121" t="s">
        <v>11306</v>
      </c>
      <c r="B121" t="s">
        <v>11306</v>
      </c>
      <c r="C121" t="s">
        <v>11352</v>
      </c>
      <c r="D121" t="s">
        <v>11394</v>
      </c>
      <c r="E121">
        <v>7635</v>
      </c>
      <c r="F121" t="s">
        <v>11396</v>
      </c>
      <c r="G121" t="str">
        <f>Config!$B$5</f>
        <v>SCH/L_ANSI.SchLib</v>
      </c>
      <c r="H121" t="s">
        <v>424</v>
      </c>
      <c r="I121" t="s">
        <v>6538</v>
      </c>
      <c r="J121" t="s">
        <v>11404</v>
      </c>
      <c r="K121" s="46">
        <v>1.4999999999999999E-4</v>
      </c>
      <c r="L121" t="s">
        <v>11403</v>
      </c>
      <c r="M121" t="s">
        <v>11394</v>
      </c>
      <c r="N121" t="s">
        <v>11259</v>
      </c>
      <c r="O121" t="s">
        <v>25</v>
      </c>
      <c r="P121" t="s">
        <v>12192</v>
      </c>
    </row>
    <row r="122" spans="1:16">
      <c r="A122" t="s">
        <v>11307</v>
      </c>
      <c r="B122" t="s">
        <v>11307</v>
      </c>
      <c r="C122" t="s">
        <v>11353</v>
      </c>
      <c r="D122" t="s">
        <v>11394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11404</v>
      </c>
      <c r="K122" s="46">
        <v>9.9999999999999995E-7</v>
      </c>
      <c r="L122" t="s">
        <v>11403</v>
      </c>
      <c r="M122" t="s">
        <v>11394</v>
      </c>
      <c r="N122" t="s">
        <v>11260</v>
      </c>
      <c r="O122" t="s">
        <v>25</v>
      </c>
      <c r="P122" t="s">
        <v>12226</v>
      </c>
    </row>
    <row r="123" spans="1:16">
      <c r="A123" t="s">
        <v>11308</v>
      </c>
      <c r="B123" t="s">
        <v>11308</v>
      </c>
      <c r="C123" t="s">
        <v>11354</v>
      </c>
      <c r="D123" t="s">
        <v>11394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11404</v>
      </c>
      <c r="K123" s="46">
        <v>1.5E-6</v>
      </c>
      <c r="L123" t="s">
        <v>11403</v>
      </c>
      <c r="M123" t="s">
        <v>11394</v>
      </c>
      <c r="N123" t="s">
        <v>11261</v>
      </c>
      <c r="O123" t="s">
        <v>25</v>
      </c>
      <c r="P123" t="s">
        <v>12227</v>
      </c>
    </row>
    <row r="124" spans="1:16">
      <c r="A124" t="s">
        <v>11309</v>
      </c>
      <c r="B124" t="s">
        <v>11309</v>
      </c>
      <c r="C124" t="s">
        <v>11355</v>
      </c>
      <c r="D124" t="s">
        <v>11394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11404</v>
      </c>
      <c r="K124" s="46">
        <v>2.1999999999999999E-5</v>
      </c>
      <c r="L124" t="s">
        <v>11403</v>
      </c>
      <c r="M124" t="s">
        <v>11394</v>
      </c>
      <c r="N124" t="s">
        <v>11262</v>
      </c>
      <c r="O124" t="s">
        <v>25</v>
      </c>
      <c r="P124" t="s">
        <v>12228</v>
      </c>
    </row>
    <row r="125" spans="1:16">
      <c r="A125" t="s">
        <v>11310</v>
      </c>
      <c r="B125" t="s">
        <v>11310</v>
      </c>
      <c r="C125" t="s">
        <v>11356</v>
      </c>
      <c r="D125" t="s">
        <v>11394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11404</v>
      </c>
      <c r="K125" s="46">
        <v>2.2000000000000001E-4</v>
      </c>
      <c r="L125" t="s">
        <v>11403</v>
      </c>
      <c r="M125" t="s">
        <v>11394</v>
      </c>
      <c r="N125" t="s">
        <v>11263</v>
      </c>
      <c r="O125" t="s">
        <v>25</v>
      </c>
      <c r="P125" t="s">
        <v>12193</v>
      </c>
    </row>
    <row r="126" spans="1:16">
      <c r="A126" t="s">
        <v>11311</v>
      </c>
      <c r="B126" t="s">
        <v>11311</v>
      </c>
      <c r="C126" t="s">
        <v>11357</v>
      </c>
      <c r="D126" t="s">
        <v>11394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11404</v>
      </c>
      <c r="K126" s="46">
        <v>2.2000000000000001E-6</v>
      </c>
      <c r="L126" t="s">
        <v>11403</v>
      </c>
      <c r="M126" t="s">
        <v>11394</v>
      </c>
      <c r="N126" t="s">
        <v>11264</v>
      </c>
      <c r="O126" t="s">
        <v>25</v>
      </c>
      <c r="P126" t="s">
        <v>12229</v>
      </c>
    </row>
    <row r="127" spans="1:16">
      <c r="A127" t="s">
        <v>11312</v>
      </c>
      <c r="B127" t="s">
        <v>11312</v>
      </c>
      <c r="C127" t="s">
        <v>11358</v>
      </c>
      <c r="D127" t="s">
        <v>11394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11404</v>
      </c>
      <c r="K127" s="46">
        <v>3.3000000000000003E-5</v>
      </c>
      <c r="L127" t="s">
        <v>11403</v>
      </c>
      <c r="M127" t="s">
        <v>11394</v>
      </c>
      <c r="N127" t="s">
        <v>11265</v>
      </c>
      <c r="O127" t="s">
        <v>25</v>
      </c>
      <c r="P127" t="s">
        <v>12194</v>
      </c>
    </row>
    <row r="128" spans="1:16">
      <c r="A128" t="s">
        <v>11313</v>
      </c>
      <c r="B128" t="s">
        <v>11313</v>
      </c>
      <c r="C128" t="s">
        <v>11359</v>
      </c>
      <c r="D128" t="s">
        <v>11394</v>
      </c>
      <c r="E128">
        <v>7635</v>
      </c>
      <c r="F128" t="s">
        <v>11397</v>
      </c>
      <c r="G128" t="str">
        <f>Config!$B$5</f>
        <v>SCH/L_ANSI.SchLib</v>
      </c>
      <c r="H128" t="s">
        <v>424</v>
      </c>
      <c r="I128" t="s">
        <v>6538</v>
      </c>
      <c r="J128" t="s">
        <v>11404</v>
      </c>
      <c r="K128" s="46">
        <v>3.3E-4</v>
      </c>
      <c r="L128" t="s">
        <v>11403</v>
      </c>
      <c r="M128" t="s">
        <v>11394</v>
      </c>
      <c r="N128" t="s">
        <v>11266</v>
      </c>
      <c r="O128" t="s">
        <v>25</v>
      </c>
      <c r="P128" t="s">
        <v>12195</v>
      </c>
    </row>
    <row r="129" spans="1:16">
      <c r="A129" t="s">
        <v>11314</v>
      </c>
      <c r="B129" t="s">
        <v>11314</v>
      </c>
      <c r="C129" t="s">
        <v>11360</v>
      </c>
      <c r="D129" t="s">
        <v>11394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11404</v>
      </c>
      <c r="K129" s="46">
        <v>3.3000000000000002E-6</v>
      </c>
      <c r="L129" t="s">
        <v>11403</v>
      </c>
      <c r="M129" t="s">
        <v>11394</v>
      </c>
      <c r="N129" t="s">
        <v>11267</v>
      </c>
      <c r="O129" t="s">
        <v>25</v>
      </c>
      <c r="P129" t="s">
        <v>12196</v>
      </c>
    </row>
    <row r="130" spans="1:16">
      <c r="A130" t="s">
        <v>11315</v>
      </c>
      <c r="B130" t="s">
        <v>11315</v>
      </c>
      <c r="C130" t="s">
        <v>11361</v>
      </c>
      <c r="D130" t="s">
        <v>11394</v>
      </c>
      <c r="E130">
        <v>7635</v>
      </c>
      <c r="F130" t="s">
        <v>11398</v>
      </c>
      <c r="G130" t="str">
        <f>Config!$B$5</f>
        <v>SCH/L_ANSI.SchLib</v>
      </c>
      <c r="H130" t="s">
        <v>424</v>
      </c>
      <c r="I130" t="s">
        <v>6538</v>
      </c>
      <c r="J130" t="s">
        <v>11404</v>
      </c>
      <c r="K130" s="46">
        <v>4.6999999999999997E-5</v>
      </c>
      <c r="L130" t="s">
        <v>11403</v>
      </c>
      <c r="M130" t="s">
        <v>11394</v>
      </c>
      <c r="N130" t="s">
        <v>11268</v>
      </c>
      <c r="O130" t="s">
        <v>25</v>
      </c>
      <c r="P130" t="s">
        <v>12197</v>
      </c>
    </row>
    <row r="131" spans="1:16">
      <c r="A131" t="s">
        <v>11316</v>
      </c>
      <c r="B131" t="s">
        <v>11316</v>
      </c>
      <c r="C131" t="s">
        <v>11362</v>
      </c>
      <c r="D131" t="s">
        <v>11394</v>
      </c>
      <c r="E131">
        <v>7635</v>
      </c>
      <c r="F131" t="s">
        <v>11399</v>
      </c>
      <c r="G131" t="str">
        <f>Config!$B$5</f>
        <v>SCH/L_ANSI.SchLib</v>
      </c>
      <c r="H131" t="s">
        <v>424</v>
      </c>
      <c r="I131" t="s">
        <v>6538</v>
      </c>
      <c r="J131" t="s">
        <v>11404</v>
      </c>
      <c r="K131" s="46">
        <v>4.6999999999999999E-4</v>
      </c>
      <c r="L131" t="s">
        <v>11403</v>
      </c>
      <c r="M131" t="s">
        <v>11394</v>
      </c>
      <c r="N131" t="s">
        <v>11269</v>
      </c>
      <c r="O131" t="s">
        <v>25</v>
      </c>
      <c r="P131" t="s">
        <v>12198</v>
      </c>
    </row>
    <row r="132" spans="1:16">
      <c r="A132" t="s">
        <v>11317</v>
      </c>
      <c r="B132" t="s">
        <v>11317</v>
      </c>
      <c r="C132" t="s">
        <v>11363</v>
      </c>
      <c r="D132" t="s">
        <v>11394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11404</v>
      </c>
      <c r="K132" s="46">
        <v>4.6999999999999999E-6</v>
      </c>
      <c r="L132" t="s">
        <v>11403</v>
      </c>
      <c r="M132" t="s">
        <v>11394</v>
      </c>
      <c r="N132" t="s">
        <v>11270</v>
      </c>
      <c r="O132" t="s">
        <v>25</v>
      </c>
      <c r="P132" t="s">
        <v>12230</v>
      </c>
    </row>
    <row r="133" spans="1:16">
      <c r="A133" t="s">
        <v>11318</v>
      </c>
      <c r="B133" t="s">
        <v>11318</v>
      </c>
      <c r="C133" t="s">
        <v>11364</v>
      </c>
      <c r="D133" t="s">
        <v>11394</v>
      </c>
      <c r="E133">
        <v>7635</v>
      </c>
      <c r="F133" t="s">
        <v>11400</v>
      </c>
      <c r="G133" t="str">
        <f>Config!$B$5</f>
        <v>SCH/L_ANSI.SchLib</v>
      </c>
      <c r="H133" t="s">
        <v>424</v>
      </c>
      <c r="I133" t="s">
        <v>6538</v>
      </c>
      <c r="J133" t="s">
        <v>11404</v>
      </c>
      <c r="K133" s="46">
        <v>6.7999999999999999E-5</v>
      </c>
      <c r="L133" t="s">
        <v>11403</v>
      </c>
      <c r="M133" t="s">
        <v>11394</v>
      </c>
      <c r="N133" t="s">
        <v>11271</v>
      </c>
      <c r="O133" t="s">
        <v>25</v>
      </c>
      <c r="P133" t="s">
        <v>12199</v>
      </c>
    </row>
    <row r="134" spans="1:16">
      <c r="A134" t="s">
        <v>11319</v>
      </c>
      <c r="B134" t="s">
        <v>11319</v>
      </c>
      <c r="C134" t="s">
        <v>11365</v>
      </c>
      <c r="D134" t="s">
        <v>11394</v>
      </c>
      <c r="E134">
        <v>7635</v>
      </c>
      <c r="F134" t="s">
        <v>11401</v>
      </c>
      <c r="G134" t="str">
        <f>Config!$B$5</f>
        <v>SCH/L_ANSI.SchLib</v>
      </c>
      <c r="H134" t="s">
        <v>424</v>
      </c>
      <c r="I134" t="s">
        <v>6538</v>
      </c>
      <c r="J134" t="s">
        <v>11404</v>
      </c>
      <c r="K134" s="46">
        <v>6.8000000000000005E-4</v>
      </c>
      <c r="L134" t="s">
        <v>11403</v>
      </c>
      <c r="M134" t="s">
        <v>11394</v>
      </c>
      <c r="N134" t="s">
        <v>11272</v>
      </c>
      <c r="O134" t="s">
        <v>25</v>
      </c>
      <c r="P134" t="s">
        <v>12200</v>
      </c>
    </row>
    <row r="135" spans="1:16">
      <c r="A135" t="s">
        <v>11320</v>
      </c>
      <c r="B135" t="s">
        <v>11320</v>
      </c>
      <c r="C135" t="s">
        <v>11366</v>
      </c>
      <c r="D135" t="s">
        <v>11394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11404</v>
      </c>
      <c r="K135" s="46">
        <v>6.8000000000000001E-6</v>
      </c>
      <c r="L135" t="s">
        <v>11403</v>
      </c>
      <c r="M135" t="s">
        <v>11394</v>
      </c>
      <c r="N135" t="s">
        <v>11273</v>
      </c>
      <c r="O135" t="s">
        <v>25</v>
      </c>
      <c r="P135" t="s">
        <v>12201</v>
      </c>
    </row>
    <row r="136" spans="1:16">
      <c r="A136" t="s">
        <v>11321</v>
      </c>
      <c r="B136" t="s">
        <v>11321</v>
      </c>
      <c r="C136" t="s">
        <v>11367</v>
      </c>
      <c r="D136" t="s">
        <v>11394</v>
      </c>
      <c r="E136">
        <v>7635</v>
      </c>
      <c r="F136" t="s">
        <v>11402</v>
      </c>
      <c r="G136" t="str">
        <f>Config!$B$5</f>
        <v>SCH/L_ANSI.SchLib</v>
      </c>
      <c r="H136" t="s">
        <v>424</v>
      </c>
      <c r="I136" t="s">
        <v>6538</v>
      </c>
      <c r="J136" t="s">
        <v>11404</v>
      </c>
      <c r="K136" s="46">
        <v>8.2000000000000001E-5</v>
      </c>
      <c r="L136" t="s">
        <v>11403</v>
      </c>
      <c r="M136" t="s">
        <v>11394</v>
      </c>
      <c r="N136" t="s">
        <v>11274</v>
      </c>
      <c r="O136" t="s">
        <v>25</v>
      </c>
      <c r="P136" t="s">
        <v>12202</v>
      </c>
    </row>
    <row r="137" spans="1:16">
      <c r="A137" t="s">
        <v>11322</v>
      </c>
      <c r="B137" t="s">
        <v>11322</v>
      </c>
      <c r="C137" t="s">
        <v>11368</v>
      </c>
      <c r="D137" t="s">
        <v>11394</v>
      </c>
      <c r="E137">
        <v>7635</v>
      </c>
      <c r="F137" t="s">
        <v>7995</v>
      </c>
      <c r="G137" t="str">
        <f>Config!$B$5</f>
        <v>SCH/L_ANSI.SchLib</v>
      </c>
      <c r="H137" t="s">
        <v>424</v>
      </c>
      <c r="I137" t="s">
        <v>6538</v>
      </c>
      <c r="J137" t="s">
        <v>11404</v>
      </c>
      <c r="K137" s="46">
        <v>8.1999999999999998E-4</v>
      </c>
      <c r="L137" t="s">
        <v>11403</v>
      </c>
      <c r="M137" t="s">
        <v>11394</v>
      </c>
      <c r="N137" t="s">
        <v>11275</v>
      </c>
      <c r="O137" t="s">
        <v>25</v>
      </c>
      <c r="P137" t="s">
        <v>12231</v>
      </c>
    </row>
    <row r="138" spans="1:16">
      <c r="A138" t="s">
        <v>11323</v>
      </c>
      <c r="B138" t="s">
        <v>11323</v>
      </c>
      <c r="C138" t="s">
        <v>11369</v>
      </c>
      <c r="D138" t="s">
        <v>11394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11404</v>
      </c>
      <c r="K138" s="46">
        <v>8.1999999999999994E-6</v>
      </c>
      <c r="L138" t="s">
        <v>11403</v>
      </c>
      <c r="M138" t="s">
        <v>11394</v>
      </c>
      <c r="N138" t="s">
        <v>11276</v>
      </c>
      <c r="O138" t="s">
        <v>25</v>
      </c>
      <c r="P138" t="s">
        <v>12203</v>
      </c>
    </row>
    <row r="139" spans="1:16">
      <c r="A139" t="s">
        <v>11324</v>
      </c>
      <c r="B139" t="s">
        <v>11324</v>
      </c>
      <c r="C139" t="s">
        <v>11370</v>
      </c>
      <c r="D139" t="s">
        <v>11394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11404</v>
      </c>
      <c r="K139" s="46">
        <v>3.3000000000000002E-7</v>
      </c>
      <c r="L139" t="s">
        <v>11403</v>
      </c>
      <c r="M139" t="s">
        <v>11394</v>
      </c>
      <c r="N139" t="s">
        <v>11277</v>
      </c>
      <c r="O139" t="s">
        <v>25</v>
      </c>
      <c r="P139" t="s">
        <v>12232</v>
      </c>
    </row>
    <row r="140" spans="1:16">
      <c r="A140" t="s">
        <v>11325</v>
      </c>
      <c r="B140" t="s">
        <v>11325</v>
      </c>
      <c r="C140" t="s">
        <v>11371</v>
      </c>
      <c r="D140" t="s">
        <v>11394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11405</v>
      </c>
      <c r="K140" s="46">
        <v>1.0000000000000001E-5</v>
      </c>
      <c r="L140" t="s">
        <v>11403</v>
      </c>
      <c r="M140" t="s">
        <v>11394</v>
      </c>
      <c r="N140" t="s">
        <v>11278</v>
      </c>
      <c r="O140" t="s">
        <v>25</v>
      </c>
      <c r="P140" t="s">
        <v>12204</v>
      </c>
    </row>
    <row r="141" spans="1:16">
      <c r="A141" t="s">
        <v>11326</v>
      </c>
      <c r="B141" t="s">
        <v>11326</v>
      </c>
      <c r="C141" t="s">
        <v>11372</v>
      </c>
      <c r="D141" t="s">
        <v>11394</v>
      </c>
      <c r="E141">
        <v>7643</v>
      </c>
      <c r="F141" t="s">
        <v>11395</v>
      </c>
      <c r="G141" t="str">
        <f>Config!$B$5</f>
        <v>SCH/L_ANSI.SchLib</v>
      </c>
      <c r="H141" t="s">
        <v>424</v>
      </c>
      <c r="I141" t="s">
        <v>6538</v>
      </c>
      <c r="J141" t="s">
        <v>11405</v>
      </c>
      <c r="K141" s="46">
        <v>1E-4</v>
      </c>
      <c r="L141" t="s">
        <v>11403</v>
      </c>
      <c r="M141" t="s">
        <v>11394</v>
      </c>
      <c r="N141" t="s">
        <v>11279</v>
      </c>
      <c r="O141" t="s">
        <v>25</v>
      </c>
      <c r="P141" t="s">
        <v>12205</v>
      </c>
    </row>
    <row r="142" spans="1:16">
      <c r="A142" t="s">
        <v>11326</v>
      </c>
      <c r="B142" t="s">
        <v>11326</v>
      </c>
      <c r="C142" t="s">
        <v>11372</v>
      </c>
      <c r="D142" t="s">
        <v>11394</v>
      </c>
      <c r="E142">
        <v>7643</v>
      </c>
      <c r="F142" t="s">
        <v>11395</v>
      </c>
      <c r="G142" t="str">
        <f>Config!$B$5</f>
        <v>SCH/L_ANSI.SchLib</v>
      </c>
      <c r="H142" t="s">
        <v>424</v>
      </c>
      <c r="I142" t="s">
        <v>6538</v>
      </c>
      <c r="J142" t="s">
        <v>11405</v>
      </c>
      <c r="K142" s="46">
        <v>1E-4</v>
      </c>
      <c r="L142" t="s">
        <v>11403</v>
      </c>
      <c r="M142" t="s">
        <v>11394</v>
      </c>
      <c r="N142" t="s">
        <v>11280</v>
      </c>
      <c r="O142" t="s">
        <v>25</v>
      </c>
      <c r="P142" t="s">
        <v>12233</v>
      </c>
    </row>
    <row r="143" spans="1:16">
      <c r="A143" t="s">
        <v>11327</v>
      </c>
      <c r="B143" t="s">
        <v>11327</v>
      </c>
      <c r="C143" t="s">
        <v>11373</v>
      </c>
      <c r="D143" t="s">
        <v>11394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11405</v>
      </c>
      <c r="K143" s="46">
        <v>1E-3</v>
      </c>
      <c r="L143" t="s">
        <v>11403</v>
      </c>
      <c r="M143" t="s">
        <v>11394</v>
      </c>
      <c r="N143" t="s">
        <v>11281</v>
      </c>
      <c r="O143" t="s">
        <v>25</v>
      </c>
      <c r="P143" t="s">
        <v>12206</v>
      </c>
    </row>
    <row r="144" spans="1:16">
      <c r="A144" t="s">
        <v>11328</v>
      </c>
      <c r="B144" t="s">
        <v>11328</v>
      </c>
      <c r="C144" t="s">
        <v>11374</v>
      </c>
      <c r="D144" t="s">
        <v>11394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11405</v>
      </c>
      <c r="K144" s="46">
        <v>1.5E-5</v>
      </c>
      <c r="L144" t="s">
        <v>11403</v>
      </c>
      <c r="M144" t="s">
        <v>11394</v>
      </c>
      <c r="N144" t="s">
        <v>11282</v>
      </c>
      <c r="O144" t="s">
        <v>25</v>
      </c>
      <c r="P144" t="s">
        <v>12207</v>
      </c>
    </row>
    <row r="145" spans="1:24">
      <c r="A145" t="s">
        <v>11329</v>
      </c>
      <c r="B145" t="s">
        <v>11329</v>
      </c>
      <c r="C145" t="s">
        <v>11375</v>
      </c>
      <c r="D145" t="s">
        <v>11394</v>
      </c>
      <c r="E145">
        <v>7643</v>
      </c>
      <c r="F145" t="s">
        <v>11396</v>
      </c>
      <c r="G145" t="str">
        <f>Config!$B$5</f>
        <v>SCH/L_ANSI.SchLib</v>
      </c>
      <c r="H145" t="s">
        <v>424</v>
      </c>
      <c r="I145" t="s">
        <v>6538</v>
      </c>
      <c r="J145" t="s">
        <v>11405</v>
      </c>
      <c r="K145" s="46">
        <v>1.4999999999999999E-4</v>
      </c>
      <c r="L145" t="s">
        <v>11403</v>
      </c>
      <c r="M145" t="s">
        <v>11394</v>
      </c>
      <c r="N145" t="s">
        <v>11283</v>
      </c>
      <c r="O145" t="s">
        <v>25</v>
      </c>
      <c r="P145" t="s">
        <v>12208</v>
      </c>
    </row>
    <row r="146" spans="1:24">
      <c r="A146" t="s">
        <v>11330</v>
      </c>
      <c r="B146" t="s">
        <v>11330</v>
      </c>
      <c r="C146" t="s">
        <v>11376</v>
      </c>
      <c r="D146" t="s">
        <v>11394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11405</v>
      </c>
      <c r="K146" s="46">
        <v>9.9999999999999995E-7</v>
      </c>
      <c r="L146" t="s">
        <v>11403</v>
      </c>
      <c r="M146" t="s">
        <v>11394</v>
      </c>
      <c r="N146" t="s">
        <v>11284</v>
      </c>
      <c r="O146" t="s">
        <v>25</v>
      </c>
      <c r="P146" t="s">
        <v>12209</v>
      </c>
    </row>
    <row r="147" spans="1:24">
      <c r="A147" t="s">
        <v>11331</v>
      </c>
      <c r="B147" t="s">
        <v>11331</v>
      </c>
      <c r="C147" t="s">
        <v>11377</v>
      </c>
      <c r="D147" t="s">
        <v>11394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11405</v>
      </c>
      <c r="K147" s="46">
        <v>1.5E-6</v>
      </c>
      <c r="L147" t="s">
        <v>11403</v>
      </c>
      <c r="M147" t="s">
        <v>11394</v>
      </c>
      <c r="N147" t="s">
        <v>11285</v>
      </c>
      <c r="O147" t="s">
        <v>25</v>
      </c>
      <c r="P147" t="s">
        <v>12210</v>
      </c>
    </row>
    <row r="148" spans="1:24">
      <c r="A148" t="s">
        <v>11332</v>
      </c>
      <c r="B148" t="s">
        <v>11332</v>
      </c>
      <c r="C148" t="s">
        <v>11378</v>
      </c>
      <c r="D148" t="s">
        <v>11394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11405</v>
      </c>
      <c r="K148" s="46">
        <v>2.1999999999999999E-5</v>
      </c>
      <c r="L148" t="s">
        <v>11403</v>
      </c>
      <c r="M148" t="s">
        <v>11394</v>
      </c>
      <c r="N148" t="s">
        <v>11286</v>
      </c>
      <c r="O148" t="s">
        <v>25</v>
      </c>
      <c r="P148" t="s">
        <v>12211</v>
      </c>
      <c r="U148" t="s">
        <v>13617</v>
      </c>
      <c r="V148" t="s">
        <v>13615</v>
      </c>
      <c r="W148" t="s">
        <v>4559</v>
      </c>
      <c r="X148" s="26" t="s">
        <v>13616</v>
      </c>
    </row>
    <row r="149" spans="1:24">
      <c r="A149" t="s">
        <v>11333</v>
      </c>
      <c r="B149" t="s">
        <v>11333</v>
      </c>
      <c r="C149" t="s">
        <v>11379</v>
      </c>
      <c r="D149" t="s">
        <v>11394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11405</v>
      </c>
      <c r="K149" s="46">
        <v>2.2000000000000001E-4</v>
      </c>
      <c r="L149" t="s">
        <v>11403</v>
      </c>
      <c r="M149" t="s">
        <v>11394</v>
      </c>
      <c r="N149" t="s">
        <v>11287</v>
      </c>
      <c r="O149" t="s">
        <v>25</v>
      </c>
      <c r="P149" t="s">
        <v>12212</v>
      </c>
    </row>
    <row r="150" spans="1:24">
      <c r="A150" t="s">
        <v>11334</v>
      </c>
      <c r="B150" t="s">
        <v>11334</v>
      </c>
      <c r="C150" t="s">
        <v>11380</v>
      </c>
      <c r="D150" t="s">
        <v>11394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11405</v>
      </c>
      <c r="K150" s="46">
        <v>2.2000000000000001E-6</v>
      </c>
      <c r="L150" t="s">
        <v>11403</v>
      </c>
      <c r="M150" t="s">
        <v>11394</v>
      </c>
      <c r="N150" t="s">
        <v>11288</v>
      </c>
      <c r="O150" t="s">
        <v>25</v>
      </c>
      <c r="P150" t="s">
        <v>12213</v>
      </c>
    </row>
    <row r="151" spans="1:24">
      <c r="A151" t="s">
        <v>11335</v>
      </c>
      <c r="B151" t="s">
        <v>11335</v>
      </c>
      <c r="C151" t="s">
        <v>11381</v>
      </c>
      <c r="D151" t="s">
        <v>11394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11405</v>
      </c>
      <c r="K151" s="46">
        <v>3.3000000000000003E-5</v>
      </c>
      <c r="L151" t="s">
        <v>11403</v>
      </c>
      <c r="M151" t="s">
        <v>11394</v>
      </c>
      <c r="N151" t="s">
        <v>11289</v>
      </c>
      <c r="O151" t="s">
        <v>25</v>
      </c>
      <c r="P151" t="s">
        <v>12214</v>
      </c>
    </row>
    <row r="152" spans="1:24">
      <c r="A152" t="s">
        <v>11336</v>
      </c>
      <c r="B152" t="s">
        <v>11336</v>
      </c>
      <c r="C152" t="s">
        <v>11382</v>
      </c>
      <c r="D152" t="s">
        <v>11394</v>
      </c>
      <c r="E152">
        <v>7643</v>
      </c>
      <c r="F152" t="s">
        <v>11397</v>
      </c>
      <c r="G152" t="str">
        <f>Config!$B$5</f>
        <v>SCH/L_ANSI.SchLib</v>
      </c>
      <c r="H152" t="s">
        <v>424</v>
      </c>
      <c r="I152" t="s">
        <v>6538</v>
      </c>
      <c r="J152" t="s">
        <v>11405</v>
      </c>
      <c r="K152" s="46">
        <v>3.3E-4</v>
      </c>
      <c r="L152" t="s">
        <v>11403</v>
      </c>
      <c r="M152" t="s">
        <v>11394</v>
      </c>
      <c r="N152" t="s">
        <v>11290</v>
      </c>
      <c r="O152" t="s">
        <v>25</v>
      </c>
      <c r="P152" t="s">
        <v>12215</v>
      </c>
      <c r="U152" s="45" t="s">
        <v>13617</v>
      </c>
      <c r="V152" s="45" t="s">
        <v>13657</v>
      </c>
      <c r="W152" t="s">
        <v>4559</v>
      </c>
      <c r="X152" s="44" t="s">
        <v>13656</v>
      </c>
    </row>
    <row r="153" spans="1:24">
      <c r="A153" t="s">
        <v>11337</v>
      </c>
      <c r="B153" t="s">
        <v>11337</v>
      </c>
      <c r="C153" t="s">
        <v>11383</v>
      </c>
      <c r="D153" t="s">
        <v>11394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11405</v>
      </c>
      <c r="K153" s="46">
        <v>3.3000000000000002E-6</v>
      </c>
      <c r="L153" t="s">
        <v>11403</v>
      </c>
      <c r="M153" t="s">
        <v>11394</v>
      </c>
      <c r="N153" t="s">
        <v>11291</v>
      </c>
      <c r="O153" t="s">
        <v>25</v>
      </c>
      <c r="P153" t="s">
        <v>12216</v>
      </c>
    </row>
    <row r="154" spans="1:24">
      <c r="A154" t="s">
        <v>11338</v>
      </c>
      <c r="B154" t="s">
        <v>11338</v>
      </c>
      <c r="C154" t="s">
        <v>11384</v>
      </c>
      <c r="D154" t="s">
        <v>11394</v>
      </c>
      <c r="E154">
        <v>7643</v>
      </c>
      <c r="F154" t="s">
        <v>11398</v>
      </c>
      <c r="G154" t="str">
        <f>Config!$B$5</f>
        <v>SCH/L_ANSI.SchLib</v>
      </c>
      <c r="H154" t="s">
        <v>424</v>
      </c>
      <c r="I154" t="s">
        <v>6538</v>
      </c>
      <c r="J154" t="s">
        <v>11405</v>
      </c>
      <c r="K154" s="46">
        <v>4.6999999999999997E-5</v>
      </c>
      <c r="L154" t="s">
        <v>11403</v>
      </c>
      <c r="M154" t="s">
        <v>11394</v>
      </c>
      <c r="N154" t="s">
        <v>11292</v>
      </c>
      <c r="O154" t="s">
        <v>25</v>
      </c>
      <c r="P154" t="s">
        <v>12217</v>
      </c>
    </row>
    <row r="155" spans="1:24">
      <c r="A155" t="s">
        <v>11339</v>
      </c>
      <c r="B155" t="s">
        <v>11339</v>
      </c>
      <c r="C155" t="s">
        <v>11385</v>
      </c>
      <c r="D155" t="s">
        <v>11394</v>
      </c>
      <c r="E155">
        <v>7643</v>
      </c>
      <c r="F155" t="s">
        <v>11399</v>
      </c>
      <c r="G155" t="str">
        <f>Config!$B$5</f>
        <v>SCH/L_ANSI.SchLib</v>
      </c>
      <c r="H155" t="s">
        <v>424</v>
      </c>
      <c r="I155" t="s">
        <v>6538</v>
      </c>
      <c r="J155" t="s">
        <v>11405</v>
      </c>
      <c r="K155" s="46">
        <v>4.6999999999999999E-4</v>
      </c>
      <c r="L155" t="s">
        <v>11403</v>
      </c>
      <c r="M155" t="s">
        <v>11394</v>
      </c>
      <c r="N155" t="s">
        <v>11293</v>
      </c>
      <c r="O155" t="s">
        <v>25</v>
      </c>
      <c r="P155" t="s">
        <v>12218</v>
      </c>
    </row>
    <row r="156" spans="1:24">
      <c r="A156" t="s">
        <v>11340</v>
      </c>
      <c r="B156" t="s">
        <v>11340</v>
      </c>
      <c r="C156" t="s">
        <v>11386</v>
      </c>
      <c r="D156" t="s">
        <v>11394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11405</v>
      </c>
      <c r="K156" s="46">
        <v>4.6999999999999999E-6</v>
      </c>
      <c r="L156" t="s">
        <v>11403</v>
      </c>
      <c r="M156" t="s">
        <v>11394</v>
      </c>
      <c r="N156" t="s">
        <v>11294</v>
      </c>
      <c r="O156" t="s">
        <v>25</v>
      </c>
      <c r="P156" t="s">
        <v>12219</v>
      </c>
    </row>
    <row r="157" spans="1:24">
      <c r="A157" t="s">
        <v>11341</v>
      </c>
      <c r="B157" t="s">
        <v>11341</v>
      </c>
      <c r="C157" t="s">
        <v>11387</v>
      </c>
      <c r="D157" t="s">
        <v>11394</v>
      </c>
      <c r="E157">
        <v>7643</v>
      </c>
      <c r="F157" t="s">
        <v>11400</v>
      </c>
      <c r="G157" t="str">
        <f>Config!$B$5</f>
        <v>SCH/L_ANSI.SchLib</v>
      </c>
      <c r="H157" t="s">
        <v>424</v>
      </c>
      <c r="I157" t="s">
        <v>6538</v>
      </c>
      <c r="J157" t="s">
        <v>11405</v>
      </c>
      <c r="K157" s="46">
        <v>6.7999999999999999E-5</v>
      </c>
      <c r="L157" t="s">
        <v>11403</v>
      </c>
      <c r="M157" t="s">
        <v>11394</v>
      </c>
      <c r="N157" t="s">
        <v>11295</v>
      </c>
      <c r="O157" t="s">
        <v>25</v>
      </c>
      <c r="P157" t="s">
        <v>12220</v>
      </c>
    </row>
    <row r="158" spans="1:24">
      <c r="A158" t="s">
        <v>11342</v>
      </c>
      <c r="B158" t="s">
        <v>11342</v>
      </c>
      <c r="C158" t="s">
        <v>11388</v>
      </c>
      <c r="D158" t="s">
        <v>11394</v>
      </c>
      <c r="E158">
        <v>7643</v>
      </c>
      <c r="F158" t="s">
        <v>11401</v>
      </c>
      <c r="G158" t="str">
        <f>Config!$B$5</f>
        <v>SCH/L_ANSI.SchLib</v>
      </c>
      <c r="H158" t="s">
        <v>424</v>
      </c>
      <c r="I158" t="s">
        <v>6538</v>
      </c>
      <c r="J158" t="s">
        <v>11405</v>
      </c>
      <c r="K158" s="46">
        <v>6.8000000000000005E-4</v>
      </c>
      <c r="L158" t="s">
        <v>11403</v>
      </c>
      <c r="M158" t="s">
        <v>11394</v>
      </c>
      <c r="N158" t="s">
        <v>11296</v>
      </c>
      <c r="O158" t="s">
        <v>25</v>
      </c>
      <c r="P158" t="s">
        <v>12221</v>
      </c>
    </row>
    <row r="159" spans="1:24">
      <c r="A159" t="s">
        <v>11343</v>
      </c>
      <c r="B159" t="s">
        <v>11343</v>
      </c>
      <c r="C159" t="s">
        <v>11389</v>
      </c>
      <c r="D159" t="s">
        <v>11394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11405</v>
      </c>
      <c r="K159" s="46">
        <v>6.8000000000000001E-6</v>
      </c>
      <c r="L159" t="s">
        <v>11403</v>
      </c>
      <c r="M159" t="s">
        <v>11394</v>
      </c>
      <c r="N159" t="s">
        <v>11297</v>
      </c>
      <c r="O159" t="s">
        <v>25</v>
      </c>
      <c r="P159" t="s">
        <v>12222</v>
      </c>
    </row>
    <row r="160" spans="1:24">
      <c r="A160" t="s">
        <v>11344</v>
      </c>
      <c r="B160" t="s">
        <v>11344</v>
      </c>
      <c r="C160" t="s">
        <v>11390</v>
      </c>
      <c r="D160" t="s">
        <v>11394</v>
      </c>
      <c r="E160">
        <v>7643</v>
      </c>
      <c r="F160" t="s">
        <v>11402</v>
      </c>
      <c r="G160" t="str">
        <f>Config!$B$5</f>
        <v>SCH/L_ANSI.SchLib</v>
      </c>
      <c r="H160" t="s">
        <v>424</v>
      </c>
      <c r="I160" t="s">
        <v>6538</v>
      </c>
      <c r="J160" t="s">
        <v>11405</v>
      </c>
      <c r="K160" s="46">
        <v>8.2000000000000001E-5</v>
      </c>
      <c r="L160" t="s">
        <v>11403</v>
      </c>
      <c r="M160" t="s">
        <v>11394</v>
      </c>
      <c r="N160" t="s">
        <v>11298</v>
      </c>
      <c r="O160" t="s">
        <v>25</v>
      </c>
      <c r="P160" t="s">
        <v>12223</v>
      </c>
    </row>
    <row r="161" spans="1:24">
      <c r="A161" t="s">
        <v>11345</v>
      </c>
      <c r="B161" t="s">
        <v>11345</v>
      </c>
      <c r="C161" t="s">
        <v>11391</v>
      </c>
      <c r="D161" t="s">
        <v>11394</v>
      </c>
      <c r="E161">
        <v>7643</v>
      </c>
      <c r="F161" t="s">
        <v>7995</v>
      </c>
      <c r="G161" t="str">
        <f>Config!$B$5</f>
        <v>SCH/L_ANSI.SchLib</v>
      </c>
      <c r="H161" t="s">
        <v>424</v>
      </c>
      <c r="I161" t="s">
        <v>6538</v>
      </c>
      <c r="J161" t="s">
        <v>11405</v>
      </c>
      <c r="K161" s="46">
        <v>8.1999999999999998E-4</v>
      </c>
      <c r="L161" t="s">
        <v>11403</v>
      </c>
      <c r="M161" t="s">
        <v>11394</v>
      </c>
      <c r="N161" t="s">
        <v>11299</v>
      </c>
      <c r="O161" t="s">
        <v>25</v>
      </c>
      <c r="P161" t="s">
        <v>12224</v>
      </c>
    </row>
    <row r="162" spans="1:24">
      <c r="A162" t="s">
        <v>11346</v>
      </c>
      <c r="B162" t="s">
        <v>11346</v>
      </c>
      <c r="C162" t="s">
        <v>11392</v>
      </c>
      <c r="D162" t="s">
        <v>11394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11405</v>
      </c>
      <c r="K162" s="46">
        <v>8.1999999999999994E-6</v>
      </c>
      <c r="L162" t="s">
        <v>11403</v>
      </c>
      <c r="M162" t="s">
        <v>11394</v>
      </c>
      <c r="N162" t="s">
        <v>11300</v>
      </c>
      <c r="O162" t="s">
        <v>25</v>
      </c>
      <c r="P162" t="s">
        <v>12234</v>
      </c>
    </row>
    <row r="163" spans="1:24">
      <c r="A163" t="s">
        <v>11347</v>
      </c>
      <c r="B163" t="s">
        <v>11347</v>
      </c>
      <c r="C163" t="s">
        <v>11393</v>
      </c>
      <c r="D163" t="s">
        <v>11394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11405</v>
      </c>
      <c r="K163" s="46">
        <v>3.3000000000000002E-7</v>
      </c>
      <c r="L163" s="26" t="s">
        <v>11403</v>
      </c>
      <c r="M163" t="s">
        <v>11394</v>
      </c>
      <c r="N163" t="s">
        <v>11301</v>
      </c>
      <c r="O163" t="s">
        <v>25</v>
      </c>
      <c r="P163" t="s">
        <v>12225</v>
      </c>
    </row>
    <row r="164" spans="1:24">
      <c r="A164" t="s">
        <v>13284</v>
      </c>
      <c r="B164" t="s">
        <v>13284</v>
      </c>
      <c r="C164" t="s">
        <v>13229</v>
      </c>
      <c r="D164" t="s">
        <v>4546</v>
      </c>
      <c r="E164">
        <v>603</v>
      </c>
      <c r="F164" t="s">
        <v>13271</v>
      </c>
      <c r="G164" t="str">
        <f>Config!$B$5</f>
        <v>SCH/L_ANSI.SchLib</v>
      </c>
      <c r="H164" t="s">
        <v>424</v>
      </c>
      <c r="I164" t="s">
        <v>461</v>
      </c>
      <c r="J164" t="s">
        <v>13206</v>
      </c>
      <c r="K164" s="46">
        <v>2.7000000000000001E-7</v>
      </c>
      <c r="L164" t="s">
        <v>13207</v>
      </c>
      <c r="M164" t="s">
        <v>4546</v>
      </c>
      <c r="N164" t="s">
        <v>13250</v>
      </c>
      <c r="O164" t="s">
        <v>25</v>
      </c>
      <c r="P164" t="s">
        <v>13208</v>
      </c>
    </row>
    <row r="165" spans="1:24">
      <c r="A165" t="s">
        <v>13285</v>
      </c>
      <c r="B165" t="s">
        <v>13285</v>
      </c>
      <c r="C165" t="s">
        <v>13230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13206</v>
      </c>
      <c r="K165" s="46">
        <v>9.9999999999999995E-7</v>
      </c>
      <c r="L165" t="s">
        <v>13207</v>
      </c>
      <c r="M165" t="s">
        <v>4546</v>
      </c>
      <c r="N165" t="s">
        <v>13251</v>
      </c>
      <c r="O165" t="s">
        <v>25</v>
      </c>
      <c r="P165" t="s">
        <v>13209</v>
      </c>
    </row>
    <row r="166" spans="1:24">
      <c r="A166" t="s">
        <v>13286</v>
      </c>
      <c r="B166" t="s">
        <v>13286</v>
      </c>
      <c r="C166" t="s">
        <v>13231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13206</v>
      </c>
      <c r="K166" s="46">
        <v>6.7999999999999995E-7</v>
      </c>
      <c r="L166" t="s">
        <v>13207</v>
      </c>
      <c r="M166" t="s">
        <v>4546</v>
      </c>
      <c r="N166" t="s">
        <v>13252</v>
      </c>
      <c r="O166" t="s">
        <v>25</v>
      </c>
      <c r="P166" t="s">
        <v>13210</v>
      </c>
    </row>
    <row r="167" spans="1:24">
      <c r="A167" t="s">
        <v>13287</v>
      </c>
      <c r="B167" t="s">
        <v>13287</v>
      </c>
      <c r="C167" t="s">
        <v>13232</v>
      </c>
      <c r="D167" t="s">
        <v>4546</v>
      </c>
      <c r="E167">
        <v>603</v>
      </c>
      <c r="F167" t="s">
        <v>13272</v>
      </c>
      <c r="G167" t="str">
        <f>Config!$B$5</f>
        <v>SCH/L_ANSI.SchLib</v>
      </c>
      <c r="H167" t="s">
        <v>424</v>
      </c>
      <c r="I167" t="s">
        <v>461</v>
      </c>
      <c r="J167" t="s">
        <v>13206</v>
      </c>
      <c r="K167" s="46">
        <v>1.1999999999999999E-6</v>
      </c>
      <c r="L167" t="s">
        <v>13207</v>
      </c>
      <c r="M167" t="s">
        <v>4546</v>
      </c>
      <c r="N167" t="s">
        <v>13253</v>
      </c>
      <c r="O167" t="s">
        <v>25</v>
      </c>
      <c r="P167" t="s">
        <v>13211</v>
      </c>
    </row>
    <row r="168" spans="1:24">
      <c r="A168" t="s">
        <v>13288</v>
      </c>
      <c r="B168" t="s">
        <v>13288</v>
      </c>
      <c r="C168" t="s">
        <v>13233</v>
      </c>
      <c r="D168" t="s">
        <v>4546</v>
      </c>
      <c r="E168">
        <v>603</v>
      </c>
      <c r="F168" t="s">
        <v>13273</v>
      </c>
      <c r="G168" t="str">
        <f>Config!$B$5</f>
        <v>SCH/L_ANSI.SchLib</v>
      </c>
      <c r="H168" t="s">
        <v>424</v>
      </c>
      <c r="I168" t="s">
        <v>461</v>
      </c>
      <c r="J168" t="s">
        <v>13206</v>
      </c>
      <c r="K168" s="46">
        <v>5.6000000000000004E-7</v>
      </c>
      <c r="L168" t="s">
        <v>13207</v>
      </c>
      <c r="M168" t="s">
        <v>4546</v>
      </c>
      <c r="N168" t="s">
        <v>13254</v>
      </c>
      <c r="O168" t="s">
        <v>25</v>
      </c>
      <c r="P168" t="s">
        <v>13212</v>
      </c>
      <c r="U168" t="s">
        <v>4592</v>
      </c>
      <c r="V168" t="s">
        <v>13305</v>
      </c>
      <c r="W168" t="s">
        <v>4559</v>
      </c>
      <c r="X168" t="s">
        <v>13306</v>
      </c>
    </row>
    <row r="169" spans="1:24">
      <c r="A169" t="s">
        <v>13289</v>
      </c>
      <c r="B169" t="s">
        <v>13289</v>
      </c>
      <c r="C169" t="s">
        <v>13234</v>
      </c>
      <c r="D169" t="s">
        <v>4546</v>
      </c>
      <c r="E169">
        <v>603</v>
      </c>
      <c r="F169" t="s">
        <v>13274</v>
      </c>
      <c r="G169" t="str">
        <f>Config!$B$5</f>
        <v>SCH/L_ANSI.SchLib</v>
      </c>
      <c r="H169" t="s">
        <v>424</v>
      </c>
      <c r="I169" t="s">
        <v>461</v>
      </c>
      <c r="J169" t="s">
        <v>13206</v>
      </c>
      <c r="K169" s="46">
        <v>8.1999999999999998E-7</v>
      </c>
      <c r="L169" t="s">
        <v>13207</v>
      </c>
      <c r="M169" t="s">
        <v>4546</v>
      </c>
      <c r="N169" t="s">
        <v>13255</v>
      </c>
      <c r="O169" t="s">
        <v>25</v>
      </c>
      <c r="P169" t="s">
        <v>13213</v>
      </c>
    </row>
    <row r="170" spans="1:24">
      <c r="A170" t="s">
        <v>13290</v>
      </c>
      <c r="B170" t="s">
        <v>13290</v>
      </c>
      <c r="C170" t="s">
        <v>13235</v>
      </c>
      <c r="D170" t="s">
        <v>4546</v>
      </c>
      <c r="E170">
        <v>603</v>
      </c>
      <c r="F170" t="s">
        <v>13275</v>
      </c>
      <c r="G170" t="str">
        <f>Config!$B$5</f>
        <v>SCH/L_ANSI.SchLib</v>
      </c>
      <c r="H170" t="s">
        <v>424</v>
      </c>
      <c r="I170" t="s">
        <v>461</v>
      </c>
      <c r="J170" t="s">
        <v>13206</v>
      </c>
      <c r="K170" s="46">
        <v>1.7999999999999999E-6</v>
      </c>
      <c r="L170" t="s">
        <v>13207</v>
      </c>
      <c r="M170" t="s">
        <v>4546</v>
      </c>
      <c r="N170" t="s">
        <v>13256</v>
      </c>
      <c r="O170" t="s">
        <v>25</v>
      </c>
      <c r="P170" t="s">
        <v>13214</v>
      </c>
    </row>
    <row r="171" spans="1:24">
      <c r="A171" t="s">
        <v>13291</v>
      </c>
      <c r="B171" t="s">
        <v>13291</v>
      </c>
      <c r="C171" t="s">
        <v>13236</v>
      </c>
      <c r="D171" t="s">
        <v>4546</v>
      </c>
      <c r="E171">
        <v>603</v>
      </c>
      <c r="F171" t="s">
        <v>13276</v>
      </c>
      <c r="G171" t="str">
        <f>Config!$B$5</f>
        <v>SCH/L_ANSI.SchLib</v>
      </c>
      <c r="H171" t="s">
        <v>424</v>
      </c>
      <c r="I171" t="s">
        <v>461</v>
      </c>
      <c r="J171" t="s">
        <v>13206</v>
      </c>
      <c r="K171" s="46">
        <v>9.9999999999999995E-8</v>
      </c>
      <c r="L171" t="s">
        <v>13207</v>
      </c>
      <c r="M171" t="s">
        <v>4546</v>
      </c>
      <c r="N171" t="s">
        <v>13257</v>
      </c>
      <c r="O171" t="s">
        <v>25</v>
      </c>
      <c r="P171" t="s">
        <v>13215</v>
      </c>
    </row>
    <row r="172" spans="1:24">
      <c r="A172" t="s">
        <v>13292</v>
      </c>
      <c r="B172" t="s">
        <v>13292</v>
      </c>
      <c r="C172" t="s">
        <v>13237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13206</v>
      </c>
      <c r="K172" s="46">
        <v>4.7E-7</v>
      </c>
      <c r="L172" t="s">
        <v>13207</v>
      </c>
      <c r="M172" t="s">
        <v>4546</v>
      </c>
      <c r="N172" t="s">
        <v>13258</v>
      </c>
      <c r="O172" t="s">
        <v>25</v>
      </c>
      <c r="P172" t="s">
        <v>13216</v>
      </c>
    </row>
    <row r="173" spans="1:24">
      <c r="A173" t="s">
        <v>13293</v>
      </c>
      <c r="B173" t="s">
        <v>13293</v>
      </c>
      <c r="C173" t="s">
        <v>13238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13206</v>
      </c>
      <c r="K173" s="46">
        <v>2.2000000000000001E-6</v>
      </c>
      <c r="L173" t="s">
        <v>13207</v>
      </c>
      <c r="M173" t="s">
        <v>4546</v>
      </c>
      <c r="N173" t="s">
        <v>13259</v>
      </c>
      <c r="O173" t="s">
        <v>25</v>
      </c>
      <c r="P173" t="s">
        <v>13217</v>
      </c>
    </row>
    <row r="174" spans="1:24">
      <c r="A174" t="s">
        <v>13294</v>
      </c>
      <c r="B174" t="s">
        <v>13294</v>
      </c>
      <c r="C174" t="s">
        <v>13239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13206</v>
      </c>
      <c r="K174" s="46">
        <v>2.2000000000000001E-7</v>
      </c>
      <c r="L174" t="s">
        <v>13207</v>
      </c>
      <c r="M174" t="s">
        <v>4546</v>
      </c>
      <c r="N174" t="s">
        <v>13260</v>
      </c>
      <c r="O174" t="s">
        <v>25</v>
      </c>
      <c r="P174" t="s">
        <v>13218</v>
      </c>
    </row>
    <row r="175" spans="1:24">
      <c r="A175" t="s">
        <v>13295</v>
      </c>
      <c r="B175" t="s">
        <v>13295</v>
      </c>
      <c r="C175" t="s">
        <v>13240</v>
      </c>
      <c r="D175" t="s">
        <v>4546</v>
      </c>
      <c r="E175">
        <v>603</v>
      </c>
      <c r="F175" t="s">
        <v>13277</v>
      </c>
      <c r="G175" t="str">
        <f>Config!$B$5</f>
        <v>SCH/L_ANSI.SchLib</v>
      </c>
      <c r="H175" t="s">
        <v>424</v>
      </c>
      <c r="I175" t="s">
        <v>461</v>
      </c>
      <c r="J175" t="s">
        <v>13206</v>
      </c>
      <c r="K175" s="46">
        <v>1.1999999999999999E-7</v>
      </c>
      <c r="L175" t="s">
        <v>13207</v>
      </c>
      <c r="M175" t="s">
        <v>4546</v>
      </c>
      <c r="N175" t="s">
        <v>13261</v>
      </c>
      <c r="O175" t="s">
        <v>25</v>
      </c>
      <c r="P175" t="s">
        <v>13219</v>
      </c>
    </row>
    <row r="176" spans="1:24">
      <c r="A176" t="s">
        <v>13296</v>
      </c>
      <c r="B176" t="s">
        <v>13296</v>
      </c>
      <c r="C176" t="s">
        <v>13241</v>
      </c>
      <c r="D176" t="s">
        <v>4546</v>
      </c>
      <c r="E176">
        <v>603</v>
      </c>
      <c r="F176" t="s">
        <v>13278</v>
      </c>
      <c r="G176" t="str">
        <f>Config!$B$5</f>
        <v>SCH/L_ANSI.SchLib</v>
      </c>
      <c r="H176" t="s">
        <v>424</v>
      </c>
      <c r="I176" t="s">
        <v>461</v>
      </c>
      <c r="J176" t="s">
        <v>13206</v>
      </c>
      <c r="K176" s="46">
        <v>6.8E-8</v>
      </c>
      <c r="L176" t="s">
        <v>13207</v>
      </c>
      <c r="M176" t="s">
        <v>4546</v>
      </c>
      <c r="N176" t="s">
        <v>13262</v>
      </c>
      <c r="O176" t="s">
        <v>25</v>
      </c>
      <c r="P176" t="s">
        <v>13220</v>
      </c>
    </row>
    <row r="177" spans="1:25">
      <c r="A177" t="s">
        <v>13297</v>
      </c>
      <c r="B177" t="s">
        <v>13297</v>
      </c>
      <c r="C177" t="s">
        <v>13242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13206</v>
      </c>
      <c r="K177" s="46">
        <v>1.5E-6</v>
      </c>
      <c r="L177" t="s">
        <v>13207</v>
      </c>
      <c r="M177" t="s">
        <v>4546</v>
      </c>
      <c r="N177" t="s">
        <v>13263</v>
      </c>
      <c r="O177" t="s">
        <v>25</v>
      </c>
      <c r="P177" t="s">
        <v>13221</v>
      </c>
    </row>
    <row r="178" spans="1:25">
      <c r="A178" t="s">
        <v>13298</v>
      </c>
      <c r="B178" t="s">
        <v>13298</v>
      </c>
      <c r="C178" t="s">
        <v>13243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13206</v>
      </c>
      <c r="K178" s="46">
        <v>3.3000000000000002E-7</v>
      </c>
      <c r="L178" t="s">
        <v>13207</v>
      </c>
      <c r="M178" t="s">
        <v>4546</v>
      </c>
      <c r="N178" t="s">
        <v>13264</v>
      </c>
      <c r="O178" t="s">
        <v>25</v>
      </c>
      <c r="P178" t="s">
        <v>13222</v>
      </c>
    </row>
    <row r="179" spans="1:25">
      <c r="A179" t="s">
        <v>13299</v>
      </c>
      <c r="B179" t="s">
        <v>13299</v>
      </c>
      <c r="C179" t="s">
        <v>13244</v>
      </c>
      <c r="D179" t="s">
        <v>4546</v>
      </c>
      <c r="E179">
        <v>603</v>
      </c>
      <c r="F179" t="s">
        <v>13279</v>
      </c>
      <c r="G179" t="str">
        <f>Config!$B$5</f>
        <v>SCH/L_ANSI.SchLib</v>
      </c>
      <c r="H179" t="s">
        <v>424</v>
      </c>
      <c r="I179" t="s">
        <v>461</v>
      </c>
      <c r="J179" t="s">
        <v>13206</v>
      </c>
      <c r="K179" s="46">
        <v>2.7E-6</v>
      </c>
      <c r="L179" t="s">
        <v>13207</v>
      </c>
      <c r="M179" t="s">
        <v>4546</v>
      </c>
      <c r="N179" t="s">
        <v>13265</v>
      </c>
      <c r="O179" t="s">
        <v>25</v>
      </c>
      <c r="P179" t="s">
        <v>13223</v>
      </c>
    </row>
    <row r="180" spans="1:25">
      <c r="A180" t="s">
        <v>13300</v>
      </c>
      <c r="B180" t="s">
        <v>13300</v>
      </c>
      <c r="C180" t="s">
        <v>13245</v>
      </c>
      <c r="D180" t="s">
        <v>4546</v>
      </c>
      <c r="E180">
        <v>603</v>
      </c>
      <c r="F180" t="s">
        <v>13280</v>
      </c>
      <c r="G180" t="str">
        <f>Config!$B$5</f>
        <v>SCH/L_ANSI.SchLib</v>
      </c>
      <c r="H180" t="s">
        <v>424</v>
      </c>
      <c r="I180" t="s">
        <v>461</v>
      </c>
      <c r="J180" t="s">
        <v>13206</v>
      </c>
      <c r="K180" s="46">
        <v>4.6999999999999997E-8</v>
      </c>
      <c r="L180" t="s">
        <v>13207</v>
      </c>
      <c r="M180" t="s">
        <v>4546</v>
      </c>
      <c r="N180" t="s">
        <v>13266</v>
      </c>
      <c r="O180" t="s">
        <v>25</v>
      </c>
      <c r="P180" t="s">
        <v>13224</v>
      </c>
    </row>
    <row r="181" spans="1:25">
      <c r="A181" t="s">
        <v>13301</v>
      </c>
      <c r="B181" t="s">
        <v>13301</v>
      </c>
      <c r="C181" t="s">
        <v>13246</v>
      </c>
      <c r="D181" t="s">
        <v>4546</v>
      </c>
      <c r="E181">
        <v>603</v>
      </c>
      <c r="F181" t="s">
        <v>13281</v>
      </c>
      <c r="G181" t="str">
        <f>Config!$B$5</f>
        <v>SCH/L_ANSI.SchLib</v>
      </c>
      <c r="H181" t="s">
        <v>424</v>
      </c>
      <c r="I181" t="s">
        <v>461</v>
      </c>
      <c r="J181" t="s">
        <v>13206</v>
      </c>
      <c r="K181" s="46">
        <v>8.2000000000000006E-8</v>
      </c>
      <c r="L181" t="s">
        <v>13207</v>
      </c>
      <c r="M181" t="s">
        <v>4546</v>
      </c>
      <c r="N181" t="s">
        <v>13267</v>
      </c>
      <c r="O181" t="s">
        <v>25</v>
      </c>
      <c r="P181" t="s">
        <v>13225</v>
      </c>
    </row>
    <row r="182" spans="1:25">
      <c r="A182" t="s">
        <v>13302</v>
      </c>
      <c r="B182" t="s">
        <v>13302</v>
      </c>
      <c r="C182" t="s">
        <v>13247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13206</v>
      </c>
      <c r="K182" s="46">
        <v>1.4999999999999999E-7</v>
      </c>
      <c r="L182" t="s">
        <v>13207</v>
      </c>
      <c r="M182" t="s">
        <v>4546</v>
      </c>
      <c r="N182" t="s">
        <v>13268</v>
      </c>
      <c r="O182" t="s">
        <v>25</v>
      </c>
      <c r="P182" t="s">
        <v>13226</v>
      </c>
    </row>
    <row r="183" spans="1:25">
      <c r="A183" t="s">
        <v>13303</v>
      </c>
      <c r="B183" t="s">
        <v>13303</v>
      </c>
      <c r="C183" t="s">
        <v>13248</v>
      </c>
      <c r="D183" t="s">
        <v>4546</v>
      </c>
      <c r="E183">
        <v>603</v>
      </c>
      <c r="F183" t="s">
        <v>13282</v>
      </c>
      <c r="G183" t="str">
        <f>Config!$B$5</f>
        <v>SCH/L_ANSI.SchLib</v>
      </c>
      <c r="H183" t="s">
        <v>424</v>
      </c>
      <c r="I183" t="s">
        <v>461</v>
      </c>
      <c r="J183" t="s">
        <v>13206</v>
      </c>
      <c r="K183" s="46">
        <v>1.8E-7</v>
      </c>
      <c r="L183" t="s">
        <v>13207</v>
      </c>
      <c r="M183" t="s">
        <v>4546</v>
      </c>
      <c r="N183" t="s">
        <v>13269</v>
      </c>
      <c r="O183" t="s">
        <v>25</v>
      </c>
      <c r="P183" t="s">
        <v>13227</v>
      </c>
    </row>
    <row r="184" spans="1:25">
      <c r="A184" t="s">
        <v>13304</v>
      </c>
      <c r="B184" t="s">
        <v>13304</v>
      </c>
      <c r="C184" t="s">
        <v>13249</v>
      </c>
      <c r="D184" t="s">
        <v>4546</v>
      </c>
      <c r="E184">
        <v>603</v>
      </c>
      <c r="F184" t="s">
        <v>13283</v>
      </c>
      <c r="G184" t="str">
        <f>Config!$B$5</f>
        <v>SCH/L_ANSI.SchLib</v>
      </c>
      <c r="H184" t="s">
        <v>424</v>
      </c>
      <c r="I184" t="s">
        <v>461</v>
      </c>
      <c r="J184" t="s">
        <v>13206</v>
      </c>
      <c r="K184" s="46">
        <v>3.9000000000000002E-7</v>
      </c>
      <c r="L184" t="s">
        <v>13207</v>
      </c>
      <c r="M184" t="s">
        <v>4546</v>
      </c>
      <c r="N184" t="s">
        <v>13270</v>
      </c>
      <c r="O184" t="s">
        <v>25</v>
      </c>
      <c r="P184" t="s">
        <v>13228</v>
      </c>
    </row>
    <row r="185" spans="1:25">
      <c r="A185" t="s">
        <v>13348</v>
      </c>
      <c r="B185" t="s">
        <v>13348</v>
      </c>
      <c r="C185" t="s">
        <v>13347</v>
      </c>
      <c r="D185" t="s">
        <v>13342</v>
      </c>
      <c r="E185">
        <v>4040</v>
      </c>
      <c r="F185" t="s">
        <v>11398</v>
      </c>
      <c r="G185" t="str">
        <f>Config!$B$5</f>
        <v>SCH/L_ANSI.SchLib</v>
      </c>
      <c r="H185" t="s">
        <v>424</v>
      </c>
      <c r="I185" t="s">
        <v>6538</v>
      </c>
      <c r="J185" t="s">
        <v>13343</v>
      </c>
      <c r="K185" s="46">
        <v>4.6999999999999997E-5</v>
      </c>
      <c r="L185" t="s">
        <v>13346</v>
      </c>
      <c r="M185" t="s">
        <v>13342</v>
      </c>
      <c r="N185" t="s">
        <v>13345</v>
      </c>
      <c r="O185" t="s">
        <v>25</v>
      </c>
      <c r="P185" t="s">
        <v>13344</v>
      </c>
      <c r="U185" t="s">
        <v>13342</v>
      </c>
      <c r="V185" t="s">
        <v>13345</v>
      </c>
      <c r="W185" t="s">
        <v>4559</v>
      </c>
      <c r="X185" t="s">
        <v>13349</v>
      </c>
    </row>
    <row r="186" spans="1:25">
      <c r="A186" t="s">
        <v>14125</v>
      </c>
      <c r="B186" t="s">
        <v>14125</v>
      </c>
      <c r="C186" t="s">
        <v>14587</v>
      </c>
      <c r="E186" t="s">
        <v>14121</v>
      </c>
      <c r="G186" t="str">
        <f>Config!$B$5</f>
        <v>SCH/L_ANSI.SchLib</v>
      </c>
      <c r="H186" t="s">
        <v>14122</v>
      </c>
      <c r="I186" t="s">
        <v>14123</v>
      </c>
      <c r="J186" t="s">
        <v>14124</v>
      </c>
    </row>
    <row r="187" spans="1:25">
      <c r="A187" t="s">
        <v>14622</v>
      </c>
      <c r="B187" t="s">
        <v>14622</v>
      </c>
      <c r="C187" t="s">
        <v>14626</v>
      </c>
      <c r="D187" t="s">
        <v>14588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14738</v>
      </c>
      <c r="K187" s="46">
        <v>9.9999999999999995E-7</v>
      </c>
      <c r="L187" t="s">
        <v>14614</v>
      </c>
      <c r="U187" t="s">
        <v>14592</v>
      </c>
      <c r="V187" t="s">
        <v>14636</v>
      </c>
      <c r="W187" t="s">
        <v>4559</v>
      </c>
      <c r="X187" t="s">
        <v>14641</v>
      </c>
      <c r="Y187" t="s">
        <v>4727</v>
      </c>
    </row>
    <row r="188" spans="1:25">
      <c r="A188" t="s">
        <v>14623</v>
      </c>
      <c r="B188" t="s">
        <v>14623</v>
      </c>
      <c r="C188" t="s">
        <v>14627</v>
      </c>
      <c r="D188" t="s">
        <v>14588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14738</v>
      </c>
      <c r="K188" s="46">
        <v>1.5E-6</v>
      </c>
      <c r="L188" t="s">
        <v>14614</v>
      </c>
      <c r="U188" t="s">
        <v>14592</v>
      </c>
      <c r="V188" t="s">
        <v>14637</v>
      </c>
      <c r="W188" t="s">
        <v>4559</v>
      </c>
      <c r="X188" t="s">
        <v>14638</v>
      </c>
      <c r="Y188" t="s">
        <v>4727</v>
      </c>
    </row>
    <row r="189" spans="1:25">
      <c r="A189" t="s">
        <v>14624</v>
      </c>
      <c r="B189" t="s">
        <v>14624</v>
      </c>
      <c r="C189" t="s">
        <v>14628</v>
      </c>
      <c r="D189" t="s">
        <v>14588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14738</v>
      </c>
      <c r="K189" s="46">
        <v>2.2000000000000001E-6</v>
      </c>
      <c r="L189" t="s">
        <v>14614</v>
      </c>
      <c r="U189" t="s">
        <v>14592</v>
      </c>
      <c r="V189" t="s">
        <v>14639</v>
      </c>
      <c r="W189" t="s">
        <v>4559</v>
      </c>
      <c r="X189" t="s">
        <v>14640</v>
      </c>
      <c r="Y189" t="s">
        <v>4727</v>
      </c>
    </row>
    <row r="190" spans="1:25">
      <c r="A190" t="s">
        <v>14621</v>
      </c>
      <c r="B190" t="s">
        <v>14621</v>
      </c>
      <c r="C190" t="s">
        <v>14625</v>
      </c>
      <c r="D190" t="s">
        <v>14588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14738</v>
      </c>
      <c r="K190" s="46">
        <v>3.3000000000000002E-6</v>
      </c>
      <c r="L190" t="s">
        <v>14614</v>
      </c>
      <c r="U190" t="s">
        <v>14592</v>
      </c>
      <c r="V190" t="s">
        <v>14642</v>
      </c>
      <c r="W190" t="s">
        <v>4559</v>
      </c>
      <c r="X190" t="s">
        <v>14643</v>
      </c>
      <c r="Y190" t="s">
        <v>4727</v>
      </c>
    </row>
    <row r="191" spans="1:25">
      <c r="A191" t="s">
        <v>14620</v>
      </c>
      <c r="B191" t="s">
        <v>14620</v>
      </c>
      <c r="C191" t="s">
        <v>14629</v>
      </c>
      <c r="D191" t="s">
        <v>14588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14738</v>
      </c>
      <c r="K191" s="46">
        <v>4.6999999999999999E-6</v>
      </c>
      <c r="L191" t="s">
        <v>14614</v>
      </c>
      <c r="U191" t="s">
        <v>14592</v>
      </c>
      <c r="V191" t="s">
        <v>14644</v>
      </c>
      <c r="W191" t="s">
        <v>4559</v>
      </c>
      <c r="X191" t="s">
        <v>14645</v>
      </c>
      <c r="Y191" t="s">
        <v>4727</v>
      </c>
    </row>
    <row r="192" spans="1:25">
      <c r="A192" t="s">
        <v>14619</v>
      </c>
      <c r="B192" t="s">
        <v>14619</v>
      </c>
      <c r="C192" t="s">
        <v>14630</v>
      </c>
      <c r="D192" t="s">
        <v>14588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14738</v>
      </c>
      <c r="K192" s="46">
        <v>6.8000000000000001E-6</v>
      </c>
      <c r="L192" t="s">
        <v>14614</v>
      </c>
      <c r="U192" t="s">
        <v>14592</v>
      </c>
      <c r="V192" t="s">
        <v>14646</v>
      </c>
      <c r="W192" t="s">
        <v>4559</v>
      </c>
      <c r="X192" t="s">
        <v>14647</v>
      </c>
      <c r="Y192" t="s">
        <v>4727</v>
      </c>
    </row>
    <row r="193" spans="1:25">
      <c r="A193" t="s">
        <v>14583</v>
      </c>
      <c r="B193" t="s">
        <v>14583</v>
      </c>
      <c r="C193" t="s">
        <v>14632</v>
      </c>
      <c r="D193" t="s">
        <v>14588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14738</v>
      </c>
      <c r="K193" s="46">
        <v>1.0000000000000001E-5</v>
      </c>
      <c r="L193" t="s">
        <v>14614</v>
      </c>
      <c r="U193" t="s">
        <v>14592</v>
      </c>
      <c r="V193" t="s">
        <v>14593</v>
      </c>
      <c r="W193" t="s">
        <v>4559</v>
      </c>
      <c r="X193" t="s">
        <v>14594</v>
      </c>
      <c r="Y193" t="s">
        <v>4727</v>
      </c>
    </row>
    <row r="194" spans="1:25">
      <c r="A194" t="s">
        <v>14617</v>
      </c>
      <c r="B194" t="s">
        <v>14617</v>
      </c>
      <c r="C194" t="s">
        <v>14631</v>
      </c>
      <c r="D194" t="s">
        <v>14588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14738</v>
      </c>
      <c r="K194" s="46">
        <v>1.5E-5</v>
      </c>
      <c r="L194" t="s">
        <v>14614</v>
      </c>
      <c r="U194" t="s">
        <v>14592</v>
      </c>
      <c r="V194" t="s">
        <v>14648</v>
      </c>
      <c r="W194" t="s">
        <v>4559</v>
      </c>
      <c r="X194" t="s">
        <v>14649</v>
      </c>
      <c r="Y194" t="s">
        <v>4727</v>
      </c>
    </row>
    <row r="195" spans="1:25">
      <c r="A195" t="s">
        <v>14618</v>
      </c>
      <c r="B195" t="s">
        <v>14618</v>
      </c>
      <c r="C195" t="s">
        <v>14633</v>
      </c>
      <c r="D195" t="s">
        <v>14588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14738</v>
      </c>
      <c r="K195" s="46">
        <v>2.1999999999999999E-5</v>
      </c>
      <c r="L195" t="s">
        <v>14614</v>
      </c>
      <c r="U195" t="s">
        <v>14592</v>
      </c>
      <c r="V195" t="s">
        <v>14650</v>
      </c>
      <c r="W195" t="s">
        <v>4559</v>
      </c>
      <c r="X195" t="s">
        <v>14651</v>
      </c>
      <c r="Y195" t="s">
        <v>4727</v>
      </c>
    </row>
    <row r="196" spans="1:25">
      <c r="A196" t="s">
        <v>14616</v>
      </c>
      <c r="B196" t="s">
        <v>14616</v>
      </c>
      <c r="C196" t="s">
        <v>14634</v>
      </c>
      <c r="D196" t="s">
        <v>14588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14738</v>
      </c>
      <c r="K196" s="46">
        <v>3.3000000000000003E-5</v>
      </c>
      <c r="L196" t="s">
        <v>14614</v>
      </c>
      <c r="U196" t="s">
        <v>14592</v>
      </c>
      <c r="V196" t="s">
        <v>14652</v>
      </c>
      <c r="W196" t="s">
        <v>4559</v>
      </c>
      <c r="X196" t="s">
        <v>14653</v>
      </c>
      <c r="Y196" t="s">
        <v>4727</v>
      </c>
    </row>
    <row r="197" spans="1:25">
      <c r="A197" t="s">
        <v>14615</v>
      </c>
      <c r="B197" t="s">
        <v>14615</v>
      </c>
      <c r="C197" t="s">
        <v>14635</v>
      </c>
      <c r="D197" t="s">
        <v>14588</v>
      </c>
      <c r="E197">
        <v>1350</v>
      </c>
      <c r="F197" t="s">
        <v>11398</v>
      </c>
      <c r="G197" t="str">
        <f>Config!$B$5</f>
        <v>SCH/L_ANSI.SchLib</v>
      </c>
      <c r="H197" t="s">
        <v>424</v>
      </c>
      <c r="I197" t="s">
        <v>6538</v>
      </c>
      <c r="J197" t="s">
        <v>14738</v>
      </c>
      <c r="K197" s="46">
        <v>4.6999999999999997E-5</v>
      </c>
      <c r="L197" t="s">
        <v>14614</v>
      </c>
      <c r="U197" t="s">
        <v>14592</v>
      </c>
      <c r="V197" t="s">
        <v>14654</v>
      </c>
      <c r="W197" t="s">
        <v>4559</v>
      </c>
      <c r="X197" t="s">
        <v>14655</v>
      </c>
      <c r="Y197" t="s">
        <v>4727</v>
      </c>
    </row>
    <row r="198" spans="1:25">
      <c r="A198" t="s">
        <v>14661</v>
      </c>
      <c r="B198" t="s">
        <v>14661</v>
      </c>
      <c r="C198" t="s">
        <v>14657</v>
      </c>
      <c r="D198" t="s">
        <v>14588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14739</v>
      </c>
      <c r="K198" s="46">
        <v>1.5E-6</v>
      </c>
      <c r="L198" t="s">
        <v>14656</v>
      </c>
      <c r="U198" t="s">
        <v>14592</v>
      </c>
      <c r="V198" t="s">
        <v>14664</v>
      </c>
      <c r="W198" t="s">
        <v>4559</v>
      </c>
      <c r="X198" t="s">
        <v>14665</v>
      </c>
      <c r="Y198" t="s">
        <v>4727</v>
      </c>
    </row>
    <row r="199" spans="1:25">
      <c r="A199" t="s">
        <v>14584</v>
      </c>
      <c r="B199" t="s">
        <v>14584</v>
      </c>
      <c r="C199" t="s">
        <v>14658</v>
      </c>
      <c r="D199" t="s">
        <v>14588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14739</v>
      </c>
      <c r="K199" s="46">
        <v>1.0000000000000001E-5</v>
      </c>
      <c r="L199" t="s">
        <v>14656</v>
      </c>
      <c r="U199" t="s">
        <v>14592</v>
      </c>
      <c r="V199" t="s">
        <v>14595</v>
      </c>
      <c r="W199" t="s">
        <v>4559</v>
      </c>
      <c r="X199" t="s">
        <v>14596</v>
      </c>
      <c r="Y199" t="s">
        <v>4727</v>
      </c>
    </row>
    <row r="200" spans="1:25">
      <c r="A200" t="s">
        <v>14662</v>
      </c>
      <c r="B200" t="s">
        <v>14662</v>
      </c>
      <c r="C200" t="s">
        <v>14659</v>
      </c>
      <c r="D200" t="s">
        <v>14588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14739</v>
      </c>
      <c r="K200" s="46">
        <v>1.5E-5</v>
      </c>
      <c r="L200" t="s">
        <v>14656</v>
      </c>
      <c r="U200" t="s">
        <v>14592</v>
      </c>
      <c r="V200" t="s">
        <v>14666</v>
      </c>
      <c r="W200" t="s">
        <v>4559</v>
      </c>
      <c r="X200" t="s">
        <v>14667</v>
      </c>
      <c r="Y200" t="s">
        <v>4727</v>
      </c>
    </row>
    <row r="201" spans="1:25">
      <c r="A201" t="s">
        <v>14663</v>
      </c>
      <c r="B201" t="s">
        <v>14663</v>
      </c>
      <c r="C201" t="s">
        <v>14660</v>
      </c>
      <c r="D201" t="s">
        <v>14588</v>
      </c>
      <c r="E201">
        <v>1360</v>
      </c>
      <c r="F201" t="s">
        <v>11398</v>
      </c>
      <c r="G201" t="str">
        <f>Config!$B$5</f>
        <v>SCH/L_ANSI.SchLib</v>
      </c>
      <c r="H201" t="s">
        <v>424</v>
      </c>
      <c r="I201" t="s">
        <v>6538</v>
      </c>
      <c r="J201" t="s">
        <v>14739</v>
      </c>
      <c r="K201" s="46">
        <v>4.6999999999999997E-5</v>
      </c>
      <c r="L201" t="s">
        <v>14656</v>
      </c>
      <c r="U201" t="s">
        <v>14592</v>
      </c>
      <c r="V201" t="s">
        <v>14668</v>
      </c>
      <c r="W201" t="s">
        <v>4559</v>
      </c>
      <c r="X201" t="s">
        <v>14669</v>
      </c>
      <c r="Y201" t="s">
        <v>4727</v>
      </c>
    </row>
    <row r="202" spans="1:25">
      <c r="A202" t="s">
        <v>14670</v>
      </c>
      <c r="B202" t="s">
        <v>14670</v>
      </c>
      <c r="C202" t="s">
        <v>14692</v>
      </c>
      <c r="D202" t="s">
        <v>14588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14740</v>
      </c>
      <c r="K202" s="46">
        <v>4.7E-7</v>
      </c>
      <c r="L202" t="s">
        <v>14691</v>
      </c>
      <c r="U202" t="s">
        <v>14592</v>
      </c>
      <c r="V202" t="s">
        <v>14693</v>
      </c>
      <c r="W202" t="s">
        <v>4559</v>
      </c>
      <c r="X202" t="s">
        <v>14694</v>
      </c>
      <c r="Y202" t="s">
        <v>4727</v>
      </c>
    </row>
    <row r="203" spans="1:25">
      <c r="A203" t="s">
        <v>14671</v>
      </c>
      <c r="B203" t="s">
        <v>14671</v>
      </c>
      <c r="C203" t="s">
        <v>14680</v>
      </c>
      <c r="D203" t="s">
        <v>14588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14740</v>
      </c>
      <c r="K203" s="46">
        <v>9.9999999999999995E-7</v>
      </c>
      <c r="L203" t="s">
        <v>14691</v>
      </c>
      <c r="U203" t="s">
        <v>14592</v>
      </c>
      <c r="V203" t="s">
        <v>14695</v>
      </c>
      <c r="W203" t="s">
        <v>4559</v>
      </c>
      <c r="X203" t="s">
        <v>14696</v>
      </c>
      <c r="Y203" t="s">
        <v>4727</v>
      </c>
    </row>
    <row r="204" spans="1:25">
      <c r="A204" t="s">
        <v>14672</v>
      </c>
      <c r="B204" t="s">
        <v>14672</v>
      </c>
      <c r="C204" t="s">
        <v>14681</v>
      </c>
      <c r="D204" t="s">
        <v>14588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14740</v>
      </c>
      <c r="K204" s="46">
        <v>1.5E-6</v>
      </c>
      <c r="L204" t="s">
        <v>14691</v>
      </c>
      <c r="U204" t="s">
        <v>14592</v>
      </c>
      <c r="V204" t="s">
        <v>14697</v>
      </c>
      <c r="W204" t="s">
        <v>4559</v>
      </c>
      <c r="X204" t="s">
        <v>14698</v>
      </c>
      <c r="Y204" t="s">
        <v>4727</v>
      </c>
    </row>
    <row r="205" spans="1:25">
      <c r="A205" t="s">
        <v>14673</v>
      </c>
      <c r="B205" t="s">
        <v>14673</v>
      </c>
      <c r="C205" t="s">
        <v>14682</v>
      </c>
      <c r="D205" t="s">
        <v>14588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14740</v>
      </c>
      <c r="K205" s="46">
        <v>2.2000000000000001E-6</v>
      </c>
      <c r="L205" t="s">
        <v>14691</v>
      </c>
      <c r="U205" t="s">
        <v>14592</v>
      </c>
      <c r="V205" t="s">
        <v>14699</v>
      </c>
      <c r="W205" t="s">
        <v>4559</v>
      </c>
      <c r="X205" t="s">
        <v>14700</v>
      </c>
      <c r="Y205" t="s">
        <v>4727</v>
      </c>
    </row>
    <row r="206" spans="1:25">
      <c r="A206" t="s">
        <v>14674</v>
      </c>
      <c r="B206" t="s">
        <v>14674</v>
      </c>
      <c r="C206" t="s">
        <v>14683</v>
      </c>
      <c r="D206" t="s">
        <v>14588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14740</v>
      </c>
      <c r="K206" s="46">
        <v>3.3000000000000002E-6</v>
      </c>
      <c r="L206" t="s">
        <v>14691</v>
      </c>
      <c r="U206" t="s">
        <v>14592</v>
      </c>
      <c r="V206" t="s">
        <v>14701</v>
      </c>
      <c r="W206" t="s">
        <v>4559</v>
      </c>
      <c r="X206" t="s">
        <v>14702</v>
      </c>
      <c r="Y206" t="s">
        <v>4727</v>
      </c>
    </row>
    <row r="207" spans="1:25">
      <c r="A207" t="s">
        <v>14675</v>
      </c>
      <c r="B207" t="s">
        <v>14675</v>
      </c>
      <c r="C207" t="s">
        <v>14684</v>
      </c>
      <c r="D207" t="s">
        <v>14588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14740</v>
      </c>
      <c r="K207" s="46">
        <v>4.6999999999999999E-6</v>
      </c>
      <c r="L207" t="s">
        <v>14691</v>
      </c>
      <c r="U207" t="s">
        <v>14592</v>
      </c>
      <c r="V207" t="s">
        <v>14703</v>
      </c>
      <c r="W207" t="s">
        <v>4559</v>
      </c>
      <c r="X207" t="s">
        <v>14704</v>
      </c>
      <c r="Y207" t="s">
        <v>4727</v>
      </c>
    </row>
    <row r="208" spans="1:25">
      <c r="A208" t="s">
        <v>14676</v>
      </c>
      <c r="B208" t="s">
        <v>14676</v>
      </c>
      <c r="C208" t="s">
        <v>14685</v>
      </c>
      <c r="D208" t="s">
        <v>14588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14740</v>
      </c>
      <c r="K208" s="46">
        <v>6.8000000000000001E-6</v>
      </c>
      <c r="L208" t="s">
        <v>14691</v>
      </c>
      <c r="U208" t="s">
        <v>14592</v>
      </c>
      <c r="V208" t="s">
        <v>14705</v>
      </c>
      <c r="W208" t="s">
        <v>4559</v>
      </c>
      <c r="X208" t="s">
        <v>14706</v>
      </c>
      <c r="Y208" t="s">
        <v>4727</v>
      </c>
    </row>
    <row r="209" spans="1:25">
      <c r="A209" t="s">
        <v>14585</v>
      </c>
      <c r="B209" t="s">
        <v>14585</v>
      </c>
      <c r="C209" t="s">
        <v>14689</v>
      </c>
      <c r="D209" t="s">
        <v>14588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14740</v>
      </c>
      <c r="K209" s="46">
        <v>1.0000000000000001E-5</v>
      </c>
      <c r="L209" t="s">
        <v>14691</v>
      </c>
      <c r="U209" t="s">
        <v>14592</v>
      </c>
      <c r="V209" t="s">
        <v>14597</v>
      </c>
      <c r="W209" t="s">
        <v>4559</v>
      </c>
      <c r="X209" t="s">
        <v>14598</v>
      </c>
      <c r="Y209" t="s">
        <v>4727</v>
      </c>
    </row>
    <row r="210" spans="1:25">
      <c r="A210" t="s">
        <v>14611</v>
      </c>
      <c r="B210" t="s">
        <v>14611</v>
      </c>
      <c r="C210" t="s">
        <v>14690</v>
      </c>
      <c r="D210" t="s">
        <v>14588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14740</v>
      </c>
      <c r="K210" s="46">
        <v>1.5E-5</v>
      </c>
      <c r="L210" t="s">
        <v>14691</v>
      </c>
      <c r="U210" t="s">
        <v>14592</v>
      </c>
      <c r="V210" t="s">
        <v>14612</v>
      </c>
      <c r="W210" t="s">
        <v>4559</v>
      </c>
      <c r="X210" t="s">
        <v>14613</v>
      </c>
      <c r="Y210" t="s">
        <v>4727</v>
      </c>
    </row>
    <row r="211" spans="1:25">
      <c r="A211" t="s">
        <v>14677</v>
      </c>
      <c r="B211" t="s">
        <v>14677</v>
      </c>
      <c r="C211" t="s">
        <v>14686</v>
      </c>
      <c r="D211" t="s">
        <v>14588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14740</v>
      </c>
      <c r="K211" s="46">
        <v>2.1999999999999999E-5</v>
      </c>
      <c r="L211" t="s">
        <v>14691</v>
      </c>
      <c r="U211" t="s">
        <v>14592</v>
      </c>
      <c r="V211" t="s">
        <v>14707</v>
      </c>
      <c r="W211" t="s">
        <v>4559</v>
      </c>
      <c r="X211" t="s">
        <v>14708</v>
      </c>
      <c r="Y211" t="s">
        <v>4727</v>
      </c>
    </row>
    <row r="212" spans="1:25">
      <c r="A212" t="s">
        <v>14678</v>
      </c>
      <c r="B212" t="s">
        <v>14678</v>
      </c>
      <c r="C212" t="s">
        <v>14687</v>
      </c>
      <c r="D212" t="s">
        <v>14588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14740</v>
      </c>
      <c r="K212" s="46">
        <v>3.3000000000000003E-5</v>
      </c>
      <c r="L212" t="s">
        <v>14691</v>
      </c>
      <c r="U212" t="s">
        <v>14592</v>
      </c>
      <c r="V212" t="s">
        <v>14709</v>
      </c>
      <c r="W212" t="s">
        <v>4559</v>
      </c>
      <c r="X212" t="s">
        <v>14710</v>
      </c>
      <c r="Y212" t="s">
        <v>4727</v>
      </c>
    </row>
    <row r="213" spans="1:25">
      <c r="A213" t="s">
        <v>14679</v>
      </c>
      <c r="B213" t="s">
        <v>14679</v>
      </c>
      <c r="C213" t="s">
        <v>14688</v>
      </c>
      <c r="D213" t="s">
        <v>14588</v>
      </c>
      <c r="E213">
        <v>1365</v>
      </c>
      <c r="F213" t="s">
        <v>11398</v>
      </c>
      <c r="G213" t="str">
        <f>Config!$B$5</f>
        <v>SCH/L_ANSI.SchLib</v>
      </c>
      <c r="H213" t="s">
        <v>424</v>
      </c>
      <c r="I213" t="s">
        <v>6538</v>
      </c>
      <c r="J213" t="s">
        <v>14740</v>
      </c>
      <c r="K213" s="46">
        <v>4.6999999999999997E-5</v>
      </c>
      <c r="L213" t="s">
        <v>14691</v>
      </c>
      <c r="U213" t="s">
        <v>14592</v>
      </c>
      <c r="V213" t="s">
        <v>14711</v>
      </c>
      <c r="W213" t="s">
        <v>4559</v>
      </c>
      <c r="X213" t="s">
        <v>14712</v>
      </c>
      <c r="Y213" t="s">
        <v>4727</v>
      </c>
    </row>
    <row r="214" spans="1:25">
      <c r="A214" t="s">
        <v>14713</v>
      </c>
      <c r="B214" t="s">
        <v>14713</v>
      </c>
      <c r="C214" t="s">
        <v>14718</v>
      </c>
      <c r="D214" t="s">
        <v>6395</v>
      </c>
      <c r="E214" t="s">
        <v>14589</v>
      </c>
      <c r="F214" t="s">
        <v>6803</v>
      </c>
      <c r="G214" t="str">
        <f>Config!$B$5</f>
        <v>SCH/L_ANSI.SchLib</v>
      </c>
      <c r="H214" t="s">
        <v>14742</v>
      </c>
      <c r="I214" t="s">
        <v>6538</v>
      </c>
      <c r="J214" t="s">
        <v>14741</v>
      </c>
      <c r="K214" s="46">
        <v>3.3000000000000002E-6</v>
      </c>
      <c r="L214" t="s">
        <v>14723</v>
      </c>
      <c r="U214" t="s">
        <v>6395</v>
      </c>
      <c r="V214" t="s">
        <v>14728</v>
      </c>
      <c r="W214" t="s">
        <v>4559</v>
      </c>
      <c r="X214" t="s">
        <v>14729</v>
      </c>
      <c r="Y214" t="s">
        <v>4727</v>
      </c>
    </row>
    <row r="215" spans="1:25">
      <c r="A215" t="s">
        <v>14714</v>
      </c>
      <c r="B215" t="s">
        <v>14714</v>
      </c>
      <c r="C215" t="s">
        <v>14719</v>
      </c>
      <c r="D215" t="s">
        <v>6395</v>
      </c>
      <c r="E215" t="s">
        <v>14589</v>
      </c>
      <c r="F215" t="s">
        <v>4588</v>
      </c>
      <c r="G215" t="str">
        <f>Config!$B$5</f>
        <v>SCH/L_ANSI.SchLib</v>
      </c>
      <c r="H215" t="s">
        <v>14742</v>
      </c>
      <c r="I215" t="s">
        <v>6538</v>
      </c>
      <c r="J215" t="s">
        <v>14741</v>
      </c>
      <c r="K215" s="46">
        <v>4.6999999999999999E-6</v>
      </c>
      <c r="L215" t="s">
        <v>14724</v>
      </c>
      <c r="U215" t="s">
        <v>6395</v>
      </c>
      <c r="V215" t="s">
        <v>14730</v>
      </c>
      <c r="W215" t="s">
        <v>4559</v>
      </c>
      <c r="X215" t="s">
        <v>14731</v>
      </c>
      <c r="Y215" t="s">
        <v>4727</v>
      </c>
    </row>
    <row r="216" spans="1:25">
      <c r="A216" t="s">
        <v>14715</v>
      </c>
      <c r="B216" t="s">
        <v>14715</v>
      </c>
      <c r="C216" t="s">
        <v>14720</v>
      </c>
      <c r="D216" t="s">
        <v>6395</v>
      </c>
      <c r="E216" t="s">
        <v>14589</v>
      </c>
      <c r="F216" t="s">
        <v>6934</v>
      </c>
      <c r="G216" t="str">
        <f>Config!$B$5</f>
        <v>SCH/L_ANSI.SchLib</v>
      </c>
      <c r="H216" t="s">
        <v>14742</v>
      </c>
      <c r="I216" t="s">
        <v>6538</v>
      </c>
      <c r="J216" t="s">
        <v>14741</v>
      </c>
      <c r="K216" s="46">
        <v>6.8000000000000001E-6</v>
      </c>
      <c r="L216" t="s">
        <v>14725</v>
      </c>
      <c r="U216" t="s">
        <v>6395</v>
      </c>
      <c r="V216" t="s">
        <v>14732</v>
      </c>
      <c r="W216" t="s">
        <v>4559</v>
      </c>
      <c r="X216" t="s">
        <v>14733</v>
      </c>
      <c r="Y216" t="s">
        <v>4727</v>
      </c>
    </row>
    <row r="217" spans="1:25">
      <c r="A217" t="s">
        <v>14716</v>
      </c>
      <c r="B217" t="s">
        <v>14716</v>
      </c>
      <c r="C217" t="s">
        <v>14721</v>
      </c>
      <c r="D217" t="s">
        <v>6395</v>
      </c>
      <c r="E217" t="s">
        <v>14589</v>
      </c>
      <c r="F217" t="s">
        <v>6902</v>
      </c>
      <c r="G217" t="str">
        <f>Config!$B$5</f>
        <v>SCH/L_ANSI.SchLib</v>
      </c>
      <c r="H217" t="s">
        <v>14742</v>
      </c>
      <c r="I217" t="s">
        <v>6538</v>
      </c>
      <c r="J217" t="s">
        <v>14741</v>
      </c>
      <c r="K217" s="46">
        <v>8.1999999999999994E-6</v>
      </c>
      <c r="L217" t="s">
        <v>14726</v>
      </c>
      <c r="U217" t="s">
        <v>6395</v>
      </c>
      <c r="V217" t="s">
        <v>14734</v>
      </c>
      <c r="W217" t="s">
        <v>4559</v>
      </c>
      <c r="X217" t="s">
        <v>14735</v>
      </c>
      <c r="Y217" t="s">
        <v>4727</v>
      </c>
    </row>
    <row r="218" spans="1:25">
      <c r="A218" t="s">
        <v>14586</v>
      </c>
      <c r="B218" t="s">
        <v>14586</v>
      </c>
      <c r="C218" t="s">
        <v>14590</v>
      </c>
      <c r="D218" t="s">
        <v>6395</v>
      </c>
      <c r="E218" t="s">
        <v>14589</v>
      </c>
      <c r="F218" t="s">
        <v>6784</v>
      </c>
      <c r="G218" t="str">
        <f>Config!$B$5</f>
        <v>SCH/L_ANSI.SchLib</v>
      </c>
      <c r="H218" t="s">
        <v>14742</v>
      </c>
      <c r="I218" t="s">
        <v>6538</v>
      </c>
      <c r="J218" t="s">
        <v>14741</v>
      </c>
      <c r="K218" s="46">
        <v>1.0000000000000001E-5</v>
      </c>
      <c r="L218" t="s">
        <v>14591</v>
      </c>
      <c r="U218" t="s">
        <v>6395</v>
      </c>
      <c r="V218" t="s">
        <v>14599</v>
      </c>
      <c r="W218" t="s">
        <v>4559</v>
      </c>
      <c r="X218" t="s">
        <v>14600</v>
      </c>
      <c r="Y218" t="s">
        <v>4727</v>
      </c>
    </row>
    <row r="219" spans="1:25">
      <c r="A219" t="s">
        <v>14607</v>
      </c>
      <c r="B219" t="s">
        <v>14607</v>
      </c>
      <c r="C219" t="s">
        <v>14609</v>
      </c>
      <c r="D219" t="s">
        <v>6395</v>
      </c>
      <c r="E219" t="s">
        <v>14589</v>
      </c>
      <c r="F219" t="s">
        <v>6723</v>
      </c>
      <c r="G219" t="str">
        <f>Config!$B$5</f>
        <v>SCH/L_ANSI.SchLib</v>
      </c>
      <c r="H219" t="s">
        <v>14742</v>
      </c>
      <c r="I219" t="s">
        <v>6538</v>
      </c>
      <c r="J219" t="s">
        <v>14741</v>
      </c>
      <c r="K219" s="46">
        <v>1.5E-5</v>
      </c>
      <c r="L219" t="s">
        <v>14605</v>
      </c>
      <c r="U219" t="s">
        <v>6395</v>
      </c>
      <c r="V219" t="s">
        <v>14601</v>
      </c>
      <c r="W219" t="s">
        <v>4559</v>
      </c>
      <c r="X219" t="s">
        <v>14604</v>
      </c>
      <c r="Y219" t="s">
        <v>4727</v>
      </c>
    </row>
    <row r="220" spans="1:25">
      <c r="A220" t="s">
        <v>14608</v>
      </c>
      <c r="B220" t="s">
        <v>14608</v>
      </c>
      <c r="C220" t="s">
        <v>14610</v>
      </c>
      <c r="D220" t="s">
        <v>6395</v>
      </c>
      <c r="E220" t="s">
        <v>14589</v>
      </c>
      <c r="F220" t="s">
        <v>6852</v>
      </c>
      <c r="G220" t="str">
        <f>Config!$B$5</f>
        <v>SCH/L_ANSI.SchLib</v>
      </c>
      <c r="H220" t="s">
        <v>14742</v>
      </c>
      <c r="I220" t="s">
        <v>6538</v>
      </c>
      <c r="J220" t="s">
        <v>14741</v>
      </c>
      <c r="K220" s="46">
        <v>2.1999999999999999E-5</v>
      </c>
      <c r="L220" t="s">
        <v>14606</v>
      </c>
      <c r="U220" t="s">
        <v>6395</v>
      </c>
      <c r="V220" t="s">
        <v>14602</v>
      </c>
      <c r="W220" t="s">
        <v>4559</v>
      </c>
      <c r="X220" t="s">
        <v>14603</v>
      </c>
      <c r="Y220" t="s">
        <v>4727</v>
      </c>
    </row>
    <row r="221" spans="1:25">
      <c r="A221" t="s">
        <v>14717</v>
      </c>
      <c r="B221" t="s">
        <v>14717</v>
      </c>
      <c r="C221" t="s">
        <v>14722</v>
      </c>
      <c r="D221" t="s">
        <v>6395</v>
      </c>
      <c r="E221" t="s">
        <v>14589</v>
      </c>
      <c r="F221" t="s">
        <v>6853</v>
      </c>
      <c r="G221" t="str">
        <f>Config!$B$5</f>
        <v>SCH/L_ANSI.SchLib</v>
      </c>
      <c r="H221" t="s">
        <v>14742</v>
      </c>
      <c r="I221" t="s">
        <v>6538</v>
      </c>
      <c r="J221" t="s">
        <v>14741</v>
      </c>
      <c r="K221" s="46">
        <v>3.3000000000000003E-5</v>
      </c>
      <c r="L221" t="s">
        <v>14727</v>
      </c>
      <c r="U221" t="s">
        <v>6395</v>
      </c>
      <c r="V221" t="s">
        <v>14736</v>
      </c>
      <c r="W221" t="s">
        <v>4559</v>
      </c>
      <c r="X221" t="s">
        <v>14737</v>
      </c>
      <c r="Y221" t="s">
        <v>4727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G582" activePane="bottomRight" state="frozen"/>
      <selection pane="topRight" activeCell="C1" sqref="C1"/>
      <selection pane="bottomLeft" activeCell="A2" sqref="A2"/>
      <selection pane="bottomRight" activeCell="L614" sqref="L614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12705</v>
      </c>
      <c r="O504" t="s">
        <v>7645</v>
      </c>
      <c r="P504" t="s">
        <v>12706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13642</v>
      </c>
      <c r="V516" s="9" t="s">
        <v>7065</v>
      </c>
      <c r="W516" t="s">
        <v>4559</v>
      </c>
      <c r="X516" s="9" t="s">
        <v>13641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13594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13595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8508</v>
      </c>
      <c r="B610" t="s">
        <v>8508</v>
      </c>
      <c r="C610" t="s">
        <v>8509</v>
      </c>
      <c r="D610" t="s">
        <v>8510</v>
      </c>
      <c r="E610">
        <v>3528</v>
      </c>
      <c r="F610" t="s">
        <v>8508</v>
      </c>
      <c r="G610" t="s">
        <v>2671</v>
      </c>
      <c r="H610" t="s">
        <v>4272</v>
      </c>
      <c r="I610" t="s">
        <v>3870</v>
      </c>
      <c r="J610" t="s">
        <v>8511</v>
      </c>
      <c r="K610" t="s">
        <v>8512</v>
      </c>
      <c r="L610" t="s">
        <v>8513</v>
      </c>
      <c r="M610" t="s">
        <v>8510</v>
      </c>
      <c r="N610" t="s">
        <v>8508</v>
      </c>
      <c r="O610" t="s">
        <v>7645</v>
      </c>
      <c r="P610" t="s">
        <v>8514</v>
      </c>
    </row>
    <row r="611" spans="1:25">
      <c r="A611" t="s">
        <v>10775</v>
      </c>
      <c r="B611" t="s">
        <v>10775</v>
      </c>
      <c r="C611" t="s">
        <v>10776</v>
      </c>
      <c r="D611" t="s">
        <v>10680</v>
      </c>
      <c r="E611" t="s">
        <v>2968</v>
      </c>
      <c r="F611" t="s">
        <v>10775</v>
      </c>
      <c r="G611" t="s">
        <v>2671</v>
      </c>
      <c r="H611" t="s">
        <v>426</v>
      </c>
      <c r="I611" t="s">
        <v>4237</v>
      </c>
      <c r="J611" t="s">
        <v>2969</v>
      </c>
      <c r="K611" t="s">
        <v>10778</v>
      </c>
      <c r="L611" t="s">
        <v>10779</v>
      </c>
      <c r="M611" t="s">
        <v>7939</v>
      </c>
      <c r="N611" t="s">
        <v>10775</v>
      </c>
      <c r="O611" t="s">
        <v>7645</v>
      </c>
      <c r="P611" t="s">
        <v>10780</v>
      </c>
      <c r="U611" t="s">
        <v>7939</v>
      </c>
      <c r="V611" t="s">
        <v>10775</v>
      </c>
      <c r="W611" t="s">
        <v>4559</v>
      </c>
      <c r="X611" t="s">
        <v>10781</v>
      </c>
      <c r="Y611" t="s">
        <v>4727</v>
      </c>
    </row>
    <row r="612" spans="1:25">
      <c r="A612" t="s">
        <v>10777</v>
      </c>
      <c r="B612" t="s">
        <v>10777</v>
      </c>
      <c r="C612" t="s">
        <v>10776</v>
      </c>
      <c r="D612" t="s">
        <v>10680</v>
      </c>
      <c r="E612" t="s">
        <v>3258</v>
      </c>
      <c r="F612" t="s">
        <v>10777</v>
      </c>
      <c r="G612" t="s">
        <v>2671</v>
      </c>
      <c r="H612" t="s">
        <v>426</v>
      </c>
      <c r="I612" t="s">
        <v>4237</v>
      </c>
      <c r="J612" t="s">
        <v>3259</v>
      </c>
      <c r="K612" t="s">
        <v>10778</v>
      </c>
      <c r="L612" t="s">
        <v>10779</v>
      </c>
      <c r="M612" t="s">
        <v>7939</v>
      </c>
      <c r="N612" t="s">
        <v>10777</v>
      </c>
      <c r="O612" t="s">
        <v>7645</v>
      </c>
      <c r="P612" t="s">
        <v>10782</v>
      </c>
      <c r="U612" t="s">
        <v>7939</v>
      </c>
      <c r="V612" t="s">
        <v>10777</v>
      </c>
      <c r="W612" t="s">
        <v>4559</v>
      </c>
      <c r="X612" t="s">
        <v>10783</v>
      </c>
      <c r="Y612" t="s">
        <v>4727</v>
      </c>
    </row>
    <row r="613" spans="1:25">
      <c r="A613" t="s">
        <v>10792</v>
      </c>
      <c r="B613" t="s">
        <v>10792</v>
      </c>
      <c r="C613" t="s">
        <v>10793</v>
      </c>
      <c r="D613" t="s">
        <v>10794</v>
      </c>
      <c r="E613" t="s">
        <v>10795</v>
      </c>
      <c r="F613" t="s">
        <v>10796</v>
      </c>
      <c r="G613" t="s">
        <v>2671</v>
      </c>
      <c r="H613" t="s">
        <v>10797</v>
      </c>
      <c r="I613" t="s">
        <v>6704</v>
      </c>
      <c r="J613" t="s">
        <v>12555</v>
      </c>
      <c r="L613" t="s">
        <v>14572</v>
      </c>
      <c r="M613" t="s">
        <v>10794</v>
      </c>
      <c r="N613" t="s">
        <v>10796</v>
      </c>
      <c r="O613" t="s">
        <v>7645</v>
      </c>
      <c r="P613" t="s">
        <v>10798</v>
      </c>
    </row>
    <row r="614" spans="1:25">
      <c r="A614" t="s">
        <v>6279</v>
      </c>
      <c r="B614" t="s">
        <v>6279</v>
      </c>
      <c r="C614" t="s">
        <v>11161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11163</v>
      </c>
      <c r="M614" t="s">
        <v>6737</v>
      </c>
      <c r="N614" t="s">
        <v>11160</v>
      </c>
      <c r="O614" t="s">
        <v>7645</v>
      </c>
      <c r="P614" t="s">
        <v>11162</v>
      </c>
      <c r="U614" t="s">
        <v>11165</v>
      </c>
      <c r="V614" t="s">
        <v>11164</v>
      </c>
      <c r="W614" t="s">
        <v>4559</v>
      </c>
      <c r="X614" t="s">
        <v>11166</v>
      </c>
    </row>
    <row r="615" spans="1:25">
      <c r="A615" t="s">
        <v>14094</v>
      </c>
      <c r="B615" t="s">
        <v>14094</v>
      </c>
      <c r="C615" t="s">
        <v>14096</v>
      </c>
      <c r="D615" t="s">
        <v>6218</v>
      </c>
      <c r="E615" t="s">
        <v>4721</v>
      </c>
      <c r="F615" t="s">
        <v>14094</v>
      </c>
      <c r="G615" t="s">
        <v>2671</v>
      </c>
      <c r="H615" t="s">
        <v>426</v>
      </c>
      <c r="I615" t="s">
        <v>2672</v>
      </c>
      <c r="J615" t="s">
        <v>4723</v>
      </c>
      <c r="K615" t="s">
        <v>10778</v>
      </c>
      <c r="L615" t="s">
        <v>14100</v>
      </c>
      <c r="M615" t="s">
        <v>6218</v>
      </c>
      <c r="N615" t="s">
        <v>14094</v>
      </c>
      <c r="O615" t="s">
        <v>7645</v>
      </c>
      <c r="P615" t="s">
        <v>14102</v>
      </c>
      <c r="U615" t="s">
        <v>14104</v>
      </c>
      <c r="V615" t="s">
        <v>14094</v>
      </c>
      <c r="W615" t="s">
        <v>4559</v>
      </c>
      <c r="X615" t="s">
        <v>14105</v>
      </c>
      <c r="Y615" t="s">
        <v>4727</v>
      </c>
    </row>
    <row r="616" spans="1:25">
      <c r="A616" t="s">
        <v>14095</v>
      </c>
      <c r="B616" t="s">
        <v>14095</v>
      </c>
      <c r="C616" t="s">
        <v>14097</v>
      </c>
      <c r="D616" t="s">
        <v>14098</v>
      </c>
      <c r="E616" t="s">
        <v>4721</v>
      </c>
      <c r="F616" t="s">
        <v>14095</v>
      </c>
      <c r="G616" t="s">
        <v>2671</v>
      </c>
      <c r="H616" t="s">
        <v>426</v>
      </c>
      <c r="I616" t="s">
        <v>2672</v>
      </c>
      <c r="J616" t="s">
        <v>4723</v>
      </c>
      <c r="K616" t="s">
        <v>14099</v>
      </c>
      <c r="L616" t="s">
        <v>14101</v>
      </c>
      <c r="M616" t="s">
        <v>6707</v>
      </c>
      <c r="N616" t="s">
        <v>14095</v>
      </c>
      <c r="O616" t="s">
        <v>7645</v>
      </c>
      <c r="P616" t="s">
        <v>14103</v>
      </c>
      <c r="U616" t="s">
        <v>6707</v>
      </c>
      <c r="V616" t="s">
        <v>14095</v>
      </c>
      <c r="W616" t="s">
        <v>4559</v>
      </c>
      <c r="X616" t="s">
        <v>14106</v>
      </c>
      <c r="Y616" t="s">
        <v>4727</v>
      </c>
    </row>
    <row r="617" spans="1:25">
      <c r="A617" t="s">
        <v>14142</v>
      </c>
      <c r="B617" t="s">
        <v>14142</v>
      </c>
      <c r="C617" t="s">
        <v>14143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14144</v>
      </c>
      <c r="U617" t="s">
        <v>14145</v>
      </c>
      <c r="V617" t="s">
        <v>6204</v>
      </c>
      <c r="W617" t="s">
        <v>4559</v>
      </c>
      <c r="X617" t="s">
        <v>14146</v>
      </c>
      <c r="Y617" t="s">
        <v>4728</v>
      </c>
    </row>
    <row r="618" spans="1:25">
      <c r="A618" t="s">
        <v>14360</v>
      </c>
      <c r="B618" t="s">
        <v>14360</v>
      </c>
      <c r="C618" t="s">
        <v>14411</v>
      </c>
      <c r="D618" t="s">
        <v>6218</v>
      </c>
      <c r="E618" t="s">
        <v>4721</v>
      </c>
      <c r="F618" t="s">
        <v>14395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14395</v>
      </c>
      <c r="L618" t="s">
        <v>14446</v>
      </c>
      <c r="M618" t="s">
        <v>6218</v>
      </c>
      <c r="N618" t="s">
        <v>14447</v>
      </c>
      <c r="O618" t="s">
        <v>7645</v>
      </c>
      <c r="P618" t="s">
        <v>14448</v>
      </c>
      <c r="U618" t="s">
        <v>14104</v>
      </c>
      <c r="V618" t="s">
        <v>14447</v>
      </c>
      <c r="W618" t="s">
        <v>4559</v>
      </c>
      <c r="X618" t="s">
        <v>14515</v>
      </c>
      <c r="Y618" t="s">
        <v>4727</v>
      </c>
    </row>
    <row r="619" spans="1:25">
      <c r="A619" t="s">
        <v>14361</v>
      </c>
      <c r="B619" t="s">
        <v>14361</v>
      </c>
      <c r="C619" t="s">
        <v>14412</v>
      </c>
      <c r="D619" t="s">
        <v>6218</v>
      </c>
      <c r="E619" t="s">
        <v>4721</v>
      </c>
      <c r="F619" t="s">
        <v>14396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14396</v>
      </c>
      <c r="L619" t="s">
        <v>14446</v>
      </c>
      <c r="M619" t="s">
        <v>6218</v>
      </c>
      <c r="N619" t="s">
        <v>14449</v>
      </c>
      <c r="O619" t="s">
        <v>7645</v>
      </c>
      <c r="P619" t="s">
        <v>14450</v>
      </c>
      <c r="U619" t="s">
        <v>14104</v>
      </c>
      <c r="V619" t="s">
        <v>14449</v>
      </c>
      <c r="W619" t="s">
        <v>4559</v>
      </c>
      <c r="X619" t="s">
        <v>14516</v>
      </c>
      <c r="Y619" t="s">
        <v>4727</v>
      </c>
    </row>
    <row r="620" spans="1:25">
      <c r="A620" t="s">
        <v>14362</v>
      </c>
      <c r="B620" t="s">
        <v>14362</v>
      </c>
      <c r="C620" t="s">
        <v>14413</v>
      </c>
      <c r="D620" t="s">
        <v>6218</v>
      </c>
      <c r="E620" t="s">
        <v>4721</v>
      </c>
      <c r="F620" t="s">
        <v>14397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14397</v>
      </c>
      <c r="L620" t="s">
        <v>14446</v>
      </c>
      <c r="M620" t="s">
        <v>6218</v>
      </c>
      <c r="N620" t="s">
        <v>14451</v>
      </c>
      <c r="O620" t="s">
        <v>7645</v>
      </c>
      <c r="P620" t="s">
        <v>14452</v>
      </c>
      <c r="U620" t="s">
        <v>14104</v>
      </c>
      <c r="V620" t="s">
        <v>14451</v>
      </c>
      <c r="W620" t="s">
        <v>4559</v>
      </c>
      <c r="X620" t="s">
        <v>14517</v>
      </c>
      <c r="Y620" t="s">
        <v>4727</v>
      </c>
    </row>
    <row r="621" spans="1:25">
      <c r="A621" t="s">
        <v>14363</v>
      </c>
      <c r="B621" t="s">
        <v>14363</v>
      </c>
      <c r="C621" t="s">
        <v>14414</v>
      </c>
      <c r="D621" t="s">
        <v>6218</v>
      </c>
      <c r="E621" t="s">
        <v>4721</v>
      </c>
      <c r="F621" t="s">
        <v>14398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14398</v>
      </c>
      <c r="L621" t="s">
        <v>14446</v>
      </c>
      <c r="M621" t="s">
        <v>6218</v>
      </c>
      <c r="N621" t="s">
        <v>14453</v>
      </c>
      <c r="O621" t="s">
        <v>7645</v>
      </c>
      <c r="P621" t="s">
        <v>14454</v>
      </c>
      <c r="U621" t="s">
        <v>14104</v>
      </c>
      <c r="V621" t="s">
        <v>14453</v>
      </c>
      <c r="W621" t="s">
        <v>4559</v>
      </c>
      <c r="X621" t="s">
        <v>14518</v>
      </c>
      <c r="Y621" t="s">
        <v>4727</v>
      </c>
    </row>
    <row r="622" spans="1:25">
      <c r="A622" t="s">
        <v>14364</v>
      </c>
      <c r="B622" t="s">
        <v>14364</v>
      </c>
      <c r="C622" t="s">
        <v>14415</v>
      </c>
      <c r="D622" t="s">
        <v>6218</v>
      </c>
      <c r="E622" t="s">
        <v>4721</v>
      </c>
      <c r="F622" t="s">
        <v>14399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14399</v>
      </c>
      <c r="L622" t="s">
        <v>14446</v>
      </c>
      <c r="M622" t="s">
        <v>6218</v>
      </c>
      <c r="N622" t="s">
        <v>14455</v>
      </c>
      <c r="O622" t="s">
        <v>7645</v>
      </c>
      <c r="P622" t="s">
        <v>14456</v>
      </c>
      <c r="U622" t="s">
        <v>14104</v>
      </c>
      <c r="V622" t="s">
        <v>14455</v>
      </c>
      <c r="W622" t="s">
        <v>4559</v>
      </c>
      <c r="X622" t="s">
        <v>14519</v>
      </c>
      <c r="Y622" t="s">
        <v>4727</v>
      </c>
    </row>
    <row r="623" spans="1:25">
      <c r="A623" t="s">
        <v>14365</v>
      </c>
      <c r="B623" t="s">
        <v>14365</v>
      </c>
      <c r="C623" t="s">
        <v>14416</v>
      </c>
      <c r="D623" t="s">
        <v>6218</v>
      </c>
      <c r="E623" t="s">
        <v>4721</v>
      </c>
      <c r="F623" t="s">
        <v>14400</v>
      </c>
      <c r="G623" t="s">
        <v>2671</v>
      </c>
      <c r="H623" t="s">
        <v>4312</v>
      </c>
      <c r="I623" t="s">
        <v>2672</v>
      </c>
      <c r="J623" t="s">
        <v>4723</v>
      </c>
      <c r="K623" t="s">
        <v>14400</v>
      </c>
      <c r="L623" t="s">
        <v>14446</v>
      </c>
      <c r="M623" t="s">
        <v>6218</v>
      </c>
      <c r="N623" t="s">
        <v>14457</v>
      </c>
      <c r="O623" t="s">
        <v>7645</v>
      </c>
      <c r="P623" t="s">
        <v>14458</v>
      </c>
      <c r="U623" t="s">
        <v>14104</v>
      </c>
      <c r="V623" t="s">
        <v>14457</v>
      </c>
      <c r="W623" t="s">
        <v>4559</v>
      </c>
      <c r="X623" t="s">
        <v>14520</v>
      </c>
      <c r="Y623" t="s">
        <v>4727</v>
      </c>
    </row>
    <row r="624" spans="1:25">
      <c r="A624" t="s">
        <v>14366</v>
      </c>
      <c r="B624" t="s">
        <v>14366</v>
      </c>
      <c r="C624" t="s">
        <v>14417</v>
      </c>
      <c r="D624" t="s">
        <v>6218</v>
      </c>
      <c r="E624" t="s">
        <v>4721</v>
      </c>
      <c r="F624" t="s">
        <v>14401</v>
      </c>
      <c r="G624" t="s">
        <v>2671</v>
      </c>
      <c r="H624" t="s">
        <v>4312</v>
      </c>
      <c r="I624" t="s">
        <v>2672</v>
      </c>
      <c r="J624" t="s">
        <v>4723</v>
      </c>
      <c r="K624" t="s">
        <v>14401</v>
      </c>
      <c r="L624" t="s">
        <v>14446</v>
      </c>
      <c r="M624" t="s">
        <v>6218</v>
      </c>
      <c r="N624" t="s">
        <v>14459</v>
      </c>
      <c r="O624" t="s">
        <v>7645</v>
      </c>
      <c r="P624" t="s">
        <v>14460</v>
      </c>
      <c r="U624" t="s">
        <v>14104</v>
      </c>
      <c r="V624" t="s">
        <v>14459</v>
      </c>
      <c r="W624" t="s">
        <v>4559</v>
      </c>
      <c r="X624" t="s">
        <v>14521</v>
      </c>
      <c r="Y624" t="s">
        <v>4727</v>
      </c>
    </row>
    <row r="625" spans="1:25">
      <c r="A625" t="s">
        <v>14367</v>
      </c>
      <c r="B625" t="s">
        <v>14367</v>
      </c>
      <c r="C625" t="s">
        <v>14418</v>
      </c>
      <c r="D625" t="s">
        <v>6218</v>
      </c>
      <c r="E625" t="s">
        <v>4721</v>
      </c>
      <c r="F625" t="s">
        <v>14402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14402</v>
      </c>
      <c r="L625" t="s">
        <v>14446</v>
      </c>
      <c r="M625" t="s">
        <v>6218</v>
      </c>
      <c r="N625" t="s">
        <v>14461</v>
      </c>
      <c r="O625" t="s">
        <v>7645</v>
      </c>
      <c r="P625" t="s">
        <v>14462</v>
      </c>
      <c r="U625" t="s">
        <v>14104</v>
      </c>
      <c r="V625" t="s">
        <v>14461</v>
      </c>
      <c r="W625" t="s">
        <v>4559</v>
      </c>
      <c r="X625" t="s">
        <v>14522</v>
      </c>
      <c r="Y625" t="s">
        <v>4727</v>
      </c>
    </row>
    <row r="626" spans="1:25">
      <c r="A626" t="s">
        <v>14368</v>
      </c>
      <c r="B626" t="s">
        <v>14368</v>
      </c>
      <c r="C626" t="s">
        <v>14419</v>
      </c>
      <c r="D626" t="s">
        <v>6218</v>
      </c>
      <c r="E626" t="s">
        <v>4721</v>
      </c>
      <c r="F626" t="s">
        <v>14403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14403</v>
      </c>
      <c r="L626" t="s">
        <v>14446</v>
      </c>
      <c r="M626" t="s">
        <v>6218</v>
      </c>
      <c r="N626" t="s">
        <v>14463</v>
      </c>
      <c r="O626" t="s">
        <v>7645</v>
      </c>
      <c r="P626" t="s">
        <v>14464</v>
      </c>
      <c r="U626" t="s">
        <v>14104</v>
      </c>
      <c r="V626" t="s">
        <v>14463</v>
      </c>
      <c r="W626" t="s">
        <v>4559</v>
      </c>
      <c r="X626" t="s">
        <v>14523</v>
      </c>
      <c r="Y626" t="s">
        <v>4727</v>
      </c>
    </row>
    <row r="627" spans="1:25">
      <c r="A627" t="s">
        <v>14369</v>
      </c>
      <c r="B627" t="s">
        <v>14369</v>
      </c>
      <c r="C627" t="s">
        <v>14420</v>
      </c>
      <c r="D627" t="s">
        <v>6218</v>
      </c>
      <c r="E627" t="s">
        <v>4721</v>
      </c>
      <c r="F627" t="s">
        <v>14404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14404</v>
      </c>
      <c r="L627" t="s">
        <v>14446</v>
      </c>
      <c r="M627" t="s">
        <v>6218</v>
      </c>
      <c r="N627" t="s">
        <v>14465</v>
      </c>
      <c r="O627" t="s">
        <v>7645</v>
      </c>
      <c r="P627" t="s">
        <v>14466</v>
      </c>
      <c r="U627" t="s">
        <v>14104</v>
      </c>
      <c r="V627" t="s">
        <v>14465</v>
      </c>
      <c r="W627" t="s">
        <v>4559</v>
      </c>
      <c r="X627" t="s">
        <v>14524</v>
      </c>
      <c r="Y627" t="s">
        <v>4727</v>
      </c>
    </row>
    <row r="628" spans="1:25">
      <c r="A628" t="s">
        <v>14370</v>
      </c>
      <c r="B628" t="s">
        <v>14370</v>
      </c>
      <c r="C628" t="s">
        <v>14421</v>
      </c>
      <c r="D628" t="s">
        <v>6218</v>
      </c>
      <c r="E628" t="s">
        <v>4721</v>
      </c>
      <c r="F628" t="s">
        <v>14405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14405</v>
      </c>
      <c r="L628" t="s">
        <v>14446</v>
      </c>
      <c r="M628" t="s">
        <v>6218</v>
      </c>
      <c r="N628" t="s">
        <v>14467</v>
      </c>
      <c r="O628" t="s">
        <v>7645</v>
      </c>
      <c r="P628" t="s">
        <v>14468</v>
      </c>
      <c r="U628" t="s">
        <v>14104</v>
      </c>
      <c r="V628" t="s">
        <v>14467</v>
      </c>
      <c r="W628" t="s">
        <v>4559</v>
      </c>
      <c r="X628" t="s">
        <v>14525</v>
      </c>
      <c r="Y628" t="s">
        <v>4727</v>
      </c>
    </row>
    <row r="629" spans="1:25">
      <c r="A629" t="s">
        <v>14371</v>
      </c>
      <c r="B629" t="s">
        <v>14371</v>
      </c>
      <c r="C629" t="s">
        <v>14422</v>
      </c>
      <c r="D629" t="s">
        <v>6218</v>
      </c>
      <c r="E629" t="s">
        <v>4721</v>
      </c>
      <c r="F629" t="s">
        <v>14406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14406</v>
      </c>
      <c r="L629" t="s">
        <v>14446</v>
      </c>
      <c r="M629" t="s">
        <v>6218</v>
      </c>
      <c r="N629" t="s">
        <v>14469</v>
      </c>
      <c r="O629" t="s">
        <v>7645</v>
      </c>
      <c r="P629" t="s">
        <v>14470</v>
      </c>
      <c r="U629" t="s">
        <v>14104</v>
      </c>
      <c r="V629" t="s">
        <v>14469</v>
      </c>
      <c r="W629" t="s">
        <v>4559</v>
      </c>
      <c r="X629" t="s">
        <v>14526</v>
      </c>
      <c r="Y629" t="s">
        <v>4727</v>
      </c>
    </row>
    <row r="630" spans="1:25">
      <c r="A630" t="s">
        <v>14372</v>
      </c>
      <c r="B630" t="s">
        <v>14372</v>
      </c>
      <c r="C630" t="s">
        <v>14423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14446</v>
      </c>
      <c r="M630" t="s">
        <v>6218</v>
      </c>
      <c r="N630" t="s">
        <v>14471</v>
      </c>
      <c r="O630" t="s">
        <v>7645</v>
      </c>
      <c r="P630" t="s">
        <v>14472</v>
      </c>
      <c r="U630" t="s">
        <v>14104</v>
      </c>
      <c r="V630" t="s">
        <v>14471</v>
      </c>
      <c r="W630" t="s">
        <v>4559</v>
      </c>
      <c r="X630" t="s">
        <v>14527</v>
      </c>
      <c r="Y630" t="s">
        <v>4727</v>
      </c>
    </row>
    <row r="631" spans="1:25">
      <c r="A631" t="s">
        <v>14373</v>
      </c>
      <c r="B631" t="s">
        <v>14373</v>
      </c>
      <c r="C631" t="s">
        <v>14424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14446</v>
      </c>
      <c r="M631" t="s">
        <v>6218</v>
      </c>
      <c r="N631" t="s">
        <v>14473</v>
      </c>
      <c r="O631" t="s">
        <v>7645</v>
      </c>
      <c r="P631" t="s">
        <v>14474</v>
      </c>
      <c r="U631" t="s">
        <v>14104</v>
      </c>
      <c r="V631" t="s">
        <v>14473</v>
      </c>
      <c r="W631" t="s">
        <v>4559</v>
      </c>
      <c r="X631" t="s">
        <v>14528</v>
      </c>
      <c r="Y631" t="s">
        <v>4727</v>
      </c>
    </row>
    <row r="632" spans="1:25">
      <c r="A632" t="s">
        <v>14374</v>
      </c>
      <c r="B632" t="s">
        <v>14374</v>
      </c>
      <c r="C632" t="s">
        <v>14425</v>
      </c>
      <c r="D632" t="s">
        <v>6218</v>
      </c>
      <c r="E632" t="s">
        <v>4721</v>
      </c>
      <c r="F632" t="s">
        <v>14407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14407</v>
      </c>
      <c r="L632" t="s">
        <v>14446</v>
      </c>
      <c r="M632" t="s">
        <v>6218</v>
      </c>
      <c r="N632" t="s">
        <v>14475</v>
      </c>
      <c r="O632" t="s">
        <v>7645</v>
      </c>
      <c r="P632" t="s">
        <v>14476</v>
      </c>
      <c r="U632" t="s">
        <v>14104</v>
      </c>
      <c r="V632" t="s">
        <v>14475</v>
      </c>
      <c r="W632" t="s">
        <v>4559</v>
      </c>
      <c r="X632" t="s">
        <v>14529</v>
      </c>
      <c r="Y632" t="s">
        <v>4727</v>
      </c>
    </row>
    <row r="633" spans="1:25">
      <c r="A633" t="s">
        <v>14375</v>
      </c>
      <c r="B633" t="s">
        <v>14375</v>
      </c>
      <c r="C633" t="s">
        <v>14426</v>
      </c>
      <c r="D633" t="s">
        <v>6218</v>
      </c>
      <c r="E633" t="s">
        <v>4721</v>
      </c>
      <c r="F633" t="s">
        <v>14408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14408</v>
      </c>
      <c r="L633" t="s">
        <v>14446</v>
      </c>
      <c r="M633" t="s">
        <v>6218</v>
      </c>
      <c r="N633" t="s">
        <v>14477</v>
      </c>
      <c r="O633" t="s">
        <v>7645</v>
      </c>
      <c r="P633" t="s">
        <v>14478</v>
      </c>
      <c r="U633" t="s">
        <v>14104</v>
      </c>
      <c r="V633" t="s">
        <v>14477</v>
      </c>
      <c r="W633" t="s">
        <v>4559</v>
      </c>
      <c r="X633" t="s">
        <v>14530</v>
      </c>
      <c r="Y633" t="s">
        <v>4727</v>
      </c>
    </row>
    <row r="634" spans="1:25">
      <c r="A634" t="s">
        <v>14376</v>
      </c>
      <c r="B634" t="s">
        <v>14376</v>
      </c>
      <c r="C634" t="s">
        <v>14427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14446</v>
      </c>
      <c r="M634" t="s">
        <v>6218</v>
      </c>
      <c r="N634" t="s">
        <v>14479</v>
      </c>
      <c r="O634" t="s">
        <v>7645</v>
      </c>
      <c r="P634" t="s">
        <v>14480</v>
      </c>
      <c r="U634" t="s">
        <v>14104</v>
      </c>
      <c r="V634" t="s">
        <v>14479</v>
      </c>
      <c r="W634" t="s">
        <v>4559</v>
      </c>
      <c r="X634" t="s">
        <v>14531</v>
      </c>
      <c r="Y634" t="s">
        <v>4727</v>
      </c>
    </row>
    <row r="635" spans="1:25">
      <c r="A635" t="s">
        <v>14377</v>
      </c>
      <c r="B635" t="s">
        <v>14377</v>
      </c>
      <c r="C635" t="s">
        <v>14428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14446</v>
      </c>
      <c r="M635" t="s">
        <v>6218</v>
      </c>
      <c r="N635" t="s">
        <v>14481</v>
      </c>
      <c r="O635" t="s">
        <v>7645</v>
      </c>
      <c r="P635" t="s">
        <v>14482</v>
      </c>
      <c r="U635" t="s">
        <v>14104</v>
      </c>
      <c r="V635" t="s">
        <v>14481</v>
      </c>
      <c r="W635" t="s">
        <v>4559</v>
      </c>
      <c r="X635" t="s">
        <v>14532</v>
      </c>
      <c r="Y635" t="s">
        <v>4727</v>
      </c>
    </row>
    <row r="636" spans="1:25">
      <c r="A636" t="s">
        <v>14378</v>
      </c>
      <c r="B636" t="s">
        <v>14378</v>
      </c>
      <c r="C636" t="s">
        <v>14429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14446</v>
      </c>
      <c r="M636" t="s">
        <v>6218</v>
      </c>
      <c r="N636" t="s">
        <v>14483</v>
      </c>
      <c r="O636" t="s">
        <v>7645</v>
      </c>
      <c r="P636" t="s">
        <v>14484</v>
      </c>
      <c r="U636" t="s">
        <v>14104</v>
      </c>
      <c r="V636" t="s">
        <v>14483</v>
      </c>
      <c r="W636" t="s">
        <v>4559</v>
      </c>
      <c r="X636" t="s">
        <v>14533</v>
      </c>
      <c r="Y636" t="s">
        <v>4727</v>
      </c>
    </row>
    <row r="637" spans="1:25">
      <c r="A637" t="s">
        <v>14379</v>
      </c>
      <c r="B637" t="s">
        <v>14379</v>
      </c>
      <c r="C637" t="s">
        <v>14430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14446</v>
      </c>
      <c r="M637" t="s">
        <v>6218</v>
      </c>
      <c r="N637" t="s">
        <v>14485</v>
      </c>
      <c r="O637" t="s">
        <v>7645</v>
      </c>
      <c r="P637" t="s">
        <v>14486</v>
      </c>
      <c r="U637" t="s">
        <v>14104</v>
      </c>
      <c r="V637" t="s">
        <v>14485</v>
      </c>
      <c r="W637" t="s">
        <v>4559</v>
      </c>
      <c r="X637" t="s">
        <v>14534</v>
      </c>
      <c r="Y637" t="s">
        <v>4727</v>
      </c>
    </row>
    <row r="638" spans="1:25">
      <c r="A638" t="s">
        <v>14380</v>
      </c>
      <c r="B638" t="s">
        <v>14380</v>
      </c>
      <c r="C638" t="s">
        <v>14431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14446</v>
      </c>
      <c r="M638" t="s">
        <v>6218</v>
      </c>
      <c r="N638" t="s">
        <v>14487</v>
      </c>
      <c r="O638" t="s">
        <v>7645</v>
      </c>
      <c r="P638" t="s">
        <v>14488</v>
      </c>
      <c r="U638" t="s">
        <v>14104</v>
      </c>
      <c r="V638" t="s">
        <v>14487</v>
      </c>
      <c r="W638" t="s">
        <v>4559</v>
      </c>
      <c r="X638" t="s">
        <v>14535</v>
      </c>
      <c r="Y638" t="s">
        <v>4727</v>
      </c>
    </row>
    <row r="639" spans="1:25">
      <c r="A639" t="s">
        <v>14381</v>
      </c>
      <c r="B639" t="s">
        <v>14381</v>
      </c>
      <c r="C639" t="s">
        <v>14432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14446</v>
      </c>
      <c r="M639" t="s">
        <v>6218</v>
      </c>
      <c r="N639" t="s">
        <v>14489</v>
      </c>
      <c r="O639" t="s">
        <v>7645</v>
      </c>
      <c r="P639" t="s">
        <v>14490</v>
      </c>
      <c r="U639" t="s">
        <v>14104</v>
      </c>
      <c r="V639" t="s">
        <v>14489</v>
      </c>
      <c r="W639" t="s">
        <v>4559</v>
      </c>
      <c r="X639" t="s">
        <v>14536</v>
      </c>
      <c r="Y639" t="s">
        <v>4727</v>
      </c>
    </row>
    <row r="640" spans="1:25">
      <c r="A640" t="s">
        <v>14382</v>
      </c>
      <c r="B640" t="s">
        <v>14382</v>
      </c>
      <c r="C640" t="s">
        <v>14433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14446</v>
      </c>
      <c r="M640" t="s">
        <v>6218</v>
      </c>
      <c r="N640" t="s">
        <v>14491</v>
      </c>
      <c r="O640" t="s">
        <v>7645</v>
      </c>
      <c r="P640" t="s">
        <v>14492</v>
      </c>
      <c r="U640" t="s">
        <v>14104</v>
      </c>
      <c r="V640" t="s">
        <v>14491</v>
      </c>
      <c r="W640" t="s">
        <v>4559</v>
      </c>
      <c r="X640" t="s">
        <v>14537</v>
      </c>
      <c r="Y640" t="s">
        <v>4727</v>
      </c>
    </row>
    <row r="641" spans="1:25">
      <c r="A641" t="s">
        <v>14383</v>
      </c>
      <c r="B641" t="s">
        <v>14383</v>
      </c>
      <c r="C641" t="s">
        <v>14434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14446</v>
      </c>
      <c r="M641" t="s">
        <v>6218</v>
      </c>
      <c r="N641" t="s">
        <v>14493</v>
      </c>
      <c r="O641" t="s">
        <v>7645</v>
      </c>
      <c r="P641" t="s">
        <v>14494</v>
      </c>
      <c r="U641" t="s">
        <v>14104</v>
      </c>
      <c r="V641" t="s">
        <v>14493</v>
      </c>
      <c r="W641" t="s">
        <v>4559</v>
      </c>
      <c r="X641" t="s">
        <v>14538</v>
      </c>
      <c r="Y641" t="s">
        <v>4727</v>
      </c>
    </row>
    <row r="642" spans="1:25">
      <c r="A642" t="s">
        <v>14384</v>
      </c>
      <c r="B642" t="s">
        <v>14384</v>
      </c>
      <c r="C642" t="s">
        <v>14435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14446</v>
      </c>
      <c r="M642" t="s">
        <v>6218</v>
      </c>
      <c r="N642" t="s">
        <v>14495</v>
      </c>
      <c r="O642" t="s">
        <v>7645</v>
      </c>
      <c r="P642" t="s">
        <v>14496</v>
      </c>
      <c r="U642" t="s">
        <v>14104</v>
      </c>
      <c r="V642" t="s">
        <v>14495</v>
      </c>
      <c r="W642" t="s">
        <v>4559</v>
      </c>
      <c r="X642" t="s">
        <v>14539</v>
      </c>
      <c r="Y642" t="s">
        <v>4727</v>
      </c>
    </row>
    <row r="643" spans="1:25">
      <c r="A643" t="s">
        <v>14385</v>
      </c>
      <c r="B643" t="s">
        <v>14385</v>
      </c>
      <c r="C643" t="s">
        <v>14436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14446</v>
      </c>
    </row>
    <row r="644" spans="1:25">
      <c r="A644" t="s">
        <v>14386</v>
      </c>
      <c r="B644" t="s">
        <v>14386</v>
      </c>
      <c r="C644" t="s">
        <v>14437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14446</v>
      </c>
      <c r="M644" t="s">
        <v>6218</v>
      </c>
      <c r="N644" t="s">
        <v>14497</v>
      </c>
      <c r="O644" t="s">
        <v>7645</v>
      </c>
      <c r="P644" t="s">
        <v>14498</v>
      </c>
      <c r="U644" t="s">
        <v>14104</v>
      </c>
      <c r="V644" t="s">
        <v>14497</v>
      </c>
      <c r="W644" t="s">
        <v>4559</v>
      </c>
      <c r="X644" t="s">
        <v>14540</v>
      </c>
      <c r="Y644" t="s">
        <v>4727</v>
      </c>
    </row>
    <row r="645" spans="1:25">
      <c r="A645" t="s">
        <v>14387</v>
      </c>
      <c r="B645" t="s">
        <v>14387</v>
      </c>
      <c r="C645" t="s">
        <v>14438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14446</v>
      </c>
      <c r="M645" t="s">
        <v>6218</v>
      </c>
      <c r="N645" t="s">
        <v>14499</v>
      </c>
      <c r="O645" t="s">
        <v>7645</v>
      </c>
      <c r="P645" t="s">
        <v>14500</v>
      </c>
      <c r="U645" t="s">
        <v>14104</v>
      </c>
      <c r="V645" t="s">
        <v>14499</v>
      </c>
      <c r="W645" t="s">
        <v>4559</v>
      </c>
      <c r="X645" t="s">
        <v>14541</v>
      </c>
      <c r="Y645" t="s">
        <v>4727</v>
      </c>
    </row>
    <row r="646" spans="1:25">
      <c r="A646" t="s">
        <v>14388</v>
      </c>
      <c r="B646" t="s">
        <v>14388</v>
      </c>
      <c r="C646" t="s">
        <v>14439</v>
      </c>
      <c r="D646" t="s">
        <v>6218</v>
      </c>
      <c r="E646" t="s">
        <v>4721</v>
      </c>
      <c r="F646" t="s">
        <v>14409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14409</v>
      </c>
      <c r="L646" t="s">
        <v>14446</v>
      </c>
      <c r="M646" t="s">
        <v>6218</v>
      </c>
      <c r="N646" t="s">
        <v>14501</v>
      </c>
      <c r="O646" t="s">
        <v>7645</v>
      </c>
      <c r="P646" t="s">
        <v>14502</v>
      </c>
      <c r="U646" t="s">
        <v>14104</v>
      </c>
      <c r="V646" t="s">
        <v>14501</v>
      </c>
      <c r="W646" t="s">
        <v>4559</v>
      </c>
      <c r="X646" t="s">
        <v>14542</v>
      </c>
      <c r="Y646" t="s">
        <v>4727</v>
      </c>
    </row>
    <row r="647" spans="1:25">
      <c r="A647" t="s">
        <v>14389</v>
      </c>
      <c r="B647" t="s">
        <v>14389</v>
      </c>
      <c r="C647" t="s">
        <v>14440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14446</v>
      </c>
      <c r="M647" t="s">
        <v>6218</v>
      </c>
      <c r="N647" t="s">
        <v>14503</v>
      </c>
      <c r="O647" t="s">
        <v>7645</v>
      </c>
      <c r="P647" t="s">
        <v>14504</v>
      </c>
      <c r="U647" t="s">
        <v>14104</v>
      </c>
      <c r="V647" t="s">
        <v>14503</v>
      </c>
      <c r="W647" t="s">
        <v>4559</v>
      </c>
      <c r="X647" t="s">
        <v>14543</v>
      </c>
      <c r="Y647" t="s">
        <v>4727</v>
      </c>
    </row>
    <row r="648" spans="1:25">
      <c r="A648" t="s">
        <v>14390</v>
      </c>
      <c r="B648" t="s">
        <v>14390</v>
      </c>
      <c r="C648" t="s">
        <v>14441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14446</v>
      </c>
      <c r="M648" t="s">
        <v>6218</v>
      </c>
      <c r="N648" t="s">
        <v>14505</v>
      </c>
      <c r="O648" t="s">
        <v>7645</v>
      </c>
      <c r="P648" t="s">
        <v>14506</v>
      </c>
    </row>
    <row r="649" spans="1:25">
      <c r="A649" t="s">
        <v>14391</v>
      </c>
      <c r="B649" t="s">
        <v>14391</v>
      </c>
      <c r="C649" t="s">
        <v>14442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14446</v>
      </c>
      <c r="M649" t="s">
        <v>6218</v>
      </c>
      <c r="N649" t="s">
        <v>14508</v>
      </c>
      <c r="O649" t="s">
        <v>7645</v>
      </c>
      <c r="P649" t="s">
        <v>14507</v>
      </c>
    </row>
    <row r="650" spans="1:25">
      <c r="A650" t="s">
        <v>14392</v>
      </c>
      <c r="B650" t="s">
        <v>14392</v>
      </c>
      <c r="C650" t="s">
        <v>14443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14446</v>
      </c>
      <c r="M650" t="s">
        <v>6218</v>
      </c>
      <c r="N650" t="s">
        <v>14509</v>
      </c>
      <c r="O650" t="s">
        <v>7645</v>
      </c>
      <c r="P650" t="s">
        <v>14510</v>
      </c>
      <c r="U650" t="s">
        <v>14104</v>
      </c>
      <c r="V650" t="s">
        <v>14509</v>
      </c>
      <c r="W650" t="s">
        <v>4559</v>
      </c>
      <c r="X650" t="s">
        <v>14544</v>
      </c>
      <c r="Y650" t="s">
        <v>4727</v>
      </c>
    </row>
    <row r="651" spans="1:25">
      <c r="A651" t="s">
        <v>14393</v>
      </c>
      <c r="B651" t="s">
        <v>14393</v>
      </c>
      <c r="C651" t="s">
        <v>14444</v>
      </c>
      <c r="D651" t="s">
        <v>6218</v>
      </c>
      <c r="E651" t="s">
        <v>4721</v>
      </c>
      <c r="F651" t="s">
        <v>14410</v>
      </c>
      <c r="G651" t="s">
        <v>2671</v>
      </c>
      <c r="H651" t="s">
        <v>4312</v>
      </c>
      <c r="I651" t="s">
        <v>2672</v>
      </c>
      <c r="J651" t="s">
        <v>4723</v>
      </c>
      <c r="K651" t="s">
        <v>14410</v>
      </c>
      <c r="L651" t="s">
        <v>14446</v>
      </c>
      <c r="M651" t="s">
        <v>6218</v>
      </c>
      <c r="N651" t="s">
        <v>14511</v>
      </c>
      <c r="O651" t="s">
        <v>7645</v>
      </c>
      <c r="P651" t="s">
        <v>14512</v>
      </c>
    </row>
    <row r="652" spans="1:25">
      <c r="A652" t="s">
        <v>14394</v>
      </c>
      <c r="B652" t="s">
        <v>14394</v>
      </c>
      <c r="C652" t="s">
        <v>14445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14446</v>
      </c>
      <c r="M652" t="s">
        <v>6218</v>
      </c>
      <c r="N652" t="s">
        <v>14513</v>
      </c>
      <c r="O652" t="s">
        <v>7645</v>
      </c>
      <c r="P652" t="s">
        <v>14514</v>
      </c>
      <c r="U652" t="s">
        <v>14104</v>
      </c>
      <c r="V652" t="s">
        <v>14513</v>
      </c>
      <c r="W652" t="s">
        <v>4559</v>
      </c>
      <c r="X652" t="s">
        <v>14545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12715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12715</v>
      </c>
      <c r="G3" t="s">
        <v>12567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14564</v>
      </c>
      <c r="B4" t="s">
        <v>14564</v>
      </c>
      <c r="C4" s="6" t="s">
        <v>14565</v>
      </c>
      <c r="D4" t="s">
        <v>21</v>
      </c>
      <c r="E4" t="s">
        <v>4372</v>
      </c>
      <c r="F4" t="s">
        <v>12715</v>
      </c>
      <c r="G4" t="s">
        <v>12567</v>
      </c>
      <c r="H4" t="s">
        <v>4376</v>
      </c>
      <c r="I4" t="s">
        <v>4798</v>
      </c>
      <c r="J4" t="s">
        <v>14566</v>
      </c>
      <c r="K4" t="s">
        <v>4387</v>
      </c>
      <c r="L4" t="s">
        <v>14564</v>
      </c>
      <c r="M4" t="s">
        <v>25</v>
      </c>
      <c r="N4" t="s">
        <v>14567</v>
      </c>
      <c r="O4" s="8" t="s">
        <v>6218</v>
      </c>
      <c r="P4" s="8" t="s">
        <v>14568</v>
      </c>
      <c r="Q4" t="s">
        <v>7645</v>
      </c>
      <c r="R4" s="8" t="s">
        <v>14569</v>
      </c>
      <c r="S4" t="s">
        <v>14570</v>
      </c>
      <c r="T4" t="s">
        <v>14564</v>
      </c>
      <c r="U4" t="s">
        <v>4559</v>
      </c>
      <c r="V4" t="s">
        <v>14571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12715</v>
      </c>
      <c r="G5" t="s">
        <v>12568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11165</v>
      </c>
      <c r="P5" s="8" t="s">
        <v>13534</v>
      </c>
      <c r="Q5" t="s">
        <v>4559</v>
      </c>
      <c r="R5" s="8" t="s">
        <v>13535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12715</v>
      </c>
      <c r="G6" t="s">
        <v>12567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12110</v>
      </c>
      <c r="B7" t="s">
        <v>12111</v>
      </c>
      <c r="C7" t="s">
        <v>12112</v>
      </c>
      <c r="D7" t="s">
        <v>21</v>
      </c>
      <c r="E7" t="s">
        <v>4372</v>
      </c>
      <c r="F7" t="s">
        <v>12715</v>
      </c>
      <c r="G7" t="s">
        <v>12567</v>
      </c>
      <c r="H7" t="s">
        <v>4376</v>
      </c>
      <c r="I7" t="s">
        <v>4798</v>
      </c>
      <c r="J7" t="s">
        <v>4400</v>
      </c>
      <c r="K7" t="s">
        <v>4401</v>
      </c>
      <c r="L7" t="s">
        <v>12113</v>
      </c>
      <c r="M7" t="s">
        <v>25</v>
      </c>
      <c r="N7" t="s">
        <v>12114</v>
      </c>
      <c r="S7" t="s">
        <v>4401</v>
      </c>
      <c r="T7" t="s">
        <v>12110</v>
      </c>
      <c r="U7" t="s">
        <v>4559</v>
      </c>
      <c r="V7" t="s">
        <v>12115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12715</v>
      </c>
      <c r="G8" t="s">
        <v>12567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12715</v>
      </c>
      <c r="G9" t="s">
        <v>12568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12715</v>
      </c>
      <c r="G10" t="s">
        <v>12567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12715</v>
      </c>
      <c r="G11" t="s">
        <v>12567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12715</v>
      </c>
      <c r="G12" t="s">
        <v>12716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12715</v>
      </c>
      <c r="G13" t="s">
        <v>12567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12715</v>
      </c>
      <c r="G14" t="s">
        <v>12568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12715</v>
      </c>
      <c r="G15" t="s">
        <v>12566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12715</v>
      </c>
      <c r="G16" t="s">
        <v>12569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12715</v>
      </c>
      <c r="G17" t="s">
        <v>12566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12715</v>
      </c>
      <c r="G18" t="s">
        <v>12566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12715</v>
      </c>
      <c r="G19" t="s">
        <v>12566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12715</v>
      </c>
      <c r="G20" t="s">
        <v>12566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8088</v>
      </c>
      <c r="B21" t="s">
        <v>8088</v>
      </c>
      <c r="C21" t="s">
        <v>4405</v>
      </c>
      <c r="D21" t="s">
        <v>4426</v>
      </c>
      <c r="E21" t="s">
        <v>8089</v>
      </c>
      <c r="F21" t="s">
        <v>12715</v>
      </c>
      <c r="G21" t="s">
        <v>12566</v>
      </c>
      <c r="H21" t="s">
        <v>6741</v>
      </c>
      <c r="I21" t="s">
        <v>7472</v>
      </c>
      <c r="J21" t="s">
        <v>8090</v>
      </c>
      <c r="S21" t="s">
        <v>4426</v>
      </c>
      <c r="T21" t="s">
        <v>8088</v>
      </c>
      <c r="U21" t="s">
        <v>4559</v>
      </c>
      <c r="V21" s="31" t="s">
        <v>8091</v>
      </c>
    </row>
    <row r="22" spans="1:23" ht="16.5">
      <c r="A22" s="32" t="s">
        <v>8092</v>
      </c>
      <c r="B22" s="32" t="s">
        <v>8092</v>
      </c>
      <c r="C22" s="32" t="s">
        <v>8095</v>
      </c>
      <c r="D22" t="s">
        <v>8093</v>
      </c>
      <c r="E22" s="32" t="s">
        <v>8089</v>
      </c>
      <c r="F22" t="s">
        <v>12715</v>
      </c>
      <c r="G22" t="s">
        <v>12566</v>
      </c>
      <c r="H22" t="s">
        <v>6741</v>
      </c>
      <c r="I22" t="s">
        <v>7472</v>
      </c>
      <c r="J22" t="s">
        <v>8096</v>
      </c>
      <c r="S22" t="s">
        <v>8093</v>
      </c>
      <c r="T22" s="32" t="s">
        <v>8092</v>
      </c>
      <c r="U22" t="s">
        <v>4559</v>
      </c>
      <c r="V22" s="32" t="s">
        <v>8094</v>
      </c>
      <c r="W22" t="s">
        <v>4727</v>
      </c>
    </row>
    <row r="23" spans="1:23" ht="15.75">
      <c r="A23" s="33" t="s">
        <v>8097</v>
      </c>
      <c r="B23" s="33" t="s">
        <v>8097</v>
      </c>
      <c r="C23" s="33" t="s">
        <v>8099</v>
      </c>
      <c r="D23" t="s">
        <v>8098</v>
      </c>
      <c r="E23" s="35" t="s">
        <v>8100</v>
      </c>
      <c r="F23" t="s">
        <v>12715</v>
      </c>
      <c r="G23" t="s">
        <v>8097</v>
      </c>
      <c r="H23" t="s">
        <v>4377</v>
      </c>
      <c r="I23" t="s">
        <v>8102</v>
      </c>
      <c r="J23" t="s">
        <v>8101</v>
      </c>
      <c r="S23" t="s">
        <v>8098</v>
      </c>
      <c r="T23" s="33" t="s">
        <v>8097</v>
      </c>
      <c r="U23" t="s">
        <v>4559</v>
      </c>
      <c r="V23" s="33" t="s">
        <v>8103</v>
      </c>
      <c r="W23" t="s">
        <v>4727</v>
      </c>
    </row>
    <row r="24" spans="1:23">
      <c r="A24" t="s">
        <v>11124</v>
      </c>
      <c r="B24" t="s">
        <v>11124</v>
      </c>
      <c r="C24" t="s">
        <v>11125</v>
      </c>
      <c r="D24" t="s">
        <v>6275</v>
      </c>
      <c r="E24" t="s">
        <v>8089</v>
      </c>
      <c r="F24" t="s">
        <v>12715</v>
      </c>
      <c r="G24" t="s">
        <v>12566</v>
      </c>
      <c r="H24" t="s">
        <v>6741</v>
      </c>
      <c r="I24" t="s">
        <v>7472</v>
      </c>
      <c r="J24" t="s">
        <v>11126</v>
      </c>
      <c r="K24" t="s">
        <v>6275</v>
      </c>
      <c r="L24" t="s">
        <v>11124</v>
      </c>
      <c r="M24" t="s">
        <v>25</v>
      </c>
      <c r="N24" t="s">
        <v>11127</v>
      </c>
      <c r="S24" t="s">
        <v>13520</v>
      </c>
      <c r="T24" t="s">
        <v>13518</v>
      </c>
      <c r="U24" t="s">
        <v>4559</v>
      </c>
      <c r="V24" t="s">
        <v>13519</v>
      </c>
    </row>
    <row r="25" spans="1:23">
      <c r="A25" t="s">
        <v>11128</v>
      </c>
      <c r="B25" t="s">
        <v>11128</v>
      </c>
      <c r="C25" t="s">
        <v>11132</v>
      </c>
      <c r="D25" t="s">
        <v>11130</v>
      </c>
      <c r="E25" t="s">
        <v>11133</v>
      </c>
      <c r="F25" t="s">
        <v>12715</v>
      </c>
      <c r="G25" t="s">
        <v>12567</v>
      </c>
      <c r="H25" t="s">
        <v>6704</v>
      </c>
      <c r="I25" t="s">
        <v>11134</v>
      </c>
      <c r="J25" t="s">
        <v>11131</v>
      </c>
      <c r="K25" t="s">
        <v>11130</v>
      </c>
      <c r="L25" t="s">
        <v>11128</v>
      </c>
      <c r="M25" t="s">
        <v>25</v>
      </c>
      <c r="N25" t="s">
        <v>11129</v>
      </c>
      <c r="S25" t="s">
        <v>4420</v>
      </c>
      <c r="T25" t="s">
        <v>11128</v>
      </c>
      <c r="U25" t="s">
        <v>4559</v>
      </c>
      <c r="V25" t="s">
        <v>11135</v>
      </c>
    </row>
    <row r="26" spans="1:23">
      <c r="A26" t="s">
        <v>12556</v>
      </c>
      <c r="B26" t="s">
        <v>12556</v>
      </c>
      <c r="C26" t="s">
        <v>12557</v>
      </c>
      <c r="D26" t="s">
        <v>6275</v>
      </c>
      <c r="E26" t="s">
        <v>12563</v>
      </c>
      <c r="F26" t="s">
        <v>12715</v>
      </c>
      <c r="G26" t="s">
        <v>12565</v>
      </c>
      <c r="H26" t="s">
        <v>4376</v>
      </c>
      <c r="I26" t="s">
        <v>12564</v>
      </c>
      <c r="J26" t="s">
        <v>12558</v>
      </c>
      <c r="K26" t="s">
        <v>6275</v>
      </c>
      <c r="L26" t="s">
        <v>12559</v>
      </c>
      <c r="M26" t="s">
        <v>25</v>
      </c>
      <c r="N26" t="s">
        <v>12560</v>
      </c>
      <c r="S26" t="s">
        <v>4401</v>
      </c>
      <c r="T26" t="s">
        <v>12561</v>
      </c>
      <c r="U26" t="s">
        <v>4559</v>
      </c>
      <c r="V26" t="s">
        <v>12562</v>
      </c>
    </row>
    <row r="27" spans="1:23">
      <c r="A27" t="s">
        <v>12928</v>
      </c>
      <c r="B27" t="s">
        <v>12928</v>
      </c>
      <c r="C27" t="s">
        <v>12929</v>
      </c>
      <c r="D27" t="s">
        <v>6737</v>
      </c>
      <c r="E27" t="s">
        <v>12930</v>
      </c>
      <c r="F27" t="s">
        <v>12715</v>
      </c>
      <c r="G27" t="s">
        <v>12567</v>
      </c>
      <c r="H27" t="s">
        <v>4376</v>
      </c>
      <c r="I27" t="s">
        <v>12934</v>
      </c>
      <c r="J27" t="s">
        <v>12931</v>
      </c>
      <c r="K27" t="s">
        <v>6737</v>
      </c>
      <c r="L27" t="s">
        <v>12927</v>
      </c>
      <c r="M27" t="s">
        <v>25</v>
      </c>
      <c r="N27" t="s">
        <v>12932</v>
      </c>
      <c r="S27" t="s">
        <v>6737</v>
      </c>
      <c r="T27" t="s">
        <v>12927</v>
      </c>
      <c r="U27" t="s">
        <v>4559</v>
      </c>
      <c r="V27" t="s">
        <v>12933</v>
      </c>
    </row>
    <row r="28" spans="1:23" ht="15.75">
      <c r="A28" t="s">
        <v>13518</v>
      </c>
      <c r="B28" t="s">
        <v>13518</v>
      </c>
      <c r="C28" t="s">
        <v>13596</v>
      </c>
      <c r="D28" t="s">
        <v>13520</v>
      </c>
      <c r="E28" t="s">
        <v>7807</v>
      </c>
      <c r="F28" t="s">
        <v>12715</v>
      </c>
      <c r="G28" t="s">
        <v>12566</v>
      </c>
      <c r="H28" t="s">
        <v>6741</v>
      </c>
      <c r="I28" t="s">
        <v>7472</v>
      </c>
      <c r="J28" t="s">
        <v>13597</v>
      </c>
      <c r="R28" s="8"/>
      <c r="S28" s="42" t="s">
        <v>13520</v>
      </c>
      <c r="T28" s="42" t="s">
        <v>13518</v>
      </c>
      <c r="U28" t="s">
        <v>4559</v>
      </c>
      <c r="V28" s="8" t="s">
        <v>13519</v>
      </c>
      <c r="W28" t="s">
        <v>4727</v>
      </c>
    </row>
    <row r="29" spans="1:23">
      <c r="A29" t="s">
        <v>13598</v>
      </c>
      <c r="B29" t="s">
        <v>13598</v>
      </c>
      <c r="C29" t="s">
        <v>13599</v>
      </c>
      <c r="D29" t="s">
        <v>6737</v>
      </c>
      <c r="E29" t="s">
        <v>11133</v>
      </c>
      <c r="F29" t="s">
        <v>12715</v>
      </c>
      <c r="G29" t="s">
        <v>12567</v>
      </c>
      <c r="H29" t="s">
        <v>6704</v>
      </c>
      <c r="I29" t="s">
        <v>11134</v>
      </c>
      <c r="J29" t="s">
        <v>13603</v>
      </c>
      <c r="K29" t="s">
        <v>6737</v>
      </c>
      <c r="L29" t="s">
        <v>13602</v>
      </c>
      <c r="M29" t="s">
        <v>25</v>
      </c>
      <c r="N29" t="s">
        <v>13601</v>
      </c>
      <c r="S29" t="s">
        <v>6737</v>
      </c>
      <c r="T29" t="s">
        <v>13598</v>
      </c>
      <c r="U29" t="s">
        <v>4559</v>
      </c>
      <c r="V29" t="s">
        <v>13600</v>
      </c>
    </row>
    <row r="30" spans="1:23">
      <c r="A30" t="s">
        <v>13604</v>
      </c>
      <c r="B30" t="s">
        <v>13604</v>
      </c>
      <c r="C30" t="s">
        <v>13605</v>
      </c>
      <c r="D30" t="s">
        <v>13520</v>
      </c>
      <c r="E30" t="s">
        <v>7807</v>
      </c>
      <c r="F30" t="s">
        <v>12715</v>
      </c>
      <c r="G30" t="s">
        <v>12569</v>
      </c>
      <c r="H30" t="s">
        <v>6741</v>
      </c>
      <c r="I30" t="s">
        <v>7472</v>
      </c>
      <c r="J30" t="s">
        <v>13606</v>
      </c>
      <c r="S30" t="s">
        <v>13520</v>
      </c>
      <c r="T30" t="s">
        <v>13604</v>
      </c>
      <c r="U30" t="s">
        <v>4559</v>
      </c>
      <c r="V30" t="s">
        <v>13607</v>
      </c>
    </row>
    <row r="31" spans="1:23">
      <c r="A31" t="s">
        <v>14546</v>
      </c>
      <c r="B31" t="s">
        <v>14546</v>
      </c>
      <c r="C31" t="s">
        <v>14558</v>
      </c>
      <c r="D31" t="s">
        <v>14550</v>
      </c>
      <c r="E31" t="s">
        <v>11133</v>
      </c>
      <c r="F31" t="s">
        <v>12715</v>
      </c>
      <c r="G31" t="s">
        <v>12567</v>
      </c>
      <c r="H31" t="s">
        <v>6704</v>
      </c>
      <c r="I31" t="s">
        <v>11134</v>
      </c>
      <c r="J31" t="s">
        <v>14556</v>
      </c>
      <c r="K31" t="s">
        <v>14546</v>
      </c>
      <c r="L31" t="s">
        <v>14550</v>
      </c>
      <c r="M31" t="s">
        <v>25</v>
      </c>
      <c r="N31" t="s">
        <v>14561</v>
      </c>
    </row>
    <row r="32" spans="1:23">
      <c r="A32" t="s">
        <v>14547</v>
      </c>
      <c r="B32" t="s">
        <v>14547</v>
      </c>
      <c r="C32" t="s">
        <v>14558</v>
      </c>
      <c r="D32" t="s">
        <v>14550</v>
      </c>
      <c r="E32" t="s">
        <v>10795</v>
      </c>
      <c r="F32" t="s">
        <v>12715</v>
      </c>
      <c r="G32" t="s">
        <v>14560</v>
      </c>
      <c r="H32" t="s">
        <v>6704</v>
      </c>
      <c r="I32" t="s">
        <v>12555</v>
      </c>
      <c r="J32" t="s">
        <v>14556</v>
      </c>
      <c r="K32" t="s">
        <v>14547</v>
      </c>
      <c r="L32" t="s">
        <v>14550</v>
      </c>
      <c r="M32" t="s">
        <v>25</v>
      </c>
      <c r="N32" t="s">
        <v>14562</v>
      </c>
      <c r="S32" t="s">
        <v>14554</v>
      </c>
      <c r="T32" t="s">
        <v>14547</v>
      </c>
      <c r="U32" t="s">
        <v>4559</v>
      </c>
      <c r="V32" t="s">
        <v>14555</v>
      </c>
      <c r="W32" t="s">
        <v>4727</v>
      </c>
    </row>
    <row r="33" spans="1:23">
      <c r="A33" t="s">
        <v>14548</v>
      </c>
      <c r="B33" t="s">
        <v>14548</v>
      </c>
      <c r="C33" t="s">
        <v>14558</v>
      </c>
      <c r="D33" t="s">
        <v>14550</v>
      </c>
      <c r="E33" t="s">
        <v>14559</v>
      </c>
      <c r="F33" t="s">
        <v>12715</v>
      </c>
      <c r="G33" t="s">
        <v>14560</v>
      </c>
      <c r="H33" t="s">
        <v>6704</v>
      </c>
      <c r="J33" t="s">
        <v>14556</v>
      </c>
      <c r="K33" t="s">
        <v>14548</v>
      </c>
      <c r="L33" t="s">
        <v>14550</v>
      </c>
      <c r="M33" t="s">
        <v>25</v>
      </c>
      <c r="N33" t="s">
        <v>14563</v>
      </c>
    </row>
    <row r="34" spans="1:23">
      <c r="A34" t="s">
        <v>14549</v>
      </c>
      <c r="B34" t="s">
        <v>14549</v>
      </c>
      <c r="C34" t="s">
        <v>14558</v>
      </c>
      <c r="D34" t="s">
        <v>14551</v>
      </c>
      <c r="E34" t="s">
        <v>6703</v>
      </c>
      <c r="F34" t="s">
        <v>12715</v>
      </c>
      <c r="G34" t="s">
        <v>12567</v>
      </c>
      <c r="H34" t="s">
        <v>6704</v>
      </c>
      <c r="I34" t="s">
        <v>6973</v>
      </c>
      <c r="J34" t="s">
        <v>14557</v>
      </c>
      <c r="S34" t="s">
        <v>14552</v>
      </c>
      <c r="T34" t="s">
        <v>14549</v>
      </c>
      <c r="U34" t="s">
        <v>4559</v>
      </c>
      <c r="V34" t="s">
        <v>14553</v>
      </c>
      <c r="W34" t="s">
        <v>4727</v>
      </c>
    </row>
    <row r="35" spans="1:23">
      <c r="A35" t="s">
        <v>14743</v>
      </c>
      <c r="B35" t="s">
        <v>14743</v>
      </c>
      <c r="C35" t="s">
        <v>14744</v>
      </c>
      <c r="D35" t="s">
        <v>14745</v>
      </c>
      <c r="E35" t="s">
        <v>6703</v>
      </c>
      <c r="F35" t="s">
        <v>12715</v>
      </c>
      <c r="G35" t="s">
        <v>12567</v>
      </c>
      <c r="H35" t="s">
        <v>6704</v>
      </c>
      <c r="I35" t="s">
        <v>6973</v>
      </c>
      <c r="J35" t="s">
        <v>14746</v>
      </c>
      <c r="S35" t="s">
        <v>14745</v>
      </c>
      <c r="T35" t="s">
        <v>14743</v>
      </c>
      <c r="U35" t="s">
        <v>4559</v>
      </c>
      <c r="V35" t="s">
        <v>14747</v>
      </c>
      <c r="W35" t="s">
        <v>4727</v>
      </c>
    </row>
    <row r="36" spans="1:23">
      <c r="A36" t="s">
        <v>14748</v>
      </c>
      <c r="B36" t="s">
        <v>14748</v>
      </c>
      <c r="C36" t="s">
        <v>14749</v>
      </c>
      <c r="D36" t="s">
        <v>21</v>
      </c>
      <c r="E36" t="s">
        <v>4372</v>
      </c>
      <c r="F36" t="s">
        <v>12715</v>
      </c>
      <c r="G36" t="s">
        <v>14759</v>
      </c>
      <c r="H36" t="s">
        <v>4376</v>
      </c>
      <c r="I36" t="s">
        <v>4798</v>
      </c>
      <c r="J36" t="s">
        <v>14753</v>
      </c>
      <c r="K36" t="s">
        <v>6707</v>
      </c>
      <c r="L36" t="s">
        <v>14754</v>
      </c>
      <c r="M36" t="s">
        <v>25</v>
      </c>
      <c r="N36" t="s">
        <v>14755</v>
      </c>
      <c r="O36" t="s">
        <v>14756</v>
      </c>
      <c r="P36" t="s">
        <v>14757</v>
      </c>
      <c r="Q36" t="s">
        <v>7645</v>
      </c>
      <c r="R36" t="s">
        <v>14758</v>
      </c>
      <c r="S36" t="s">
        <v>14750</v>
      </c>
      <c r="T36" t="s">
        <v>14751</v>
      </c>
      <c r="U36" t="s">
        <v>4559</v>
      </c>
      <c r="V36" t="s">
        <v>14752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12578</v>
      </c>
      <c r="B2" t="s">
        <v>12578</v>
      </c>
      <c r="C2" t="s">
        <v>12979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12579</v>
      </c>
      <c r="K2" s="1"/>
      <c r="L2" s="1" t="s">
        <v>13499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12960</v>
      </c>
      <c r="B3" t="s">
        <v>12960</v>
      </c>
      <c r="C3" t="s">
        <v>12980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12941</v>
      </c>
      <c r="K3" s="1"/>
      <c r="L3" s="1" t="s">
        <v>13499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12961</v>
      </c>
      <c r="B4" t="s">
        <v>12961</v>
      </c>
      <c r="C4" t="s">
        <v>12981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12942</v>
      </c>
      <c r="K4" s="1"/>
      <c r="L4" s="1" t="s">
        <v>13499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12962</v>
      </c>
      <c r="B5" t="s">
        <v>12962</v>
      </c>
      <c r="C5" t="s">
        <v>12982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12943</v>
      </c>
      <c r="K5" s="1"/>
      <c r="L5" s="1" t="s">
        <v>13499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12963</v>
      </c>
      <c r="B6" t="s">
        <v>12963</v>
      </c>
      <c r="C6" t="s">
        <v>12983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12944</v>
      </c>
      <c r="K6" s="1"/>
      <c r="L6" s="1" t="s">
        <v>13499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12964</v>
      </c>
      <c r="B7" t="s">
        <v>12964</v>
      </c>
      <c r="C7" t="s">
        <v>12984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12945</v>
      </c>
      <c r="K7" s="1"/>
      <c r="L7" s="1" t="s">
        <v>13499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12965</v>
      </c>
      <c r="B8" t="s">
        <v>12965</v>
      </c>
      <c r="C8" t="s">
        <v>12985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12946</v>
      </c>
      <c r="K8" s="1"/>
      <c r="L8" s="1" t="s">
        <v>13499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12966</v>
      </c>
      <c r="B9" t="s">
        <v>12966</v>
      </c>
      <c r="C9" t="s">
        <v>12986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12947</v>
      </c>
      <c r="K9" s="1"/>
      <c r="L9" s="1" t="s">
        <v>13499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12967</v>
      </c>
      <c r="B10" t="s">
        <v>12967</v>
      </c>
      <c r="C10" t="s">
        <v>12987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12948</v>
      </c>
      <c r="K10" s="1"/>
      <c r="L10" s="1" t="s">
        <v>13499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12968</v>
      </c>
      <c r="B11" t="s">
        <v>12968</v>
      </c>
      <c r="C11" t="s">
        <v>12988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12949</v>
      </c>
      <c r="K11" s="1"/>
      <c r="L11" s="1" t="s">
        <v>13499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12969</v>
      </c>
      <c r="B12" t="s">
        <v>12969</v>
      </c>
      <c r="C12" t="s">
        <v>12989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12950</v>
      </c>
      <c r="K12" s="1"/>
      <c r="L12" s="1" t="s">
        <v>13499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12970</v>
      </c>
      <c r="B13" t="s">
        <v>12970</v>
      </c>
      <c r="C13" t="s">
        <v>12990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12951</v>
      </c>
      <c r="K13" s="1"/>
      <c r="L13" s="1" t="s">
        <v>13499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12971</v>
      </c>
      <c r="B14" t="s">
        <v>12971</v>
      </c>
      <c r="C14" t="s">
        <v>12991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12952</v>
      </c>
      <c r="K14" s="1"/>
      <c r="L14" s="1" t="s">
        <v>13499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12972</v>
      </c>
      <c r="B15" t="s">
        <v>12972</v>
      </c>
      <c r="C15" t="s">
        <v>12992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12953</v>
      </c>
      <c r="K15" s="1"/>
      <c r="L15" s="1" t="s">
        <v>13499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12973</v>
      </c>
      <c r="B16" t="s">
        <v>12973</v>
      </c>
      <c r="C16" t="s">
        <v>12993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12954</v>
      </c>
      <c r="K16" s="1"/>
      <c r="L16" s="1" t="s">
        <v>13499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12974</v>
      </c>
      <c r="B17" t="s">
        <v>12974</v>
      </c>
      <c r="C17" t="s">
        <v>12994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12955</v>
      </c>
      <c r="K17" s="1"/>
      <c r="L17" s="1" t="s">
        <v>13499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12975</v>
      </c>
      <c r="B18" t="s">
        <v>12975</v>
      </c>
      <c r="C18" t="s">
        <v>12995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12956</v>
      </c>
      <c r="K18" s="1"/>
      <c r="L18" s="1" t="s">
        <v>13499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12976</v>
      </c>
      <c r="B19" t="s">
        <v>12976</v>
      </c>
      <c r="C19" t="s">
        <v>12996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12957</v>
      </c>
      <c r="K19" s="1"/>
      <c r="L19" s="1" t="s">
        <v>13499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12977</v>
      </c>
      <c r="B20" t="s">
        <v>12977</v>
      </c>
      <c r="C20" t="s">
        <v>12997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12958</v>
      </c>
      <c r="K20" s="1"/>
      <c r="L20" s="1" t="s">
        <v>13499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12978</v>
      </c>
      <c r="B21" t="s">
        <v>12978</v>
      </c>
      <c r="C21" t="s">
        <v>12998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12959</v>
      </c>
      <c r="K21" s="1"/>
      <c r="L21" s="1" t="s">
        <v>13499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13088</v>
      </c>
      <c r="B22" t="s">
        <v>13088</v>
      </c>
      <c r="C22" t="s">
        <v>13089</v>
      </c>
      <c r="D22" t="s">
        <v>21</v>
      </c>
      <c r="G22" t="str">
        <f>Config!$B$7</f>
        <v>SCH/Connector.SchLib</v>
      </c>
      <c r="H22" t="s">
        <v>13090</v>
      </c>
      <c r="I22" t="s">
        <v>4623</v>
      </c>
      <c r="J22" t="s">
        <v>13091</v>
      </c>
      <c r="K22" s="1"/>
      <c r="L22" s="1" t="s">
        <v>13499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13092</v>
      </c>
      <c r="B23" t="s">
        <v>13092</v>
      </c>
      <c r="C23" t="s">
        <v>13093</v>
      </c>
      <c r="D23" t="s">
        <v>21</v>
      </c>
      <c r="G23" t="str">
        <f>Config!$B$7</f>
        <v>SCH/Connector.SchLib</v>
      </c>
      <c r="H23" t="s">
        <v>13094</v>
      </c>
      <c r="I23" t="s">
        <v>4623</v>
      </c>
      <c r="J23" t="s">
        <v>13095</v>
      </c>
      <c r="K23" s="1"/>
      <c r="L23" s="1" t="s">
        <v>13499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13096</v>
      </c>
      <c r="B24" t="s">
        <v>13096</v>
      </c>
      <c r="C24" t="s">
        <v>13097</v>
      </c>
      <c r="D24" t="s">
        <v>21</v>
      </c>
      <c r="G24" t="str">
        <f>Config!$B$7</f>
        <v>SCH/Connector.SchLib</v>
      </c>
      <c r="H24" t="s">
        <v>13098</v>
      </c>
      <c r="I24" t="s">
        <v>4623</v>
      </c>
      <c r="J24" t="s">
        <v>13099</v>
      </c>
      <c r="K24" s="1"/>
      <c r="L24" s="1" t="s">
        <v>13499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13100</v>
      </c>
      <c r="B25" t="s">
        <v>13100</v>
      </c>
      <c r="C25" t="s">
        <v>13101</v>
      </c>
      <c r="D25" t="s">
        <v>21</v>
      </c>
      <c r="G25" t="str">
        <f>Config!$B$7</f>
        <v>SCH/Connector.SchLib</v>
      </c>
      <c r="H25" t="s">
        <v>13102</v>
      </c>
      <c r="I25" t="s">
        <v>4623</v>
      </c>
      <c r="J25" t="s">
        <v>13103</v>
      </c>
      <c r="K25" s="1"/>
      <c r="L25" s="1" t="s">
        <v>13499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13104</v>
      </c>
      <c r="B26" t="s">
        <v>13104</v>
      </c>
      <c r="C26" t="s">
        <v>13105</v>
      </c>
      <c r="D26" t="s">
        <v>21</v>
      </c>
      <c r="G26" t="str">
        <f>Config!$B$7</f>
        <v>SCH/Connector.SchLib</v>
      </c>
      <c r="H26" t="s">
        <v>13106</v>
      </c>
      <c r="I26" t="s">
        <v>4623</v>
      </c>
      <c r="J26" t="s">
        <v>13107</v>
      </c>
      <c r="K26" s="1"/>
      <c r="L26" s="1" t="s">
        <v>13499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13108</v>
      </c>
      <c r="B27" t="s">
        <v>13108</v>
      </c>
      <c r="C27" t="s">
        <v>13109</v>
      </c>
      <c r="D27" t="s">
        <v>21</v>
      </c>
      <c r="G27" t="str">
        <f>Config!$B$7</f>
        <v>SCH/Connector.SchLib</v>
      </c>
      <c r="H27" t="s">
        <v>13110</v>
      </c>
      <c r="I27" t="s">
        <v>4623</v>
      </c>
      <c r="J27" t="s">
        <v>13111</v>
      </c>
      <c r="K27" s="1"/>
      <c r="L27" s="1" t="s">
        <v>13499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13112</v>
      </c>
      <c r="B28" t="s">
        <v>13112</v>
      </c>
      <c r="C28" t="s">
        <v>13113</v>
      </c>
      <c r="D28" t="s">
        <v>21</v>
      </c>
      <c r="G28" t="str">
        <f>Config!$B$7</f>
        <v>SCH/Connector.SchLib</v>
      </c>
      <c r="H28" t="s">
        <v>13114</v>
      </c>
      <c r="I28" t="s">
        <v>4623</v>
      </c>
      <c r="J28" t="s">
        <v>13115</v>
      </c>
      <c r="K28" s="1"/>
      <c r="L28" s="1" t="s">
        <v>13499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13116</v>
      </c>
      <c r="B29" t="s">
        <v>13116</v>
      </c>
      <c r="C29" t="s">
        <v>13117</v>
      </c>
      <c r="D29" t="s">
        <v>21</v>
      </c>
      <c r="G29" t="str">
        <f>Config!$B$7</f>
        <v>SCH/Connector.SchLib</v>
      </c>
      <c r="H29" t="s">
        <v>13118</v>
      </c>
      <c r="I29" t="s">
        <v>4623</v>
      </c>
      <c r="J29" t="s">
        <v>13119</v>
      </c>
      <c r="K29" s="1"/>
      <c r="L29" s="1" t="s">
        <v>13499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13120</v>
      </c>
      <c r="B30" t="s">
        <v>13120</v>
      </c>
      <c r="C30" t="s">
        <v>13121</v>
      </c>
      <c r="D30" t="s">
        <v>21</v>
      </c>
      <c r="G30" t="str">
        <f>Config!$B$7</f>
        <v>SCH/Connector.SchLib</v>
      </c>
      <c r="H30" t="s">
        <v>13122</v>
      </c>
      <c r="I30" t="s">
        <v>4623</v>
      </c>
      <c r="J30" t="s">
        <v>13123</v>
      </c>
      <c r="K30" s="1"/>
      <c r="L30" s="1" t="s">
        <v>13499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13124</v>
      </c>
      <c r="B31" t="s">
        <v>13124</v>
      </c>
      <c r="C31" t="s">
        <v>13125</v>
      </c>
      <c r="D31" t="s">
        <v>21</v>
      </c>
      <c r="G31" t="str">
        <f>Config!$B$7</f>
        <v>SCH/Connector.SchLib</v>
      </c>
      <c r="H31" t="s">
        <v>13126</v>
      </c>
      <c r="I31" t="s">
        <v>4623</v>
      </c>
      <c r="J31" t="s">
        <v>13127</v>
      </c>
      <c r="K31" s="1"/>
      <c r="L31" s="1" t="s">
        <v>13499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13128</v>
      </c>
      <c r="B32" t="s">
        <v>13128</v>
      </c>
      <c r="C32" t="s">
        <v>13129</v>
      </c>
      <c r="D32" t="s">
        <v>21</v>
      </c>
      <c r="G32" t="str">
        <f>Config!$B$7</f>
        <v>SCH/Connector.SchLib</v>
      </c>
      <c r="H32" t="s">
        <v>12322</v>
      </c>
      <c r="I32" t="s">
        <v>4623</v>
      </c>
      <c r="J32" t="s">
        <v>13130</v>
      </c>
      <c r="K32" s="1"/>
      <c r="L32" s="1" t="s">
        <v>13499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13131</v>
      </c>
      <c r="B33" t="s">
        <v>13131</v>
      </c>
      <c r="C33" t="s">
        <v>13132</v>
      </c>
      <c r="D33" t="s">
        <v>21</v>
      </c>
      <c r="G33" t="str">
        <f>Config!$B$7</f>
        <v>SCH/Connector.SchLib</v>
      </c>
      <c r="H33" t="s">
        <v>13133</v>
      </c>
      <c r="I33" t="s">
        <v>4623</v>
      </c>
      <c r="J33" t="s">
        <v>13134</v>
      </c>
      <c r="K33" s="1"/>
      <c r="L33" s="1" t="s">
        <v>13499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13135</v>
      </c>
      <c r="B34" t="s">
        <v>13135</v>
      </c>
      <c r="C34" t="s">
        <v>13136</v>
      </c>
      <c r="D34" t="s">
        <v>21</v>
      </c>
      <c r="G34" t="str">
        <f>Config!$B$7</f>
        <v>SCH/Connector.SchLib</v>
      </c>
      <c r="H34" t="s">
        <v>13137</v>
      </c>
      <c r="I34" t="s">
        <v>4623</v>
      </c>
      <c r="J34" t="s">
        <v>13138</v>
      </c>
      <c r="K34" s="1"/>
      <c r="L34" s="1" t="s">
        <v>13499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13139</v>
      </c>
      <c r="B35" t="s">
        <v>13139</v>
      </c>
      <c r="C35" t="s">
        <v>13140</v>
      </c>
      <c r="D35" t="s">
        <v>21</v>
      </c>
      <c r="G35" t="str">
        <f>Config!$B$7</f>
        <v>SCH/Connector.SchLib</v>
      </c>
      <c r="H35" t="s">
        <v>13141</v>
      </c>
      <c r="I35" t="s">
        <v>4623</v>
      </c>
      <c r="J35" t="s">
        <v>13142</v>
      </c>
      <c r="K35" s="1"/>
      <c r="L35" s="1" t="s">
        <v>13499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13143</v>
      </c>
      <c r="B36" t="s">
        <v>13143</v>
      </c>
      <c r="C36" t="s">
        <v>13144</v>
      </c>
      <c r="D36" t="s">
        <v>21</v>
      </c>
      <c r="G36" t="str">
        <f>Config!$B$7</f>
        <v>SCH/Connector.SchLib</v>
      </c>
      <c r="H36" t="s">
        <v>13145</v>
      </c>
      <c r="I36" t="s">
        <v>4623</v>
      </c>
      <c r="J36" t="s">
        <v>13146</v>
      </c>
      <c r="K36" s="1"/>
      <c r="L36" s="1" t="s">
        <v>13499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13147</v>
      </c>
      <c r="B37" t="s">
        <v>13147</v>
      </c>
      <c r="C37" t="s">
        <v>13148</v>
      </c>
      <c r="D37" t="s">
        <v>21</v>
      </c>
      <c r="G37" t="str">
        <f>Config!$B$7</f>
        <v>SCH/Connector.SchLib</v>
      </c>
      <c r="H37" t="s">
        <v>13149</v>
      </c>
      <c r="I37" t="s">
        <v>4623</v>
      </c>
      <c r="J37" t="s">
        <v>13150</v>
      </c>
      <c r="K37" s="1"/>
      <c r="L37" s="1" t="s">
        <v>13499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13151</v>
      </c>
      <c r="B38" t="s">
        <v>13151</v>
      </c>
      <c r="C38" t="s">
        <v>13152</v>
      </c>
      <c r="D38" t="s">
        <v>21</v>
      </c>
      <c r="G38" t="str">
        <f>Config!$B$7</f>
        <v>SCH/Connector.SchLib</v>
      </c>
      <c r="H38" t="s">
        <v>13153</v>
      </c>
      <c r="I38" t="s">
        <v>4623</v>
      </c>
      <c r="J38" t="s">
        <v>13154</v>
      </c>
      <c r="K38" s="1"/>
      <c r="L38" s="1" t="s">
        <v>13499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13155</v>
      </c>
      <c r="B39" t="s">
        <v>13155</v>
      </c>
      <c r="C39" t="s">
        <v>13156</v>
      </c>
      <c r="D39" t="s">
        <v>21</v>
      </c>
      <c r="G39" t="str">
        <f>Config!$B$7</f>
        <v>SCH/Connector.SchLib</v>
      </c>
      <c r="H39" t="s">
        <v>13157</v>
      </c>
      <c r="I39" t="s">
        <v>4623</v>
      </c>
      <c r="J39" t="s">
        <v>13158</v>
      </c>
      <c r="K39" s="1"/>
      <c r="L39" s="1" t="s">
        <v>13499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13159</v>
      </c>
      <c r="B40" t="s">
        <v>13159</v>
      </c>
      <c r="C40" t="s">
        <v>13160</v>
      </c>
      <c r="D40" t="s">
        <v>21</v>
      </c>
      <c r="G40" t="str">
        <f>Config!$B$7</f>
        <v>SCH/Connector.SchLib</v>
      </c>
      <c r="H40" t="s">
        <v>13161</v>
      </c>
      <c r="I40" t="s">
        <v>4623</v>
      </c>
      <c r="J40" t="s">
        <v>13162</v>
      </c>
      <c r="K40" s="1"/>
      <c r="L40" s="1" t="s">
        <v>13499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13163</v>
      </c>
      <c r="B41" t="s">
        <v>13163</v>
      </c>
      <c r="C41" t="s">
        <v>13164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13165</v>
      </c>
      <c r="K41" s="1"/>
      <c r="L41" s="1" t="s">
        <v>13499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13166</v>
      </c>
      <c r="B42" t="s">
        <v>13166</v>
      </c>
      <c r="C42" t="s">
        <v>13167</v>
      </c>
      <c r="D42" t="s">
        <v>21</v>
      </c>
      <c r="G42" t="str">
        <f>Config!$B$7</f>
        <v>SCH/Connector.SchLib</v>
      </c>
      <c r="H42" t="s">
        <v>13168</v>
      </c>
      <c r="I42" t="s">
        <v>4623</v>
      </c>
      <c r="J42" t="s">
        <v>13169</v>
      </c>
      <c r="K42" s="1"/>
      <c r="L42" s="1" t="s">
        <v>13499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13170</v>
      </c>
      <c r="B43" t="s">
        <v>13170</v>
      </c>
      <c r="C43" t="s">
        <v>13171</v>
      </c>
      <c r="D43" t="s">
        <v>21</v>
      </c>
      <c r="G43" t="str">
        <f>Config!$B$7</f>
        <v>SCH/Connector.SchLib</v>
      </c>
      <c r="H43" t="s">
        <v>13172</v>
      </c>
      <c r="I43" t="s">
        <v>4623</v>
      </c>
      <c r="J43" t="s">
        <v>13173</v>
      </c>
      <c r="K43" s="1"/>
      <c r="L43" s="1" t="s">
        <v>13499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13174</v>
      </c>
      <c r="B44" t="s">
        <v>13174</v>
      </c>
      <c r="C44" t="s">
        <v>13175</v>
      </c>
      <c r="D44" t="s">
        <v>21</v>
      </c>
      <c r="G44" t="str">
        <f>Config!$B$7</f>
        <v>SCH/Connector.SchLib</v>
      </c>
      <c r="H44" t="s">
        <v>13176</v>
      </c>
      <c r="I44" t="s">
        <v>4623</v>
      </c>
      <c r="J44" t="s">
        <v>13177</v>
      </c>
      <c r="K44" s="1"/>
      <c r="L44" s="1" t="s">
        <v>13499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13178</v>
      </c>
      <c r="B45" t="s">
        <v>13178</v>
      </c>
      <c r="C45" t="s">
        <v>13179</v>
      </c>
      <c r="D45" t="s">
        <v>21</v>
      </c>
      <c r="G45" t="str">
        <f>Config!$B$7</f>
        <v>SCH/Connector.SchLib</v>
      </c>
      <c r="H45" t="s">
        <v>13180</v>
      </c>
      <c r="I45" t="s">
        <v>4623</v>
      </c>
      <c r="J45" t="s">
        <v>13181</v>
      </c>
      <c r="K45" s="1"/>
      <c r="L45" s="1" t="s">
        <v>13499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13182</v>
      </c>
      <c r="B46" t="s">
        <v>13182</v>
      </c>
      <c r="C46" t="s">
        <v>13183</v>
      </c>
      <c r="D46" t="s">
        <v>21</v>
      </c>
      <c r="G46" t="str">
        <f>Config!$B$7</f>
        <v>SCH/Connector.SchLib</v>
      </c>
      <c r="H46" t="s">
        <v>13184</v>
      </c>
      <c r="I46" t="s">
        <v>4623</v>
      </c>
      <c r="J46" t="s">
        <v>13185</v>
      </c>
      <c r="K46" s="1"/>
      <c r="L46" s="1" t="s">
        <v>13499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13186</v>
      </c>
      <c r="B47" t="s">
        <v>13186</v>
      </c>
      <c r="C47" t="s">
        <v>13187</v>
      </c>
      <c r="D47" t="s">
        <v>21</v>
      </c>
      <c r="G47" t="str">
        <f>Config!$B$7</f>
        <v>SCH/Connector.SchLib</v>
      </c>
      <c r="H47" t="s">
        <v>13188</v>
      </c>
      <c r="I47" t="s">
        <v>4623</v>
      </c>
      <c r="J47" t="s">
        <v>13189</v>
      </c>
      <c r="K47" s="1"/>
      <c r="L47" s="1" t="s">
        <v>13499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13190</v>
      </c>
      <c r="B48" t="s">
        <v>13190</v>
      </c>
      <c r="C48" t="s">
        <v>13191</v>
      </c>
      <c r="D48" t="s">
        <v>21</v>
      </c>
      <c r="G48" t="str">
        <f>Config!$B$7</f>
        <v>SCH/Connector.SchLib</v>
      </c>
      <c r="H48" t="s">
        <v>13192</v>
      </c>
      <c r="I48" t="s">
        <v>4623</v>
      </c>
      <c r="J48" t="s">
        <v>13193</v>
      </c>
      <c r="K48" s="1"/>
      <c r="L48" s="1" t="s">
        <v>13499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13194</v>
      </c>
      <c r="B49" t="s">
        <v>13194</v>
      </c>
      <c r="C49" t="s">
        <v>13195</v>
      </c>
      <c r="D49" t="s">
        <v>21</v>
      </c>
      <c r="G49" t="str">
        <f>Config!$B$7</f>
        <v>SCH/Connector.SchLib</v>
      </c>
      <c r="H49" t="s">
        <v>13196</v>
      </c>
      <c r="I49" t="s">
        <v>4623</v>
      </c>
      <c r="J49" t="s">
        <v>13197</v>
      </c>
      <c r="K49" s="1"/>
      <c r="L49" s="1" t="s">
        <v>13499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13198</v>
      </c>
      <c r="B50" t="s">
        <v>13198</v>
      </c>
      <c r="C50" t="s">
        <v>13199</v>
      </c>
      <c r="D50" t="s">
        <v>21</v>
      </c>
      <c r="G50" t="str">
        <f>Config!$B$7</f>
        <v>SCH/Connector.SchLib</v>
      </c>
      <c r="H50" t="s">
        <v>13200</v>
      </c>
      <c r="I50" t="s">
        <v>4623</v>
      </c>
      <c r="J50" t="s">
        <v>13201</v>
      </c>
      <c r="K50" s="1"/>
      <c r="L50" s="1" t="s">
        <v>13499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13202</v>
      </c>
      <c r="B51" t="s">
        <v>13202</v>
      </c>
      <c r="C51" t="s">
        <v>13203</v>
      </c>
      <c r="D51" t="s">
        <v>21</v>
      </c>
      <c r="G51" t="str">
        <f>Config!$B$7</f>
        <v>SCH/Connector.SchLib</v>
      </c>
      <c r="H51" t="s">
        <v>13204</v>
      </c>
      <c r="I51" t="s">
        <v>4623</v>
      </c>
      <c r="J51" t="s">
        <v>13205</v>
      </c>
      <c r="K51" s="1"/>
      <c r="L51" s="1" t="s">
        <v>13499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13388</v>
      </c>
      <c r="B52" t="s">
        <v>13388</v>
      </c>
      <c r="C52" t="s">
        <v>13389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13390</v>
      </c>
      <c r="K52" s="1"/>
      <c r="L52" s="1" t="s">
        <v>13499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13391</v>
      </c>
      <c r="B53" t="s">
        <v>13391</v>
      </c>
      <c r="C53" t="s">
        <v>13392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13393</v>
      </c>
      <c r="K53" s="1"/>
      <c r="L53" s="1" t="s">
        <v>13499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8515</v>
      </c>
      <c r="B54" t="s">
        <v>8515</v>
      </c>
      <c r="C54" t="s">
        <v>13000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8516</v>
      </c>
      <c r="L54" s="1" t="s">
        <v>13499</v>
      </c>
    </row>
    <row r="55" spans="1:26" ht="15.75">
      <c r="A55" t="s">
        <v>4427</v>
      </c>
      <c r="B55" t="s">
        <v>4427</v>
      </c>
      <c r="C55" t="s">
        <v>12999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13499</v>
      </c>
    </row>
    <row r="56" spans="1:26" ht="15.75">
      <c r="A56" t="s">
        <v>13394</v>
      </c>
      <c r="B56" t="s">
        <v>13394</v>
      </c>
      <c r="C56" t="s">
        <v>13395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13396</v>
      </c>
      <c r="L56" s="1" t="s">
        <v>13499</v>
      </c>
    </row>
    <row r="57" spans="1:26" ht="15.75">
      <c r="A57" t="s">
        <v>13397</v>
      </c>
      <c r="B57" t="s">
        <v>13397</v>
      </c>
      <c r="C57" t="s">
        <v>13398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13399</v>
      </c>
      <c r="L57" s="1" t="s">
        <v>13499</v>
      </c>
    </row>
    <row r="58" spans="1:26" ht="15.75">
      <c r="A58" t="s">
        <v>13400</v>
      </c>
      <c r="B58" t="s">
        <v>13400</v>
      </c>
      <c r="C58" t="s">
        <v>13401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13402</v>
      </c>
      <c r="L58" s="1" t="s">
        <v>13499</v>
      </c>
    </row>
    <row r="59" spans="1:26" ht="15.75">
      <c r="A59" t="s">
        <v>13403</v>
      </c>
      <c r="B59" t="s">
        <v>13403</v>
      </c>
      <c r="C59" t="s">
        <v>13404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13405</v>
      </c>
      <c r="L59" s="1" t="s">
        <v>13499</v>
      </c>
    </row>
    <row r="60" spans="1:26" ht="15.75">
      <c r="A60" t="s">
        <v>13406</v>
      </c>
      <c r="B60" t="s">
        <v>13406</v>
      </c>
      <c r="C60" t="s">
        <v>13407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13408</v>
      </c>
      <c r="L60" s="1" t="s">
        <v>13499</v>
      </c>
    </row>
    <row r="61" spans="1:26" ht="15.75">
      <c r="A61" t="s">
        <v>13409</v>
      </c>
      <c r="B61" t="s">
        <v>13409</v>
      </c>
      <c r="C61" t="s">
        <v>13410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13411</v>
      </c>
      <c r="L61" s="1" t="s">
        <v>13499</v>
      </c>
    </row>
    <row r="62" spans="1:26" ht="15.75">
      <c r="A62" t="s">
        <v>13412</v>
      </c>
      <c r="B62" t="s">
        <v>13412</v>
      </c>
      <c r="C62" t="s">
        <v>13413</v>
      </c>
      <c r="D62" t="s">
        <v>21</v>
      </c>
      <c r="G62" t="str">
        <f>Config!$B$7</f>
        <v>SCH/Connector.SchLib</v>
      </c>
      <c r="H62" t="s">
        <v>13094</v>
      </c>
      <c r="I62" t="s">
        <v>4623</v>
      </c>
      <c r="J62" t="s">
        <v>13414</v>
      </c>
      <c r="L62" s="1" t="s">
        <v>13499</v>
      </c>
    </row>
    <row r="63" spans="1:26" ht="15.75">
      <c r="A63" t="s">
        <v>13415</v>
      </c>
      <c r="B63" t="s">
        <v>13415</v>
      </c>
      <c r="C63" t="s">
        <v>13416</v>
      </c>
      <c r="D63" t="s">
        <v>21</v>
      </c>
      <c r="G63" t="str">
        <f>Config!$B$7</f>
        <v>SCH/Connector.SchLib</v>
      </c>
      <c r="H63" t="s">
        <v>13102</v>
      </c>
      <c r="I63" t="s">
        <v>4623</v>
      </c>
      <c r="J63" t="s">
        <v>13417</v>
      </c>
      <c r="L63" s="1" t="s">
        <v>13499</v>
      </c>
    </row>
    <row r="64" spans="1:26" ht="15.75">
      <c r="A64" t="s">
        <v>13418</v>
      </c>
      <c r="B64" t="s">
        <v>13418</v>
      </c>
      <c r="C64" t="s">
        <v>13419</v>
      </c>
      <c r="D64" t="s">
        <v>21</v>
      </c>
      <c r="G64" t="str">
        <f>Config!$B$7</f>
        <v>SCH/Connector.SchLib</v>
      </c>
      <c r="H64" t="s">
        <v>13110</v>
      </c>
      <c r="I64" t="s">
        <v>4623</v>
      </c>
      <c r="J64" t="s">
        <v>13420</v>
      </c>
      <c r="L64" s="1" t="s">
        <v>13499</v>
      </c>
    </row>
    <row r="65" spans="1:17" ht="15.75">
      <c r="A65" t="s">
        <v>13421</v>
      </c>
      <c r="B65" t="s">
        <v>13421</v>
      </c>
      <c r="C65" t="s">
        <v>13422</v>
      </c>
      <c r="D65" t="s">
        <v>21</v>
      </c>
      <c r="G65" t="str">
        <f>Config!$B$7</f>
        <v>SCH/Connector.SchLib</v>
      </c>
      <c r="H65" t="s">
        <v>13118</v>
      </c>
      <c r="I65" t="s">
        <v>4623</v>
      </c>
      <c r="J65" t="s">
        <v>13423</v>
      </c>
      <c r="L65" s="1" t="s">
        <v>13499</v>
      </c>
    </row>
    <row r="66" spans="1:17" ht="15.75">
      <c r="A66" t="s">
        <v>13424</v>
      </c>
      <c r="B66" t="s">
        <v>13424</v>
      </c>
      <c r="C66" t="s">
        <v>13425</v>
      </c>
      <c r="D66" t="s">
        <v>21</v>
      </c>
      <c r="G66" t="str">
        <f>Config!$B$7</f>
        <v>SCH/Connector.SchLib</v>
      </c>
      <c r="H66" t="s">
        <v>13126</v>
      </c>
      <c r="I66" t="s">
        <v>4623</v>
      </c>
      <c r="J66" t="s">
        <v>13426</v>
      </c>
      <c r="L66" s="1" t="s">
        <v>13499</v>
      </c>
    </row>
    <row r="67" spans="1:17" ht="15.75">
      <c r="A67" t="s">
        <v>13427</v>
      </c>
      <c r="B67" t="s">
        <v>13427</v>
      </c>
      <c r="C67" t="s">
        <v>13428</v>
      </c>
      <c r="D67" t="s">
        <v>21</v>
      </c>
      <c r="G67" t="str">
        <f>Config!$B$7</f>
        <v>SCH/Connector.SchLib</v>
      </c>
      <c r="H67" t="s">
        <v>13133</v>
      </c>
      <c r="I67" t="s">
        <v>4623</v>
      </c>
      <c r="J67" t="s">
        <v>13429</v>
      </c>
      <c r="L67" s="1" t="s">
        <v>13499</v>
      </c>
    </row>
    <row r="68" spans="1:17" ht="15.75">
      <c r="A68" t="s">
        <v>13430</v>
      </c>
      <c r="B68" t="s">
        <v>13430</v>
      </c>
      <c r="C68" t="s">
        <v>13431</v>
      </c>
      <c r="D68" t="s">
        <v>21</v>
      </c>
      <c r="G68" t="str">
        <f>Config!$B$7</f>
        <v>SCH/Connector.SchLib</v>
      </c>
      <c r="H68" t="s">
        <v>13141</v>
      </c>
      <c r="I68" t="s">
        <v>4623</v>
      </c>
      <c r="J68" t="s">
        <v>13432</v>
      </c>
      <c r="L68" s="1" t="s">
        <v>13499</v>
      </c>
    </row>
    <row r="69" spans="1:17" ht="15.75">
      <c r="A69" t="s">
        <v>13433</v>
      </c>
      <c r="B69" t="s">
        <v>13433</v>
      </c>
      <c r="C69" t="s">
        <v>13434</v>
      </c>
      <c r="D69" t="s">
        <v>21</v>
      </c>
      <c r="G69" t="str">
        <f>Config!$B$7</f>
        <v>SCH/Connector.SchLib</v>
      </c>
      <c r="H69" t="s">
        <v>13149</v>
      </c>
      <c r="I69" t="s">
        <v>4623</v>
      </c>
      <c r="J69" t="s">
        <v>13435</v>
      </c>
      <c r="L69" s="1" t="s">
        <v>13499</v>
      </c>
    </row>
    <row r="70" spans="1:17" ht="15.75">
      <c r="A70" t="s">
        <v>13436</v>
      </c>
      <c r="B70" t="s">
        <v>13436</v>
      </c>
      <c r="C70" t="s">
        <v>13437</v>
      </c>
      <c r="D70" t="s">
        <v>21</v>
      </c>
      <c r="G70" t="str">
        <f>Config!$B$7</f>
        <v>SCH/Connector.SchLib</v>
      </c>
      <c r="H70" t="s">
        <v>13157</v>
      </c>
      <c r="I70" t="s">
        <v>4623</v>
      </c>
      <c r="J70" t="s">
        <v>13438</v>
      </c>
      <c r="L70" s="1" t="s">
        <v>13499</v>
      </c>
    </row>
    <row r="71" spans="1:17" ht="15.75">
      <c r="A71" t="s">
        <v>7494</v>
      </c>
      <c r="B71" t="s">
        <v>7494</v>
      </c>
      <c r="C71" t="s">
        <v>13439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13499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13440</v>
      </c>
      <c r="B72" t="s">
        <v>13440</v>
      </c>
      <c r="C72" t="s">
        <v>13441</v>
      </c>
      <c r="D72" t="s">
        <v>21</v>
      </c>
      <c r="G72" t="str">
        <f>Config!$B$7</f>
        <v>SCH/Connector.SchLib</v>
      </c>
      <c r="H72" t="s">
        <v>13172</v>
      </c>
      <c r="I72" t="s">
        <v>4623</v>
      </c>
      <c r="J72" t="s">
        <v>13442</v>
      </c>
      <c r="L72" s="1" t="s">
        <v>13499</v>
      </c>
    </row>
    <row r="73" spans="1:17" ht="15.75">
      <c r="A73" t="s">
        <v>13443</v>
      </c>
      <c r="B73" t="s">
        <v>13443</v>
      </c>
      <c r="C73" t="s">
        <v>13444</v>
      </c>
      <c r="D73" t="s">
        <v>21</v>
      </c>
      <c r="G73" t="str">
        <f>Config!$B$7</f>
        <v>SCH/Connector.SchLib</v>
      </c>
      <c r="H73" t="s">
        <v>13180</v>
      </c>
      <c r="I73" t="s">
        <v>4623</v>
      </c>
      <c r="J73" t="s">
        <v>13445</v>
      </c>
      <c r="L73" s="1" t="s">
        <v>13499</v>
      </c>
    </row>
    <row r="74" spans="1:17" ht="15.75">
      <c r="A74" t="s">
        <v>13446</v>
      </c>
      <c r="B74" t="s">
        <v>13446</v>
      </c>
      <c r="C74" t="s">
        <v>13447</v>
      </c>
      <c r="D74" t="s">
        <v>21</v>
      </c>
      <c r="G74" t="str">
        <f>Config!$B$7</f>
        <v>SCH/Connector.SchLib</v>
      </c>
      <c r="H74" t="s">
        <v>13188</v>
      </c>
      <c r="I74" t="s">
        <v>4623</v>
      </c>
      <c r="J74" t="s">
        <v>13448</v>
      </c>
      <c r="L74" s="1" t="s">
        <v>13499</v>
      </c>
    </row>
    <row r="75" spans="1:17" ht="15.75">
      <c r="A75" t="s">
        <v>13449</v>
      </c>
      <c r="B75" t="s">
        <v>13449</v>
      </c>
      <c r="C75" t="s">
        <v>13450</v>
      </c>
      <c r="D75" t="s">
        <v>21</v>
      </c>
      <c r="G75" t="str">
        <f>Config!$B$7</f>
        <v>SCH/Connector.SchLib</v>
      </c>
      <c r="H75" t="s">
        <v>13196</v>
      </c>
      <c r="I75" t="s">
        <v>4623</v>
      </c>
      <c r="J75" t="s">
        <v>13451</v>
      </c>
      <c r="L75" s="1" t="s">
        <v>13499</v>
      </c>
    </row>
    <row r="76" spans="1:17" ht="15.75">
      <c r="A76" t="s">
        <v>13452</v>
      </c>
      <c r="B76" t="s">
        <v>13452</v>
      </c>
      <c r="C76" t="s">
        <v>13453</v>
      </c>
      <c r="D76" t="s">
        <v>21</v>
      </c>
      <c r="G76" t="str">
        <f>Config!$B$7</f>
        <v>SCH/Connector.SchLib</v>
      </c>
      <c r="H76" t="s">
        <v>13204</v>
      </c>
      <c r="I76" t="s">
        <v>4623</v>
      </c>
      <c r="J76" t="s">
        <v>13454</v>
      </c>
      <c r="L76" s="1" t="s">
        <v>13499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13499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13499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13499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13499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13499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13499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13499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13499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13499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13499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13499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13499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13499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13499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13499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13499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13499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13499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13499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13499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13499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13499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13499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13499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13499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13499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13499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13499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13499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13499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13499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13499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13499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13499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8479</v>
      </c>
      <c r="B111" t="s">
        <v>8483</v>
      </c>
      <c r="C111" t="s">
        <v>8484</v>
      </c>
      <c r="D111" t="s">
        <v>8477</v>
      </c>
      <c r="G111" t="str">
        <f>Config!$B$7</f>
        <v>SCH/Connector.SchLib</v>
      </c>
      <c r="H111" t="s">
        <v>6559</v>
      </c>
      <c r="I111" t="s">
        <v>8478</v>
      </c>
      <c r="J111" t="s">
        <v>8479</v>
      </c>
      <c r="L111" s="1" t="s">
        <v>13499</v>
      </c>
      <c r="M111" t="s">
        <v>8480</v>
      </c>
      <c r="N111" t="s">
        <v>6374</v>
      </c>
      <c r="O111" t="s">
        <v>8481</v>
      </c>
      <c r="P111" t="s">
        <v>25</v>
      </c>
      <c r="Q111" t="s">
        <v>8482</v>
      </c>
    </row>
    <row r="112" spans="1:17" ht="15.75">
      <c r="A112" t="s">
        <v>8527</v>
      </c>
      <c r="B112" t="s">
        <v>8527</v>
      </c>
      <c r="C112" t="s">
        <v>8528</v>
      </c>
      <c r="D112" t="s">
        <v>8529</v>
      </c>
      <c r="G112" t="str">
        <f>Config!$B$7</f>
        <v>SCH/Connector.SchLib</v>
      </c>
      <c r="H112" t="s">
        <v>6975</v>
      </c>
      <c r="I112" t="s">
        <v>8530</v>
      </c>
      <c r="J112" t="s">
        <v>8527</v>
      </c>
      <c r="L112" s="1" t="s">
        <v>13499</v>
      </c>
      <c r="M112" t="s">
        <v>8531</v>
      </c>
      <c r="N112" t="s">
        <v>8532</v>
      </c>
      <c r="O112" t="s">
        <v>8527</v>
      </c>
      <c r="P112" t="s">
        <v>25</v>
      </c>
      <c r="Q112" t="s">
        <v>8533</v>
      </c>
    </row>
    <row r="113" spans="1:17" ht="15.75">
      <c r="A113" t="s">
        <v>8534</v>
      </c>
      <c r="B113" t="s">
        <v>8534</v>
      </c>
      <c r="C113" t="s">
        <v>8535</v>
      </c>
      <c r="D113" t="s">
        <v>8529</v>
      </c>
      <c r="G113" t="str">
        <f>Config!$B$7</f>
        <v>SCH/Connector.SchLib</v>
      </c>
      <c r="H113" t="s">
        <v>6975</v>
      </c>
      <c r="I113" t="s">
        <v>8530</v>
      </c>
      <c r="J113" t="s">
        <v>8534</v>
      </c>
      <c r="L113" s="1" t="s">
        <v>13499</v>
      </c>
      <c r="M113" t="s">
        <v>8536</v>
      </c>
      <c r="N113" t="s">
        <v>8532</v>
      </c>
      <c r="O113" t="s">
        <v>8534</v>
      </c>
      <c r="P113" t="s">
        <v>25</v>
      </c>
      <c r="Q113" t="s">
        <v>8537</v>
      </c>
    </row>
    <row r="114" spans="1:17" ht="15.75">
      <c r="A114" t="s">
        <v>12313</v>
      </c>
      <c r="B114" t="s">
        <v>12315</v>
      </c>
      <c r="C114" t="s">
        <v>12314</v>
      </c>
      <c r="D114" t="s">
        <v>12316</v>
      </c>
      <c r="G114" t="str">
        <f>Config!$B$7</f>
        <v>SCH/Connector.SchLib</v>
      </c>
      <c r="H114" t="s">
        <v>12321</v>
      </c>
      <c r="I114" t="s">
        <v>12320</v>
      </c>
      <c r="J114" t="s">
        <v>12319</v>
      </c>
      <c r="L114" s="1" t="s">
        <v>13499</v>
      </c>
      <c r="M114" t="s">
        <v>12318</v>
      </c>
      <c r="N114" t="s">
        <v>12316</v>
      </c>
      <c r="O114" t="s">
        <v>12313</v>
      </c>
      <c r="P114" t="s">
        <v>25</v>
      </c>
      <c r="Q114" t="s">
        <v>12317</v>
      </c>
    </row>
    <row r="115" spans="1:17" ht="15.75">
      <c r="A115" t="s">
        <v>12326</v>
      </c>
      <c r="B115" t="s">
        <v>12324</v>
      </c>
      <c r="C115" t="s">
        <v>12325</v>
      </c>
      <c r="G115" t="str">
        <f>Config!$B$7</f>
        <v>SCH/Connector.SchLib</v>
      </c>
      <c r="H115" t="s">
        <v>12322</v>
      </c>
      <c r="I115" t="s">
        <v>12320</v>
      </c>
      <c r="J115" t="s">
        <v>12323</v>
      </c>
      <c r="L115" s="1" t="s">
        <v>13499</v>
      </c>
    </row>
    <row r="116" spans="1:17" ht="15.75">
      <c r="A116" t="s">
        <v>12170</v>
      </c>
      <c r="B116" t="s">
        <v>12170</v>
      </c>
      <c r="C116" t="s">
        <v>12397</v>
      </c>
      <c r="D116" t="s">
        <v>12148</v>
      </c>
      <c r="G116" t="str">
        <f>Config!$B$7</f>
        <v>SCH/Connector.SchLib</v>
      </c>
      <c r="H116" t="s">
        <v>6983</v>
      </c>
      <c r="I116" s="39"/>
      <c r="J116" s="39"/>
      <c r="L116" s="1" t="s">
        <v>13499</v>
      </c>
      <c r="M116" t="s">
        <v>12393</v>
      </c>
      <c r="N116" t="s">
        <v>12149</v>
      </c>
      <c r="O116" t="s">
        <v>12153</v>
      </c>
      <c r="P116" t="s">
        <v>8461</v>
      </c>
      <c r="Q116">
        <v>14021770</v>
      </c>
    </row>
    <row r="117" spans="1:17" ht="15.75">
      <c r="A117" t="s">
        <v>12171</v>
      </c>
      <c r="B117" t="s">
        <v>12171</v>
      </c>
      <c r="C117" t="s">
        <v>12397</v>
      </c>
      <c r="D117" t="s">
        <v>12148</v>
      </c>
      <c r="G117" t="str">
        <f>Config!$B$7</f>
        <v>SCH/Connector.SchLib</v>
      </c>
      <c r="H117" t="s">
        <v>6983</v>
      </c>
      <c r="I117" s="39"/>
      <c r="J117" s="39"/>
      <c r="L117" s="1" t="s">
        <v>13499</v>
      </c>
      <c r="M117" t="s">
        <v>12393</v>
      </c>
      <c r="N117" t="s">
        <v>12149</v>
      </c>
      <c r="O117" t="s">
        <v>12154</v>
      </c>
      <c r="P117" t="s">
        <v>8461</v>
      </c>
      <c r="Q117">
        <v>14021767</v>
      </c>
    </row>
    <row r="118" spans="1:17" ht="15.75">
      <c r="A118" t="s">
        <v>12147</v>
      </c>
      <c r="B118" t="s">
        <v>12147</v>
      </c>
      <c r="C118" t="s">
        <v>12397</v>
      </c>
      <c r="D118" t="s">
        <v>12148</v>
      </c>
      <c r="G118" t="str">
        <f>Config!$B$7</f>
        <v>SCH/Connector.SchLib</v>
      </c>
      <c r="H118" t="s">
        <v>6983</v>
      </c>
      <c r="I118" s="39"/>
      <c r="J118" s="39"/>
      <c r="L118" s="1" t="s">
        <v>13499</v>
      </c>
      <c r="M118" t="s">
        <v>12393</v>
      </c>
      <c r="N118" t="s">
        <v>12149</v>
      </c>
      <c r="O118" t="s">
        <v>12152</v>
      </c>
      <c r="P118" t="s">
        <v>8461</v>
      </c>
      <c r="Q118">
        <v>14021765</v>
      </c>
    </row>
    <row r="119" spans="1:17" ht="15.75">
      <c r="A119" t="s">
        <v>12172</v>
      </c>
      <c r="B119" t="s">
        <v>12172</v>
      </c>
      <c r="C119" t="s">
        <v>12397</v>
      </c>
      <c r="D119" t="s">
        <v>12148</v>
      </c>
      <c r="G119" t="str">
        <f>Config!$B$7</f>
        <v>SCH/Connector.SchLib</v>
      </c>
      <c r="H119" t="s">
        <v>6983</v>
      </c>
      <c r="I119" s="39"/>
      <c r="J119" s="39"/>
      <c r="L119" s="1" t="s">
        <v>13499</v>
      </c>
      <c r="M119" t="s">
        <v>12393</v>
      </c>
      <c r="N119" t="s">
        <v>12149</v>
      </c>
      <c r="O119" t="s">
        <v>12155</v>
      </c>
      <c r="P119" t="s">
        <v>8461</v>
      </c>
      <c r="Q119">
        <v>14021766</v>
      </c>
    </row>
    <row r="120" spans="1:17" ht="15.75">
      <c r="A120" t="s">
        <v>12173</v>
      </c>
      <c r="B120" t="s">
        <v>12173</v>
      </c>
      <c r="C120" t="s">
        <v>12397</v>
      </c>
      <c r="D120" t="s">
        <v>12148</v>
      </c>
      <c r="G120" t="str">
        <f>Config!$B$7</f>
        <v>SCH/Connector.SchLib</v>
      </c>
      <c r="H120" t="s">
        <v>6983</v>
      </c>
      <c r="I120" s="39"/>
      <c r="J120" s="39"/>
      <c r="L120" s="1" t="s">
        <v>13499</v>
      </c>
      <c r="M120" t="s">
        <v>12393</v>
      </c>
      <c r="N120" t="s">
        <v>12149</v>
      </c>
      <c r="O120" t="s">
        <v>12156</v>
      </c>
      <c r="P120" t="s">
        <v>8461</v>
      </c>
      <c r="Q120">
        <v>14021768</v>
      </c>
    </row>
    <row r="121" spans="1:17" ht="15.75">
      <c r="A121" t="s">
        <v>12174</v>
      </c>
      <c r="B121" t="s">
        <v>12174</v>
      </c>
      <c r="C121" t="s">
        <v>12397</v>
      </c>
      <c r="D121" t="s">
        <v>12148</v>
      </c>
      <c r="G121" t="str">
        <f>Config!$B$7</f>
        <v>SCH/Connector.SchLib</v>
      </c>
      <c r="H121" t="s">
        <v>6983</v>
      </c>
      <c r="I121" s="39"/>
      <c r="J121" s="39"/>
      <c r="L121" s="1" t="s">
        <v>13499</v>
      </c>
      <c r="M121" t="s">
        <v>12393</v>
      </c>
      <c r="N121" t="s">
        <v>12149</v>
      </c>
      <c r="O121" t="s">
        <v>12157</v>
      </c>
      <c r="P121" t="s">
        <v>8461</v>
      </c>
      <c r="Q121">
        <v>14021769</v>
      </c>
    </row>
    <row r="122" spans="1:17" ht="15.75">
      <c r="A122" t="s">
        <v>12175</v>
      </c>
      <c r="B122" t="s">
        <v>12175</v>
      </c>
      <c r="C122" t="s">
        <v>12397</v>
      </c>
      <c r="D122" t="s">
        <v>12148</v>
      </c>
      <c r="G122" t="str">
        <f>Config!$B$7</f>
        <v>SCH/Connector.SchLib</v>
      </c>
      <c r="H122" t="s">
        <v>6983</v>
      </c>
      <c r="I122" s="39"/>
      <c r="J122" s="39"/>
      <c r="L122" s="1" t="s">
        <v>13499</v>
      </c>
      <c r="M122" t="s">
        <v>12393</v>
      </c>
      <c r="N122" t="s">
        <v>12149</v>
      </c>
      <c r="O122" t="s">
        <v>12158</v>
      </c>
      <c r="P122" t="s">
        <v>8461</v>
      </c>
      <c r="Q122">
        <v>30136205</v>
      </c>
    </row>
    <row r="123" spans="1:17" ht="15.75">
      <c r="A123" t="s">
        <v>12176</v>
      </c>
      <c r="B123" t="s">
        <v>12176</v>
      </c>
      <c r="C123" t="s">
        <v>12397</v>
      </c>
      <c r="D123" t="s">
        <v>12148</v>
      </c>
      <c r="G123" t="str">
        <f>Config!$B$7</f>
        <v>SCH/Connector.SchLib</v>
      </c>
      <c r="H123" t="s">
        <v>6983</v>
      </c>
      <c r="I123" s="39"/>
      <c r="J123" s="39"/>
      <c r="L123" s="1" t="s">
        <v>13499</v>
      </c>
      <c r="M123" t="s">
        <v>12393</v>
      </c>
      <c r="N123" t="s">
        <v>12149</v>
      </c>
      <c r="O123" t="s">
        <v>12159</v>
      </c>
      <c r="P123" t="s">
        <v>8461</v>
      </c>
      <c r="Q123">
        <v>14022426</v>
      </c>
    </row>
    <row r="124" spans="1:17" ht="15.75">
      <c r="A124" t="s">
        <v>12177</v>
      </c>
      <c r="B124" t="s">
        <v>12177</v>
      </c>
      <c r="C124" t="s">
        <v>12397</v>
      </c>
      <c r="D124" t="s">
        <v>12148</v>
      </c>
      <c r="G124" t="str">
        <f>Config!$B$7</f>
        <v>SCH/Connector.SchLib</v>
      </c>
      <c r="H124" t="s">
        <v>6983</v>
      </c>
      <c r="I124" s="39"/>
      <c r="J124" s="39"/>
      <c r="L124" s="1" t="s">
        <v>13499</v>
      </c>
      <c r="M124" t="s">
        <v>12393</v>
      </c>
      <c r="N124" t="s">
        <v>12149</v>
      </c>
      <c r="O124" t="s">
        <v>12160</v>
      </c>
      <c r="P124" t="s">
        <v>8461</v>
      </c>
      <c r="Q124">
        <v>14022425</v>
      </c>
    </row>
    <row r="125" spans="1:17" ht="15.75">
      <c r="A125" t="s">
        <v>12178</v>
      </c>
      <c r="B125" t="s">
        <v>12178</v>
      </c>
      <c r="C125" t="s">
        <v>12397</v>
      </c>
      <c r="D125" t="s">
        <v>12148</v>
      </c>
      <c r="G125" t="str">
        <f>Config!$B$7</f>
        <v>SCH/Connector.SchLib</v>
      </c>
      <c r="H125" t="s">
        <v>6983</v>
      </c>
      <c r="I125" s="39"/>
      <c r="J125" s="39"/>
      <c r="L125" s="1" t="s">
        <v>13499</v>
      </c>
      <c r="M125" t="s">
        <v>12393</v>
      </c>
      <c r="N125" t="s">
        <v>12149</v>
      </c>
      <c r="O125" t="s">
        <v>12161</v>
      </c>
      <c r="P125" t="s">
        <v>8461</v>
      </c>
      <c r="Q125">
        <v>14021772</v>
      </c>
    </row>
    <row r="126" spans="1:17" ht="15.75">
      <c r="A126" t="s">
        <v>12179</v>
      </c>
      <c r="B126" t="s">
        <v>12179</v>
      </c>
      <c r="C126" t="s">
        <v>12398</v>
      </c>
      <c r="D126" t="s">
        <v>12148</v>
      </c>
      <c r="G126" t="str">
        <f>Config!$B$7</f>
        <v>SCH/Connector.SchLib</v>
      </c>
      <c r="H126" t="s">
        <v>6983</v>
      </c>
      <c r="I126" t="s">
        <v>13456</v>
      </c>
      <c r="J126" t="s">
        <v>13457</v>
      </c>
      <c r="L126" s="1" t="s">
        <v>13499</v>
      </c>
      <c r="M126" t="s">
        <v>12394</v>
      </c>
      <c r="N126" t="s">
        <v>12149</v>
      </c>
      <c r="O126" t="s">
        <v>12162</v>
      </c>
      <c r="P126" t="s">
        <v>8461</v>
      </c>
      <c r="Q126">
        <v>30136216</v>
      </c>
    </row>
    <row r="127" spans="1:17" ht="15.75">
      <c r="A127" t="s">
        <v>12180</v>
      </c>
      <c r="B127" t="s">
        <v>12180</v>
      </c>
      <c r="C127" t="s">
        <v>12398</v>
      </c>
      <c r="D127" t="s">
        <v>12148</v>
      </c>
      <c r="G127" t="str">
        <f>Config!$B$7</f>
        <v>SCH/Connector.SchLib</v>
      </c>
      <c r="H127" t="s">
        <v>6983</v>
      </c>
      <c r="I127" t="s">
        <v>13456</v>
      </c>
      <c r="J127" t="s">
        <v>13458</v>
      </c>
      <c r="L127" s="1" t="s">
        <v>13499</v>
      </c>
      <c r="M127" t="s">
        <v>12394</v>
      </c>
      <c r="N127" t="s">
        <v>12149</v>
      </c>
      <c r="O127" t="s">
        <v>12163</v>
      </c>
      <c r="P127" t="s">
        <v>8461</v>
      </c>
      <c r="Q127">
        <v>30136217</v>
      </c>
    </row>
    <row r="128" spans="1:17" ht="15.75">
      <c r="A128" t="s">
        <v>12151</v>
      </c>
      <c r="B128" t="s">
        <v>12151</v>
      </c>
      <c r="C128" t="s">
        <v>12398</v>
      </c>
      <c r="D128" t="s">
        <v>12148</v>
      </c>
      <c r="G128" t="str">
        <f>Config!$B$7</f>
        <v>SCH/Connector.SchLib</v>
      </c>
      <c r="H128" t="s">
        <v>6983</v>
      </c>
      <c r="I128" t="s">
        <v>13456</v>
      </c>
      <c r="J128" t="s">
        <v>13455</v>
      </c>
      <c r="L128" s="1" t="s">
        <v>13499</v>
      </c>
      <c r="M128" t="s">
        <v>12394</v>
      </c>
      <c r="N128" t="s">
        <v>12149</v>
      </c>
      <c r="O128" t="s">
        <v>12150</v>
      </c>
      <c r="P128" t="s">
        <v>8461</v>
      </c>
      <c r="Q128">
        <v>30136218</v>
      </c>
    </row>
    <row r="129" spans="1:17" ht="15.75">
      <c r="A129" t="s">
        <v>12181</v>
      </c>
      <c r="B129" t="s">
        <v>12181</v>
      </c>
      <c r="C129" t="s">
        <v>12398</v>
      </c>
      <c r="D129" t="s">
        <v>12148</v>
      </c>
      <c r="G129" t="str">
        <f>Config!$B$7</f>
        <v>SCH/Connector.SchLib</v>
      </c>
      <c r="H129" t="s">
        <v>6983</v>
      </c>
      <c r="I129" t="s">
        <v>13456</v>
      </c>
      <c r="J129" t="s">
        <v>13459</v>
      </c>
      <c r="L129" s="1" t="s">
        <v>13499</v>
      </c>
      <c r="M129" t="s">
        <v>12394</v>
      </c>
      <c r="N129" t="s">
        <v>12149</v>
      </c>
      <c r="O129" t="s">
        <v>12164</v>
      </c>
      <c r="P129" t="s">
        <v>8461</v>
      </c>
      <c r="Q129">
        <v>30136219</v>
      </c>
    </row>
    <row r="130" spans="1:17" ht="15.75">
      <c r="A130" t="s">
        <v>12182</v>
      </c>
      <c r="B130" t="s">
        <v>12182</v>
      </c>
      <c r="C130" t="s">
        <v>12398</v>
      </c>
      <c r="D130" t="s">
        <v>12148</v>
      </c>
      <c r="G130" t="str">
        <f>Config!$B$7</f>
        <v>SCH/Connector.SchLib</v>
      </c>
      <c r="H130" t="s">
        <v>6983</v>
      </c>
      <c r="I130" t="s">
        <v>13456</v>
      </c>
      <c r="J130" t="s">
        <v>13460</v>
      </c>
      <c r="L130" s="1" t="s">
        <v>13499</v>
      </c>
      <c r="M130" t="s">
        <v>12394</v>
      </c>
      <c r="N130" t="s">
        <v>12149</v>
      </c>
      <c r="O130" t="s">
        <v>12165</v>
      </c>
      <c r="P130" t="s">
        <v>8461</v>
      </c>
      <c r="Q130">
        <v>30136220</v>
      </c>
    </row>
    <row r="131" spans="1:17" ht="15.75">
      <c r="A131" t="s">
        <v>12183</v>
      </c>
      <c r="B131" t="s">
        <v>12183</v>
      </c>
      <c r="C131" t="s">
        <v>12398</v>
      </c>
      <c r="D131" t="s">
        <v>12148</v>
      </c>
      <c r="G131" t="str">
        <f>Config!$B$7</f>
        <v>SCH/Connector.SchLib</v>
      </c>
      <c r="H131" t="s">
        <v>6983</v>
      </c>
      <c r="I131" t="s">
        <v>13456</v>
      </c>
      <c r="J131" t="s">
        <v>13461</v>
      </c>
      <c r="L131" s="1" t="s">
        <v>13499</v>
      </c>
      <c r="M131" t="s">
        <v>12394</v>
      </c>
      <c r="N131" t="s">
        <v>12149</v>
      </c>
      <c r="O131" t="s">
        <v>12166</v>
      </c>
      <c r="P131" t="s">
        <v>8461</v>
      </c>
      <c r="Q131">
        <v>30136221</v>
      </c>
    </row>
    <row r="132" spans="1:17" ht="15.75">
      <c r="A132" t="s">
        <v>12184</v>
      </c>
      <c r="B132" t="s">
        <v>12184</v>
      </c>
      <c r="C132" t="s">
        <v>12398</v>
      </c>
      <c r="D132" t="s">
        <v>12148</v>
      </c>
      <c r="G132" t="str">
        <f>Config!$B$7</f>
        <v>SCH/Connector.SchLib</v>
      </c>
      <c r="H132" t="s">
        <v>6983</v>
      </c>
      <c r="I132" t="s">
        <v>13456</v>
      </c>
      <c r="J132" t="s">
        <v>13462</v>
      </c>
      <c r="L132" s="1" t="s">
        <v>13499</v>
      </c>
      <c r="M132" t="s">
        <v>12394</v>
      </c>
      <c r="N132" t="s">
        <v>12149</v>
      </c>
      <c r="O132" t="s">
        <v>12167</v>
      </c>
      <c r="P132" t="s">
        <v>8461</v>
      </c>
      <c r="Q132">
        <v>30136222</v>
      </c>
    </row>
    <row r="133" spans="1:17" ht="15.75">
      <c r="A133" t="s">
        <v>12185</v>
      </c>
      <c r="B133" t="s">
        <v>12185</v>
      </c>
      <c r="C133" t="s">
        <v>12398</v>
      </c>
      <c r="D133" t="s">
        <v>12148</v>
      </c>
      <c r="G133" t="str">
        <f>Config!$B$7</f>
        <v>SCH/Connector.SchLib</v>
      </c>
      <c r="H133" t="s">
        <v>6983</v>
      </c>
      <c r="I133" t="s">
        <v>13456</v>
      </c>
      <c r="J133" t="s">
        <v>13463</v>
      </c>
      <c r="L133" s="1" t="s">
        <v>13499</v>
      </c>
      <c r="M133" t="s">
        <v>12394</v>
      </c>
      <c r="N133" t="s">
        <v>12149</v>
      </c>
      <c r="O133" t="s">
        <v>12168</v>
      </c>
      <c r="P133" t="s">
        <v>8461</v>
      </c>
      <c r="Q133">
        <v>30136223</v>
      </c>
    </row>
    <row r="134" spans="1:17" ht="15.75">
      <c r="A134" t="s">
        <v>12186</v>
      </c>
      <c r="B134" t="s">
        <v>12186</v>
      </c>
      <c r="C134" t="s">
        <v>12398</v>
      </c>
      <c r="D134" t="s">
        <v>12148</v>
      </c>
      <c r="G134" t="str">
        <f>Config!$B$7</f>
        <v>SCH/Connector.SchLib</v>
      </c>
      <c r="H134" t="s">
        <v>6983</v>
      </c>
      <c r="I134" t="s">
        <v>13456</v>
      </c>
      <c r="J134" t="s">
        <v>13464</v>
      </c>
      <c r="L134" s="1" t="s">
        <v>13499</v>
      </c>
      <c r="M134" t="s">
        <v>12394</v>
      </c>
      <c r="N134" t="s">
        <v>12149</v>
      </c>
      <c r="O134" t="s">
        <v>12169</v>
      </c>
      <c r="P134" t="s">
        <v>8461</v>
      </c>
      <c r="Q134">
        <v>30136224</v>
      </c>
    </row>
    <row r="135" spans="1:17" ht="15.75">
      <c r="A135" t="s">
        <v>12187</v>
      </c>
      <c r="B135" t="s">
        <v>12187</v>
      </c>
      <c r="C135" t="s">
        <v>12398</v>
      </c>
      <c r="D135" t="s">
        <v>12148</v>
      </c>
      <c r="G135" t="str">
        <f>Config!$B$7</f>
        <v>SCH/Connector.SchLib</v>
      </c>
      <c r="H135" t="s">
        <v>6983</v>
      </c>
      <c r="I135" t="s">
        <v>13456</v>
      </c>
      <c r="J135" t="s">
        <v>13465</v>
      </c>
      <c r="L135" s="1" t="s">
        <v>13499</v>
      </c>
      <c r="M135" t="s">
        <v>12394</v>
      </c>
      <c r="N135" t="s">
        <v>12149</v>
      </c>
      <c r="O135" t="s">
        <v>12454</v>
      </c>
    </row>
    <row r="136" spans="1:17" ht="15.75">
      <c r="A136" t="s">
        <v>12327</v>
      </c>
      <c r="B136" t="s">
        <v>12327</v>
      </c>
      <c r="C136" t="s">
        <v>12399</v>
      </c>
      <c r="D136" t="s">
        <v>12148</v>
      </c>
      <c r="G136" t="str">
        <f>Config!$B$7</f>
        <v>SCH/Connector.SchLib</v>
      </c>
      <c r="H136" t="s">
        <v>7005</v>
      </c>
      <c r="I136" s="39"/>
      <c r="J136" s="39"/>
      <c r="L136" s="1" t="s">
        <v>13499</v>
      </c>
      <c r="M136" t="s">
        <v>12395</v>
      </c>
      <c r="N136" t="s">
        <v>12149</v>
      </c>
      <c r="O136" t="s">
        <v>12335</v>
      </c>
    </row>
    <row r="137" spans="1:17" ht="15.75">
      <c r="A137" t="s">
        <v>12328</v>
      </c>
      <c r="B137" t="s">
        <v>12328</v>
      </c>
      <c r="C137" t="s">
        <v>12399</v>
      </c>
      <c r="D137" t="s">
        <v>12148</v>
      </c>
      <c r="G137" t="str">
        <f>Config!$B$7</f>
        <v>SCH/Connector.SchLib</v>
      </c>
      <c r="H137" t="s">
        <v>7005</v>
      </c>
      <c r="I137" s="39"/>
      <c r="J137" s="39"/>
      <c r="L137" s="1" t="s">
        <v>13499</v>
      </c>
      <c r="M137" t="s">
        <v>12395</v>
      </c>
      <c r="N137" t="s">
        <v>12149</v>
      </c>
      <c r="O137" t="s">
        <v>12336</v>
      </c>
      <c r="P137" t="s">
        <v>8461</v>
      </c>
      <c r="Q137">
        <v>14021779</v>
      </c>
    </row>
    <row r="138" spans="1:17" ht="15.75">
      <c r="A138" t="s">
        <v>12329</v>
      </c>
      <c r="B138" t="s">
        <v>12329</v>
      </c>
      <c r="C138" t="s">
        <v>12399</v>
      </c>
      <c r="D138" t="s">
        <v>12148</v>
      </c>
      <c r="G138" t="str">
        <f>Config!$B$7</f>
        <v>SCH/Connector.SchLib</v>
      </c>
      <c r="H138" t="s">
        <v>7005</v>
      </c>
      <c r="I138" s="39"/>
      <c r="J138" s="39"/>
      <c r="L138" s="1" t="s">
        <v>13499</v>
      </c>
      <c r="M138" t="s">
        <v>12395</v>
      </c>
      <c r="N138" t="s">
        <v>12149</v>
      </c>
      <c r="O138" t="s">
        <v>12337</v>
      </c>
      <c r="P138" t="s">
        <v>8461</v>
      </c>
      <c r="Q138">
        <v>14021780</v>
      </c>
    </row>
    <row r="139" spans="1:17" ht="15.75">
      <c r="A139" t="s">
        <v>12330</v>
      </c>
      <c r="B139" t="s">
        <v>12330</v>
      </c>
      <c r="C139" t="s">
        <v>12399</v>
      </c>
      <c r="D139" t="s">
        <v>12148</v>
      </c>
      <c r="G139" t="str">
        <f>Config!$B$7</f>
        <v>SCH/Connector.SchLib</v>
      </c>
      <c r="H139" t="s">
        <v>7005</v>
      </c>
      <c r="I139" s="39"/>
      <c r="J139" s="39"/>
      <c r="L139" s="1" t="s">
        <v>13499</v>
      </c>
      <c r="M139" t="s">
        <v>12395</v>
      </c>
      <c r="N139" t="s">
        <v>12149</v>
      </c>
      <c r="O139" t="s">
        <v>12338</v>
      </c>
      <c r="P139" t="s">
        <v>8461</v>
      </c>
      <c r="Q139">
        <v>14021781</v>
      </c>
    </row>
    <row r="140" spans="1:17" ht="15.75">
      <c r="A140" t="s">
        <v>12331</v>
      </c>
      <c r="B140" t="s">
        <v>12331</v>
      </c>
      <c r="C140" t="s">
        <v>12399</v>
      </c>
      <c r="D140" t="s">
        <v>12148</v>
      </c>
      <c r="G140" t="str">
        <f>Config!$B$7</f>
        <v>SCH/Connector.SchLib</v>
      </c>
      <c r="H140" t="s">
        <v>7005</v>
      </c>
      <c r="I140" s="39"/>
      <c r="J140" s="39"/>
      <c r="L140" s="1" t="s">
        <v>13499</v>
      </c>
      <c r="M140" t="s">
        <v>12395</v>
      </c>
      <c r="N140" t="s">
        <v>12149</v>
      </c>
      <c r="O140" t="s">
        <v>12339</v>
      </c>
    </row>
    <row r="141" spans="1:17" ht="15.75">
      <c r="A141" t="s">
        <v>12332</v>
      </c>
      <c r="B141" t="s">
        <v>12332</v>
      </c>
      <c r="C141" t="s">
        <v>12399</v>
      </c>
      <c r="D141" t="s">
        <v>12148</v>
      </c>
      <c r="G141" t="str">
        <f>Config!$B$7</f>
        <v>SCH/Connector.SchLib</v>
      </c>
      <c r="H141" t="s">
        <v>7005</v>
      </c>
      <c r="I141" s="39"/>
      <c r="J141" s="39"/>
      <c r="L141" s="1" t="s">
        <v>13499</v>
      </c>
      <c r="M141" t="s">
        <v>12395</v>
      </c>
      <c r="N141" t="s">
        <v>12149</v>
      </c>
      <c r="O141" t="s">
        <v>12340</v>
      </c>
    </row>
    <row r="142" spans="1:17" ht="15.75">
      <c r="A142" t="s">
        <v>12333</v>
      </c>
      <c r="B142" t="s">
        <v>12333</v>
      </c>
      <c r="C142" t="s">
        <v>12399</v>
      </c>
      <c r="D142" t="s">
        <v>12148</v>
      </c>
      <c r="G142" t="str">
        <f>Config!$B$7</f>
        <v>SCH/Connector.SchLib</v>
      </c>
      <c r="H142" t="s">
        <v>7005</v>
      </c>
      <c r="I142" s="39"/>
      <c r="J142" s="39"/>
      <c r="L142" s="1" t="s">
        <v>13499</v>
      </c>
      <c r="M142" t="s">
        <v>12395</v>
      </c>
      <c r="N142" t="s">
        <v>12149</v>
      </c>
      <c r="O142" t="s">
        <v>12341</v>
      </c>
    </row>
    <row r="143" spans="1:17" ht="15.75">
      <c r="A143" t="s">
        <v>12334</v>
      </c>
      <c r="B143" t="s">
        <v>12334</v>
      </c>
      <c r="C143" t="s">
        <v>12399</v>
      </c>
      <c r="D143" t="s">
        <v>12148</v>
      </c>
      <c r="G143" t="str">
        <f>Config!$B$7</f>
        <v>SCH/Connector.SchLib</v>
      </c>
      <c r="H143" t="s">
        <v>7005</v>
      </c>
      <c r="I143" s="39"/>
      <c r="J143" s="39"/>
      <c r="L143" s="1" t="s">
        <v>13499</v>
      </c>
      <c r="M143" t="s">
        <v>12395</v>
      </c>
      <c r="N143" t="s">
        <v>12149</v>
      </c>
      <c r="O143" t="s">
        <v>12342</v>
      </c>
    </row>
    <row r="144" spans="1:17" ht="15.75">
      <c r="A144" t="s">
        <v>12343</v>
      </c>
      <c r="B144" t="s">
        <v>12343</v>
      </c>
      <c r="C144" t="s">
        <v>12400</v>
      </c>
      <c r="D144" t="s">
        <v>12148</v>
      </c>
      <c r="G144" t="str">
        <f>Config!$B$7</f>
        <v>SCH/Connector.SchLib</v>
      </c>
      <c r="H144" t="s">
        <v>6983</v>
      </c>
      <c r="I144" s="39"/>
      <c r="J144" s="39"/>
      <c r="L144" s="1" t="s">
        <v>13499</v>
      </c>
      <c r="M144" t="s">
        <v>12396</v>
      </c>
      <c r="N144" t="s">
        <v>12149</v>
      </c>
      <c r="O144" t="s">
        <v>12353</v>
      </c>
      <c r="P144" t="s">
        <v>8461</v>
      </c>
      <c r="Q144">
        <v>30223684</v>
      </c>
    </row>
    <row r="145" spans="1:17" ht="15.75">
      <c r="A145" t="s">
        <v>12344</v>
      </c>
      <c r="B145" t="s">
        <v>12344</v>
      </c>
      <c r="C145" t="s">
        <v>12400</v>
      </c>
      <c r="D145" t="s">
        <v>12148</v>
      </c>
      <c r="G145" t="str">
        <f>Config!$B$7</f>
        <v>SCH/Connector.SchLib</v>
      </c>
      <c r="H145" t="s">
        <v>6983</v>
      </c>
      <c r="I145" s="39"/>
      <c r="J145" s="39"/>
      <c r="L145" s="1" t="s">
        <v>13499</v>
      </c>
      <c r="M145" t="s">
        <v>12396</v>
      </c>
      <c r="N145" t="s">
        <v>12149</v>
      </c>
      <c r="O145" t="s">
        <v>12354</v>
      </c>
      <c r="P145" t="s">
        <v>8461</v>
      </c>
      <c r="Q145">
        <v>30136412</v>
      </c>
    </row>
    <row r="146" spans="1:17" ht="15.75">
      <c r="A146" t="s">
        <v>12345</v>
      </c>
      <c r="B146" t="s">
        <v>12345</v>
      </c>
      <c r="C146" t="s">
        <v>12400</v>
      </c>
      <c r="D146" t="s">
        <v>12148</v>
      </c>
      <c r="G146" t="str">
        <f>Config!$B$7</f>
        <v>SCH/Connector.SchLib</v>
      </c>
      <c r="H146" t="s">
        <v>6983</v>
      </c>
      <c r="I146" s="39"/>
      <c r="J146" s="39"/>
      <c r="L146" s="1" t="s">
        <v>13499</v>
      </c>
      <c r="M146" t="s">
        <v>12396</v>
      </c>
      <c r="N146" t="s">
        <v>12149</v>
      </c>
      <c r="O146" t="s">
        <v>12355</v>
      </c>
      <c r="P146" t="s">
        <v>8461</v>
      </c>
      <c r="Q146">
        <v>30136413</v>
      </c>
    </row>
    <row r="147" spans="1:17" ht="15.75">
      <c r="A147" t="s">
        <v>12346</v>
      </c>
      <c r="B147" t="s">
        <v>12346</v>
      </c>
      <c r="C147" t="s">
        <v>12400</v>
      </c>
      <c r="D147" t="s">
        <v>12148</v>
      </c>
      <c r="G147" t="str">
        <f>Config!$B$7</f>
        <v>SCH/Connector.SchLib</v>
      </c>
      <c r="H147" t="s">
        <v>6983</v>
      </c>
      <c r="I147" s="39"/>
      <c r="J147" s="39"/>
      <c r="L147" s="1" t="s">
        <v>13499</v>
      </c>
      <c r="M147" t="s">
        <v>12396</v>
      </c>
      <c r="N147" t="s">
        <v>12149</v>
      </c>
      <c r="O147" t="s">
        <v>12356</v>
      </c>
    </row>
    <row r="148" spans="1:17" ht="15.75">
      <c r="A148" t="s">
        <v>12347</v>
      </c>
      <c r="B148" t="s">
        <v>12347</v>
      </c>
      <c r="C148" t="s">
        <v>12400</v>
      </c>
      <c r="D148" t="s">
        <v>12148</v>
      </c>
      <c r="G148" t="str">
        <f>Config!$B$7</f>
        <v>SCH/Connector.SchLib</v>
      </c>
      <c r="H148" t="s">
        <v>6983</v>
      </c>
      <c r="I148" s="39"/>
      <c r="J148" s="39"/>
      <c r="L148" s="1" t="s">
        <v>13499</v>
      </c>
      <c r="M148" t="s">
        <v>12396</v>
      </c>
      <c r="N148" t="s">
        <v>12149</v>
      </c>
      <c r="O148" t="s">
        <v>12357</v>
      </c>
      <c r="P148" t="s">
        <v>8461</v>
      </c>
      <c r="Q148">
        <v>30136415</v>
      </c>
    </row>
    <row r="149" spans="1:17" ht="15.75">
      <c r="A149" t="s">
        <v>12348</v>
      </c>
      <c r="B149" t="s">
        <v>12348</v>
      </c>
      <c r="C149" t="s">
        <v>12400</v>
      </c>
      <c r="D149" t="s">
        <v>12148</v>
      </c>
      <c r="G149" t="str">
        <f>Config!$B$7</f>
        <v>SCH/Connector.SchLib</v>
      </c>
      <c r="H149" t="s">
        <v>6983</v>
      </c>
      <c r="I149" s="39"/>
      <c r="J149" s="39"/>
      <c r="L149" s="1" t="s">
        <v>13499</v>
      </c>
      <c r="M149" t="s">
        <v>12396</v>
      </c>
      <c r="N149" t="s">
        <v>12149</v>
      </c>
      <c r="O149" t="s">
        <v>12358</v>
      </c>
    </row>
    <row r="150" spans="1:17" ht="15.75">
      <c r="A150" t="s">
        <v>12349</v>
      </c>
      <c r="B150" t="s">
        <v>12349</v>
      </c>
      <c r="C150" t="s">
        <v>12400</v>
      </c>
      <c r="D150" t="s">
        <v>12148</v>
      </c>
      <c r="G150" t="str">
        <f>Config!$B$7</f>
        <v>SCH/Connector.SchLib</v>
      </c>
      <c r="H150" t="s">
        <v>6983</v>
      </c>
      <c r="I150" s="39"/>
      <c r="J150" s="39"/>
      <c r="L150" s="1" t="s">
        <v>13499</v>
      </c>
      <c r="M150" t="s">
        <v>12396</v>
      </c>
      <c r="N150" t="s">
        <v>12149</v>
      </c>
      <c r="O150" t="s">
        <v>12359</v>
      </c>
    </row>
    <row r="151" spans="1:17" ht="15.75">
      <c r="A151" t="s">
        <v>12350</v>
      </c>
      <c r="B151" t="s">
        <v>12350</v>
      </c>
      <c r="C151" t="s">
        <v>12400</v>
      </c>
      <c r="D151" t="s">
        <v>12148</v>
      </c>
      <c r="G151" t="str">
        <f>Config!$B$7</f>
        <v>SCH/Connector.SchLib</v>
      </c>
      <c r="H151" t="s">
        <v>6983</v>
      </c>
      <c r="I151" s="39"/>
      <c r="J151" s="39"/>
      <c r="L151" s="1" t="s">
        <v>13499</v>
      </c>
      <c r="M151" t="s">
        <v>12396</v>
      </c>
      <c r="N151" t="s">
        <v>12149</v>
      </c>
      <c r="O151" t="s">
        <v>12360</v>
      </c>
      <c r="P151" t="s">
        <v>8461</v>
      </c>
    </row>
    <row r="152" spans="1:17" ht="15.75">
      <c r="A152" t="s">
        <v>12351</v>
      </c>
      <c r="B152" t="s">
        <v>12351</v>
      </c>
      <c r="C152" t="s">
        <v>12400</v>
      </c>
      <c r="D152" t="s">
        <v>12148</v>
      </c>
      <c r="G152" t="str">
        <f>Config!$B$7</f>
        <v>SCH/Connector.SchLib</v>
      </c>
      <c r="H152" t="s">
        <v>6983</v>
      </c>
      <c r="I152" s="39"/>
      <c r="J152" s="39"/>
      <c r="L152" s="1" t="s">
        <v>13499</v>
      </c>
      <c r="M152" t="s">
        <v>12396</v>
      </c>
      <c r="N152" t="s">
        <v>12149</v>
      </c>
      <c r="O152" t="s">
        <v>12361</v>
      </c>
      <c r="P152" t="s">
        <v>8461</v>
      </c>
      <c r="Q152">
        <v>30223687</v>
      </c>
    </row>
    <row r="153" spans="1:17" ht="15.75">
      <c r="A153" t="s">
        <v>12352</v>
      </c>
      <c r="B153" t="s">
        <v>12352</v>
      </c>
      <c r="C153" t="s">
        <v>12400</v>
      </c>
      <c r="D153" t="s">
        <v>12148</v>
      </c>
      <c r="G153" t="str">
        <f>Config!$B$7</f>
        <v>SCH/Connector.SchLib</v>
      </c>
      <c r="H153" t="s">
        <v>6983</v>
      </c>
      <c r="I153" s="39"/>
      <c r="J153" s="39"/>
      <c r="L153" s="1" t="s">
        <v>13499</v>
      </c>
      <c r="M153" t="s">
        <v>12396</v>
      </c>
      <c r="N153" t="s">
        <v>12149</v>
      </c>
      <c r="O153" t="s">
        <v>12362</v>
      </c>
      <c r="P153" t="s">
        <v>8461</v>
      </c>
      <c r="Q153">
        <v>30223688</v>
      </c>
    </row>
    <row r="154" spans="1:17" ht="15.75">
      <c r="A154" t="s">
        <v>12363</v>
      </c>
      <c r="B154" t="s">
        <v>12363</v>
      </c>
      <c r="C154" t="s">
        <v>12401</v>
      </c>
      <c r="D154" t="s">
        <v>12148</v>
      </c>
      <c r="G154" t="str">
        <f>Config!$B$7</f>
        <v>SCH/Connector.SchLib</v>
      </c>
      <c r="H154" t="s">
        <v>6983</v>
      </c>
      <c r="I154" s="39"/>
      <c r="J154" s="39"/>
      <c r="L154" s="1" t="s">
        <v>13499</v>
      </c>
      <c r="M154" t="s">
        <v>12479</v>
      </c>
      <c r="N154" t="s">
        <v>12149</v>
      </c>
      <c r="O154" t="s">
        <v>12404</v>
      </c>
    </row>
    <row r="155" spans="1:17" ht="15.75">
      <c r="A155" t="s">
        <v>12364</v>
      </c>
      <c r="B155" t="s">
        <v>12364</v>
      </c>
      <c r="C155" t="s">
        <v>12401</v>
      </c>
      <c r="D155" t="s">
        <v>12148</v>
      </c>
      <c r="G155" t="str">
        <f>Config!$B$7</f>
        <v>SCH/Connector.SchLib</v>
      </c>
      <c r="H155" t="s">
        <v>6983</v>
      </c>
      <c r="I155" s="39"/>
      <c r="J155" s="39"/>
      <c r="L155" s="1" t="s">
        <v>13499</v>
      </c>
      <c r="M155" t="s">
        <v>12479</v>
      </c>
      <c r="N155" t="s">
        <v>12149</v>
      </c>
      <c r="O155" t="s">
        <v>12405</v>
      </c>
    </row>
    <row r="156" spans="1:17" ht="15.75">
      <c r="A156" t="s">
        <v>12365</v>
      </c>
      <c r="B156" t="s">
        <v>12365</v>
      </c>
      <c r="C156" t="s">
        <v>12401</v>
      </c>
      <c r="D156" t="s">
        <v>12148</v>
      </c>
      <c r="G156" t="str">
        <f>Config!$B$7</f>
        <v>SCH/Connector.SchLib</v>
      </c>
      <c r="H156" t="s">
        <v>6983</v>
      </c>
      <c r="I156" s="39"/>
      <c r="J156" s="39"/>
      <c r="L156" s="1" t="s">
        <v>13499</v>
      </c>
      <c r="M156" t="s">
        <v>12479</v>
      </c>
      <c r="N156" t="s">
        <v>12149</v>
      </c>
      <c r="O156" t="s">
        <v>12406</v>
      </c>
    </row>
    <row r="157" spans="1:17" ht="15.75">
      <c r="A157" t="s">
        <v>12366</v>
      </c>
      <c r="B157" t="s">
        <v>12366</v>
      </c>
      <c r="C157" t="s">
        <v>12401</v>
      </c>
      <c r="D157" t="s">
        <v>12148</v>
      </c>
      <c r="G157" t="str">
        <f>Config!$B$7</f>
        <v>SCH/Connector.SchLib</v>
      </c>
      <c r="H157" t="s">
        <v>6983</v>
      </c>
      <c r="I157" s="39"/>
      <c r="J157" s="39"/>
      <c r="L157" s="1" t="s">
        <v>13499</v>
      </c>
      <c r="M157" t="s">
        <v>12479</v>
      </c>
      <c r="N157" t="s">
        <v>12149</v>
      </c>
      <c r="O157" t="s">
        <v>12407</v>
      </c>
    </row>
    <row r="158" spans="1:17" ht="15.75">
      <c r="A158" t="s">
        <v>12367</v>
      </c>
      <c r="B158" t="s">
        <v>12367</v>
      </c>
      <c r="C158" t="s">
        <v>12401</v>
      </c>
      <c r="D158" t="s">
        <v>12148</v>
      </c>
      <c r="G158" t="str">
        <f>Config!$B$7</f>
        <v>SCH/Connector.SchLib</v>
      </c>
      <c r="H158" t="s">
        <v>6983</v>
      </c>
      <c r="I158" s="39"/>
      <c r="J158" s="39"/>
      <c r="L158" s="1" t="s">
        <v>13499</v>
      </c>
      <c r="M158" t="s">
        <v>12479</v>
      </c>
      <c r="N158" t="s">
        <v>12149</v>
      </c>
      <c r="O158" t="s">
        <v>12408</v>
      </c>
    </row>
    <row r="159" spans="1:17" ht="15.75">
      <c r="A159" t="s">
        <v>12368</v>
      </c>
      <c r="B159" t="s">
        <v>12368</v>
      </c>
      <c r="C159" t="s">
        <v>12401</v>
      </c>
      <c r="D159" t="s">
        <v>12148</v>
      </c>
      <c r="G159" t="str">
        <f>Config!$B$7</f>
        <v>SCH/Connector.SchLib</v>
      </c>
      <c r="H159" t="s">
        <v>6983</v>
      </c>
      <c r="I159" s="39"/>
      <c r="J159" s="39"/>
      <c r="L159" s="1" t="s">
        <v>13499</v>
      </c>
      <c r="M159" t="s">
        <v>12479</v>
      </c>
      <c r="N159" t="s">
        <v>12149</v>
      </c>
      <c r="O159" t="s">
        <v>12409</v>
      </c>
    </row>
    <row r="160" spans="1:17" ht="15.75">
      <c r="A160" t="s">
        <v>12369</v>
      </c>
      <c r="B160" t="s">
        <v>12369</v>
      </c>
      <c r="C160" t="s">
        <v>12401</v>
      </c>
      <c r="D160" t="s">
        <v>12148</v>
      </c>
      <c r="G160" t="str">
        <f>Config!$B$7</f>
        <v>SCH/Connector.SchLib</v>
      </c>
      <c r="H160" t="s">
        <v>6983</v>
      </c>
      <c r="I160" s="39"/>
      <c r="J160" s="39"/>
      <c r="L160" s="1" t="s">
        <v>13499</v>
      </c>
      <c r="M160" t="s">
        <v>12479</v>
      </c>
      <c r="N160" t="s">
        <v>12149</v>
      </c>
      <c r="O160" t="s">
        <v>12410</v>
      </c>
    </row>
    <row r="161" spans="1:17" ht="15.75">
      <c r="A161" t="s">
        <v>12370</v>
      </c>
      <c r="B161" t="s">
        <v>12370</v>
      </c>
      <c r="C161" t="s">
        <v>12401</v>
      </c>
      <c r="D161" t="s">
        <v>12148</v>
      </c>
      <c r="G161" t="str">
        <f>Config!$B$7</f>
        <v>SCH/Connector.SchLib</v>
      </c>
      <c r="H161" t="s">
        <v>6983</v>
      </c>
      <c r="I161" s="39"/>
      <c r="J161" s="39"/>
      <c r="L161" s="1" t="s">
        <v>13499</v>
      </c>
      <c r="M161" t="s">
        <v>12479</v>
      </c>
      <c r="N161" t="s">
        <v>12149</v>
      </c>
      <c r="O161" t="s">
        <v>12411</v>
      </c>
      <c r="P161" t="s">
        <v>8461</v>
      </c>
      <c r="Q161">
        <v>30223530</v>
      </c>
    </row>
    <row r="162" spans="1:17" ht="15.75">
      <c r="A162" t="s">
        <v>12371</v>
      </c>
      <c r="B162" t="s">
        <v>12371</v>
      </c>
      <c r="C162" t="s">
        <v>12401</v>
      </c>
      <c r="D162" t="s">
        <v>12148</v>
      </c>
      <c r="G162" t="str">
        <f>Config!$B$7</f>
        <v>SCH/Connector.SchLib</v>
      </c>
      <c r="H162" t="s">
        <v>6983</v>
      </c>
      <c r="I162" s="39"/>
      <c r="J162" s="39"/>
      <c r="L162" s="1" t="s">
        <v>13499</v>
      </c>
      <c r="M162" t="s">
        <v>12479</v>
      </c>
      <c r="N162" t="s">
        <v>12149</v>
      </c>
      <c r="O162" t="s">
        <v>12412</v>
      </c>
      <c r="P162" t="s">
        <v>8461</v>
      </c>
      <c r="Q162">
        <v>30223531</v>
      </c>
    </row>
    <row r="163" spans="1:17" ht="15.75">
      <c r="A163" t="s">
        <v>12372</v>
      </c>
      <c r="B163" t="s">
        <v>12372</v>
      </c>
      <c r="C163" t="s">
        <v>12401</v>
      </c>
      <c r="D163" t="s">
        <v>12148</v>
      </c>
      <c r="G163" t="str">
        <f>Config!$B$7</f>
        <v>SCH/Connector.SchLib</v>
      </c>
      <c r="H163" t="s">
        <v>6983</v>
      </c>
      <c r="I163" s="39"/>
      <c r="J163" s="39"/>
      <c r="L163" s="1" t="s">
        <v>13499</v>
      </c>
      <c r="M163" t="s">
        <v>12479</v>
      </c>
      <c r="N163" t="s">
        <v>12149</v>
      </c>
      <c r="O163" t="s">
        <v>12413</v>
      </c>
      <c r="P163" t="s">
        <v>8461</v>
      </c>
    </row>
    <row r="164" spans="1:17" ht="15.75">
      <c r="A164" t="s">
        <v>12373</v>
      </c>
      <c r="B164" t="s">
        <v>12373</v>
      </c>
      <c r="C164" t="s">
        <v>12402</v>
      </c>
      <c r="D164" t="s">
        <v>12148</v>
      </c>
      <c r="G164" t="str">
        <f>Config!$B$7</f>
        <v>SCH/Connector.SchLib</v>
      </c>
      <c r="H164" t="s">
        <v>6983</v>
      </c>
      <c r="I164" s="39"/>
      <c r="J164" s="39"/>
      <c r="L164" s="1" t="s">
        <v>13499</v>
      </c>
      <c r="M164" t="s">
        <v>12480</v>
      </c>
      <c r="N164" t="s">
        <v>12149</v>
      </c>
      <c r="O164" t="s">
        <v>12414</v>
      </c>
      <c r="P164" t="s">
        <v>8461</v>
      </c>
      <c r="Q164">
        <v>30136211</v>
      </c>
    </row>
    <row r="165" spans="1:17" ht="15.75">
      <c r="A165" t="s">
        <v>12374</v>
      </c>
      <c r="B165" t="s">
        <v>12374</v>
      </c>
      <c r="C165" t="s">
        <v>12402</v>
      </c>
      <c r="D165" t="s">
        <v>12148</v>
      </c>
      <c r="G165" t="str">
        <f>Config!$B$7</f>
        <v>SCH/Connector.SchLib</v>
      </c>
      <c r="H165" t="s">
        <v>6983</v>
      </c>
      <c r="I165" s="39"/>
      <c r="J165" s="39"/>
      <c r="L165" s="1" t="s">
        <v>13499</v>
      </c>
      <c r="M165" t="s">
        <v>12480</v>
      </c>
      <c r="N165" t="s">
        <v>12149</v>
      </c>
      <c r="O165" t="s">
        <v>12415</v>
      </c>
      <c r="P165" t="s">
        <v>8461</v>
      </c>
      <c r="Q165">
        <v>14021753</v>
      </c>
    </row>
    <row r="166" spans="1:17" ht="15.75">
      <c r="A166" t="s">
        <v>12375</v>
      </c>
      <c r="B166" t="s">
        <v>12375</v>
      </c>
      <c r="C166" t="s">
        <v>12402</v>
      </c>
      <c r="D166" t="s">
        <v>12148</v>
      </c>
      <c r="G166" t="str">
        <f>Config!$B$7</f>
        <v>SCH/Connector.SchLib</v>
      </c>
      <c r="H166" t="s">
        <v>6983</v>
      </c>
      <c r="I166" s="39"/>
      <c r="J166" s="39"/>
      <c r="L166" s="1" t="s">
        <v>13499</v>
      </c>
      <c r="M166" t="s">
        <v>12480</v>
      </c>
      <c r="N166" t="s">
        <v>12149</v>
      </c>
      <c r="O166" t="s">
        <v>12416</v>
      </c>
      <c r="P166" t="s">
        <v>8461</v>
      </c>
      <c r="Q166">
        <v>14021754</v>
      </c>
    </row>
    <row r="167" spans="1:17" ht="15.75">
      <c r="A167" t="s">
        <v>12376</v>
      </c>
      <c r="B167" t="s">
        <v>12376</v>
      </c>
      <c r="C167" t="s">
        <v>12402</v>
      </c>
      <c r="D167" t="s">
        <v>12148</v>
      </c>
      <c r="G167" t="str">
        <f>Config!$B$7</f>
        <v>SCH/Connector.SchLib</v>
      </c>
      <c r="H167" t="s">
        <v>6983</v>
      </c>
      <c r="I167" s="39"/>
      <c r="J167" s="39"/>
      <c r="L167" s="1" t="s">
        <v>13499</v>
      </c>
      <c r="M167" t="s">
        <v>12480</v>
      </c>
      <c r="N167" t="s">
        <v>12149</v>
      </c>
      <c r="O167" t="s">
        <v>12417</v>
      </c>
      <c r="P167" t="s">
        <v>8461</v>
      </c>
      <c r="Q167">
        <v>14021757</v>
      </c>
    </row>
    <row r="168" spans="1:17" ht="15.75">
      <c r="A168" t="s">
        <v>12377</v>
      </c>
      <c r="B168" t="s">
        <v>12377</v>
      </c>
      <c r="C168" t="s">
        <v>12402</v>
      </c>
      <c r="D168" t="s">
        <v>12148</v>
      </c>
      <c r="G168" t="str">
        <f>Config!$B$7</f>
        <v>SCH/Connector.SchLib</v>
      </c>
      <c r="H168" t="s">
        <v>6983</v>
      </c>
      <c r="I168" s="39"/>
      <c r="J168" s="39"/>
      <c r="L168" s="1" t="s">
        <v>13499</v>
      </c>
      <c r="M168" t="s">
        <v>12480</v>
      </c>
      <c r="N168" t="s">
        <v>12149</v>
      </c>
      <c r="O168" t="s">
        <v>12418</v>
      </c>
      <c r="P168" t="s">
        <v>8461</v>
      </c>
      <c r="Q168">
        <v>14021755</v>
      </c>
    </row>
    <row r="169" spans="1:17" ht="15.75">
      <c r="A169" t="s">
        <v>12378</v>
      </c>
      <c r="B169" t="s">
        <v>12378</v>
      </c>
      <c r="C169" t="s">
        <v>12402</v>
      </c>
      <c r="D169" t="s">
        <v>12148</v>
      </c>
      <c r="G169" t="str">
        <f>Config!$B$7</f>
        <v>SCH/Connector.SchLib</v>
      </c>
      <c r="H169" t="s">
        <v>6983</v>
      </c>
      <c r="I169" s="39"/>
      <c r="J169" s="39"/>
      <c r="L169" s="1" t="s">
        <v>13499</v>
      </c>
      <c r="M169" t="s">
        <v>12480</v>
      </c>
      <c r="N169" t="s">
        <v>12149</v>
      </c>
      <c r="O169" t="s">
        <v>12419</v>
      </c>
      <c r="P169" t="s">
        <v>8461</v>
      </c>
      <c r="Q169">
        <v>14021756</v>
      </c>
    </row>
    <row r="170" spans="1:17" ht="15.75">
      <c r="A170" t="s">
        <v>12379</v>
      </c>
      <c r="B170" t="s">
        <v>12379</v>
      </c>
      <c r="C170" t="s">
        <v>12402</v>
      </c>
      <c r="D170" t="s">
        <v>12148</v>
      </c>
      <c r="G170" t="str">
        <f>Config!$B$7</f>
        <v>SCH/Connector.SchLib</v>
      </c>
      <c r="H170" t="s">
        <v>6983</v>
      </c>
      <c r="I170" s="39"/>
      <c r="J170" s="39"/>
      <c r="L170" s="1" t="s">
        <v>13499</v>
      </c>
      <c r="M170" t="s">
        <v>12480</v>
      </c>
      <c r="N170" t="s">
        <v>12149</v>
      </c>
      <c r="O170" t="s">
        <v>12420</v>
      </c>
    </row>
    <row r="171" spans="1:17" ht="15.75">
      <c r="A171" t="s">
        <v>12380</v>
      </c>
      <c r="B171" t="s">
        <v>12380</v>
      </c>
      <c r="C171" t="s">
        <v>12402</v>
      </c>
      <c r="D171" t="s">
        <v>12148</v>
      </c>
      <c r="G171" t="str">
        <f>Config!$B$7</f>
        <v>SCH/Connector.SchLib</v>
      </c>
      <c r="H171" t="s">
        <v>6983</v>
      </c>
      <c r="I171" s="39"/>
      <c r="J171" s="39"/>
      <c r="L171" s="1" t="s">
        <v>13499</v>
      </c>
      <c r="M171" t="s">
        <v>12480</v>
      </c>
      <c r="N171" t="s">
        <v>12149</v>
      </c>
      <c r="O171" t="s">
        <v>12421</v>
      </c>
      <c r="P171" t="s">
        <v>8461</v>
      </c>
      <c r="Q171">
        <v>30136213</v>
      </c>
    </row>
    <row r="172" spans="1:17" ht="15.75">
      <c r="A172" t="s">
        <v>12381</v>
      </c>
      <c r="B172" t="s">
        <v>12381</v>
      </c>
      <c r="C172" t="s">
        <v>12402</v>
      </c>
      <c r="D172" t="s">
        <v>12148</v>
      </c>
      <c r="G172" t="str">
        <f>Config!$B$7</f>
        <v>SCH/Connector.SchLib</v>
      </c>
      <c r="H172" t="s">
        <v>6983</v>
      </c>
      <c r="I172" s="39"/>
      <c r="J172" s="39"/>
      <c r="L172" s="1" t="s">
        <v>13499</v>
      </c>
      <c r="M172" t="s">
        <v>12480</v>
      </c>
      <c r="N172" t="s">
        <v>12149</v>
      </c>
      <c r="O172" t="s">
        <v>12422</v>
      </c>
    </row>
    <row r="173" spans="1:17" ht="15.75">
      <c r="A173" t="s">
        <v>12382</v>
      </c>
      <c r="B173" t="s">
        <v>12382</v>
      </c>
      <c r="C173" t="s">
        <v>12402</v>
      </c>
      <c r="D173" t="s">
        <v>12148</v>
      </c>
      <c r="G173" t="str">
        <f>Config!$B$7</f>
        <v>SCH/Connector.SchLib</v>
      </c>
      <c r="H173" t="s">
        <v>6983</v>
      </c>
      <c r="I173" s="39"/>
      <c r="J173" s="39"/>
      <c r="L173" s="1" t="s">
        <v>13499</v>
      </c>
      <c r="M173" t="s">
        <v>12480</v>
      </c>
      <c r="N173" t="s">
        <v>12149</v>
      </c>
      <c r="O173" t="s">
        <v>12423</v>
      </c>
    </row>
    <row r="174" spans="1:17" ht="15.75">
      <c r="A174" t="s">
        <v>12383</v>
      </c>
      <c r="B174" t="s">
        <v>12383</v>
      </c>
      <c r="C174" t="s">
        <v>12403</v>
      </c>
      <c r="D174" t="s">
        <v>12148</v>
      </c>
      <c r="G174" t="str">
        <f>Config!$B$7</f>
        <v>SCH/Connector.SchLib</v>
      </c>
      <c r="H174" t="s">
        <v>6983</v>
      </c>
      <c r="I174" s="39"/>
      <c r="J174" s="39"/>
      <c r="L174" s="1" t="s">
        <v>13499</v>
      </c>
      <c r="M174" t="s">
        <v>12481</v>
      </c>
      <c r="N174" t="s">
        <v>12149</v>
      </c>
      <c r="O174" t="s">
        <v>12424</v>
      </c>
      <c r="P174" t="s">
        <v>8461</v>
      </c>
      <c r="Q174">
        <v>14021809</v>
      </c>
    </row>
    <row r="175" spans="1:17" ht="15.75">
      <c r="A175" t="s">
        <v>12384</v>
      </c>
      <c r="B175" t="s">
        <v>12384</v>
      </c>
      <c r="C175" t="s">
        <v>12403</v>
      </c>
      <c r="D175" t="s">
        <v>12148</v>
      </c>
      <c r="G175" t="str">
        <f>Config!$B$7</f>
        <v>SCH/Connector.SchLib</v>
      </c>
      <c r="H175" t="s">
        <v>6983</v>
      </c>
      <c r="I175" s="39"/>
      <c r="J175" s="39"/>
      <c r="L175" s="1" t="s">
        <v>13499</v>
      </c>
      <c r="M175" t="s">
        <v>12481</v>
      </c>
      <c r="N175" t="s">
        <v>12149</v>
      </c>
      <c r="O175" t="s">
        <v>12425</v>
      </c>
      <c r="P175" t="s">
        <v>8461</v>
      </c>
      <c r="Q175">
        <v>14021804</v>
      </c>
    </row>
    <row r="176" spans="1:17" ht="15.75">
      <c r="A176" t="s">
        <v>12385</v>
      </c>
      <c r="B176" t="s">
        <v>12385</v>
      </c>
      <c r="C176" t="s">
        <v>12403</v>
      </c>
      <c r="D176" t="s">
        <v>12148</v>
      </c>
      <c r="G176" t="str">
        <f>Config!$B$7</f>
        <v>SCH/Connector.SchLib</v>
      </c>
      <c r="H176" t="s">
        <v>6983</v>
      </c>
      <c r="I176" s="39"/>
      <c r="J176" s="39"/>
      <c r="L176" s="1" t="s">
        <v>13499</v>
      </c>
      <c r="M176" t="s">
        <v>12481</v>
      </c>
      <c r="N176" t="s">
        <v>12149</v>
      </c>
      <c r="O176" t="s">
        <v>12426</v>
      </c>
      <c r="P176" t="s">
        <v>8461</v>
      </c>
      <c r="Q176">
        <v>14021805</v>
      </c>
    </row>
    <row r="177" spans="1:17" ht="15.75">
      <c r="A177" t="s">
        <v>12386</v>
      </c>
      <c r="B177" t="s">
        <v>12386</v>
      </c>
      <c r="C177" t="s">
        <v>12403</v>
      </c>
      <c r="D177" t="s">
        <v>12148</v>
      </c>
      <c r="G177" t="str">
        <f>Config!$B$7</f>
        <v>SCH/Connector.SchLib</v>
      </c>
      <c r="H177" t="s">
        <v>6983</v>
      </c>
      <c r="I177" s="39"/>
      <c r="J177" s="39"/>
      <c r="L177" s="1" t="s">
        <v>13499</v>
      </c>
      <c r="M177" t="s">
        <v>12481</v>
      </c>
      <c r="N177" t="s">
        <v>12149</v>
      </c>
      <c r="O177" t="s">
        <v>12427</v>
      </c>
      <c r="P177" t="s">
        <v>8461</v>
      </c>
      <c r="Q177">
        <v>14021808</v>
      </c>
    </row>
    <row r="178" spans="1:17" ht="15.75">
      <c r="A178" t="s">
        <v>12387</v>
      </c>
      <c r="B178" t="s">
        <v>12387</v>
      </c>
      <c r="C178" t="s">
        <v>12403</v>
      </c>
      <c r="D178" t="s">
        <v>12148</v>
      </c>
      <c r="G178" t="str">
        <f>Config!$B$7</f>
        <v>SCH/Connector.SchLib</v>
      </c>
      <c r="H178" t="s">
        <v>6983</v>
      </c>
      <c r="I178" s="39"/>
      <c r="J178" s="39"/>
      <c r="L178" s="1" t="s">
        <v>13499</v>
      </c>
      <c r="M178" t="s">
        <v>12481</v>
      </c>
      <c r="N178" t="s">
        <v>12149</v>
      </c>
      <c r="O178" t="s">
        <v>12428</v>
      </c>
    </row>
    <row r="179" spans="1:17" ht="15.75">
      <c r="A179" t="s">
        <v>12388</v>
      </c>
      <c r="B179" t="s">
        <v>12388</v>
      </c>
      <c r="C179" t="s">
        <v>12403</v>
      </c>
      <c r="D179" t="s">
        <v>12148</v>
      </c>
      <c r="G179" t="str">
        <f>Config!$B$7</f>
        <v>SCH/Connector.SchLib</v>
      </c>
      <c r="H179" t="s">
        <v>6983</v>
      </c>
      <c r="I179" s="39"/>
      <c r="J179" s="39"/>
      <c r="L179" s="1" t="s">
        <v>13499</v>
      </c>
      <c r="M179" t="s">
        <v>12481</v>
      </c>
      <c r="N179" t="s">
        <v>12149</v>
      </c>
      <c r="O179" t="s">
        <v>12429</v>
      </c>
    </row>
    <row r="180" spans="1:17" ht="15.75">
      <c r="A180" t="s">
        <v>12389</v>
      </c>
      <c r="B180" t="s">
        <v>12389</v>
      </c>
      <c r="C180" t="s">
        <v>12403</v>
      </c>
      <c r="D180" t="s">
        <v>12148</v>
      </c>
      <c r="G180" t="str">
        <f>Config!$B$7</f>
        <v>SCH/Connector.SchLib</v>
      </c>
      <c r="H180" t="s">
        <v>6983</v>
      </c>
      <c r="I180" s="39"/>
      <c r="J180" s="39"/>
      <c r="L180" s="1" t="s">
        <v>13499</v>
      </c>
      <c r="M180" t="s">
        <v>12481</v>
      </c>
      <c r="N180" t="s">
        <v>12149</v>
      </c>
      <c r="O180" t="s">
        <v>12430</v>
      </c>
    </row>
    <row r="181" spans="1:17" ht="15.75">
      <c r="A181" t="s">
        <v>12390</v>
      </c>
      <c r="B181" t="s">
        <v>12390</v>
      </c>
      <c r="C181" t="s">
        <v>12403</v>
      </c>
      <c r="D181" t="s">
        <v>12148</v>
      </c>
      <c r="G181" t="str">
        <f>Config!$B$7</f>
        <v>SCH/Connector.SchLib</v>
      </c>
      <c r="H181" t="s">
        <v>6983</v>
      </c>
      <c r="I181" s="39"/>
      <c r="J181" s="39"/>
      <c r="L181" s="1" t="s">
        <v>13499</v>
      </c>
      <c r="M181" t="s">
        <v>12481</v>
      </c>
      <c r="N181" t="s">
        <v>12149</v>
      </c>
      <c r="O181" t="s">
        <v>12431</v>
      </c>
    </row>
    <row r="182" spans="1:17" ht="15.75">
      <c r="A182" t="s">
        <v>12391</v>
      </c>
      <c r="B182" t="s">
        <v>12391</v>
      </c>
      <c r="C182" t="s">
        <v>12403</v>
      </c>
      <c r="D182" t="s">
        <v>12148</v>
      </c>
      <c r="G182" t="str">
        <f>Config!$B$7</f>
        <v>SCH/Connector.SchLib</v>
      </c>
      <c r="H182" t="s">
        <v>6983</v>
      </c>
      <c r="I182" s="39"/>
      <c r="J182" s="39"/>
      <c r="L182" s="1" t="s">
        <v>13499</v>
      </c>
      <c r="M182" t="s">
        <v>12481</v>
      </c>
      <c r="N182" t="s">
        <v>12149</v>
      </c>
      <c r="O182" t="s">
        <v>12432</v>
      </c>
    </row>
    <row r="183" spans="1:17" ht="15.75">
      <c r="A183" t="s">
        <v>12392</v>
      </c>
      <c r="B183" t="s">
        <v>12392</v>
      </c>
      <c r="C183" t="s">
        <v>12403</v>
      </c>
      <c r="D183" t="s">
        <v>12148</v>
      </c>
      <c r="G183" t="str">
        <f>Config!$B$7</f>
        <v>SCH/Connector.SchLib</v>
      </c>
      <c r="H183" t="s">
        <v>6983</v>
      </c>
      <c r="I183" s="39"/>
      <c r="J183" s="39"/>
      <c r="L183" s="1" t="s">
        <v>13499</v>
      </c>
      <c r="M183" t="s">
        <v>12481</v>
      </c>
      <c r="N183" t="s">
        <v>12149</v>
      </c>
      <c r="O183" t="s">
        <v>12433</v>
      </c>
    </row>
    <row r="184" spans="1:17" ht="15.75">
      <c r="A184" t="s">
        <v>12457</v>
      </c>
      <c r="B184" t="s">
        <v>12457</v>
      </c>
      <c r="C184" t="s">
        <v>12478</v>
      </c>
      <c r="D184" t="s">
        <v>12148</v>
      </c>
      <c r="G184" t="str">
        <f>Config!$B$7</f>
        <v>SCH/Connector.SchLib</v>
      </c>
      <c r="H184" t="s">
        <v>6983</v>
      </c>
      <c r="I184" s="39"/>
      <c r="J184" s="39"/>
      <c r="L184" s="1" t="s">
        <v>13499</v>
      </c>
      <c r="M184" t="s">
        <v>12434</v>
      </c>
      <c r="N184" t="s">
        <v>12149</v>
      </c>
      <c r="O184" t="s">
        <v>12435</v>
      </c>
    </row>
    <row r="185" spans="1:17" ht="15.75">
      <c r="A185" t="s">
        <v>12458</v>
      </c>
      <c r="B185" t="s">
        <v>12458</v>
      </c>
      <c r="C185" t="s">
        <v>12478</v>
      </c>
      <c r="D185" t="s">
        <v>12148</v>
      </c>
      <c r="G185" t="str">
        <f>Config!$B$7</f>
        <v>SCH/Connector.SchLib</v>
      </c>
      <c r="H185" t="s">
        <v>6983</v>
      </c>
      <c r="I185" s="39"/>
      <c r="J185" s="39"/>
      <c r="L185" s="1" t="s">
        <v>13499</v>
      </c>
      <c r="M185" t="s">
        <v>12434</v>
      </c>
      <c r="N185" t="s">
        <v>12149</v>
      </c>
      <c r="O185" t="s">
        <v>12436</v>
      </c>
      <c r="P185" t="s">
        <v>8461</v>
      </c>
      <c r="Q185">
        <v>30136393</v>
      </c>
    </row>
    <row r="186" spans="1:17" ht="15.75">
      <c r="A186" t="s">
        <v>12459</v>
      </c>
      <c r="B186" t="s">
        <v>12459</v>
      </c>
      <c r="C186" t="s">
        <v>12478</v>
      </c>
      <c r="D186" t="s">
        <v>12148</v>
      </c>
      <c r="G186" t="str">
        <f>Config!$B$7</f>
        <v>SCH/Connector.SchLib</v>
      </c>
      <c r="H186" t="s">
        <v>6983</v>
      </c>
      <c r="I186" s="39"/>
      <c r="J186" s="39"/>
      <c r="L186" s="1" t="s">
        <v>13499</v>
      </c>
      <c r="M186" t="s">
        <v>12434</v>
      </c>
      <c r="N186" t="s">
        <v>12149</v>
      </c>
      <c r="O186" t="s">
        <v>12437</v>
      </c>
      <c r="P186" t="s">
        <v>8461</v>
      </c>
      <c r="Q186">
        <v>30136394</v>
      </c>
    </row>
    <row r="187" spans="1:17" ht="15.75">
      <c r="A187" t="s">
        <v>12460</v>
      </c>
      <c r="B187" t="s">
        <v>12460</v>
      </c>
      <c r="C187" t="s">
        <v>12478</v>
      </c>
      <c r="D187" t="s">
        <v>12148</v>
      </c>
      <c r="G187" t="str">
        <f>Config!$B$7</f>
        <v>SCH/Connector.SchLib</v>
      </c>
      <c r="H187" t="s">
        <v>6983</v>
      </c>
      <c r="I187" s="39"/>
      <c r="J187" s="39"/>
      <c r="L187" s="1" t="s">
        <v>13499</v>
      </c>
      <c r="M187" t="s">
        <v>12434</v>
      </c>
      <c r="N187" t="s">
        <v>12149</v>
      </c>
      <c r="O187" t="s">
        <v>12438</v>
      </c>
      <c r="P187" t="s">
        <v>8461</v>
      </c>
      <c r="Q187">
        <v>30136395</v>
      </c>
    </row>
    <row r="188" spans="1:17" ht="15.75">
      <c r="A188" t="s">
        <v>12461</v>
      </c>
      <c r="B188" t="s">
        <v>12461</v>
      </c>
      <c r="C188" t="s">
        <v>12478</v>
      </c>
      <c r="D188" t="s">
        <v>12148</v>
      </c>
      <c r="G188" t="str">
        <f>Config!$B$7</f>
        <v>SCH/Connector.SchLib</v>
      </c>
      <c r="H188" t="s">
        <v>6983</v>
      </c>
      <c r="I188" s="39"/>
      <c r="J188" s="39"/>
      <c r="L188" s="1" t="s">
        <v>13499</v>
      </c>
      <c r="M188" t="s">
        <v>12434</v>
      </c>
      <c r="N188" t="s">
        <v>12149</v>
      </c>
      <c r="O188" t="s">
        <v>12439</v>
      </c>
      <c r="P188" t="s">
        <v>8461</v>
      </c>
      <c r="Q188">
        <v>30136396</v>
      </c>
    </row>
    <row r="189" spans="1:17" ht="15.75">
      <c r="A189" t="s">
        <v>12462</v>
      </c>
      <c r="B189" t="s">
        <v>12462</v>
      </c>
      <c r="C189" t="s">
        <v>12478</v>
      </c>
      <c r="D189" t="s">
        <v>12148</v>
      </c>
      <c r="G189" t="str">
        <f>Config!$B$7</f>
        <v>SCH/Connector.SchLib</v>
      </c>
      <c r="H189" t="s">
        <v>6983</v>
      </c>
      <c r="I189" s="39"/>
      <c r="J189" s="39"/>
      <c r="L189" s="1" t="s">
        <v>13499</v>
      </c>
      <c r="M189" t="s">
        <v>12434</v>
      </c>
      <c r="N189" t="s">
        <v>12149</v>
      </c>
      <c r="O189" t="s">
        <v>12440</v>
      </c>
    </row>
    <row r="190" spans="1:17" ht="15.75">
      <c r="A190" t="s">
        <v>12463</v>
      </c>
      <c r="B190" t="s">
        <v>12463</v>
      </c>
      <c r="C190" t="s">
        <v>12478</v>
      </c>
      <c r="D190" t="s">
        <v>12148</v>
      </c>
      <c r="G190" t="str">
        <f>Config!$B$7</f>
        <v>SCH/Connector.SchLib</v>
      </c>
      <c r="H190" t="s">
        <v>6983</v>
      </c>
      <c r="I190" s="39"/>
      <c r="J190" s="39"/>
      <c r="L190" s="1" t="s">
        <v>13499</v>
      </c>
      <c r="M190" t="s">
        <v>12434</v>
      </c>
      <c r="N190" t="s">
        <v>12149</v>
      </c>
      <c r="O190" t="s">
        <v>12441</v>
      </c>
    </row>
    <row r="191" spans="1:17" ht="15.75">
      <c r="A191" t="s">
        <v>12464</v>
      </c>
      <c r="B191" t="s">
        <v>12464</v>
      </c>
      <c r="C191" t="s">
        <v>12478</v>
      </c>
      <c r="D191" t="s">
        <v>12148</v>
      </c>
      <c r="G191" t="str">
        <f>Config!$B$7</f>
        <v>SCH/Connector.SchLib</v>
      </c>
      <c r="H191" t="s">
        <v>6983</v>
      </c>
      <c r="I191" s="39"/>
      <c r="J191" s="39"/>
      <c r="L191" s="1" t="s">
        <v>13499</v>
      </c>
      <c r="M191" t="s">
        <v>12434</v>
      </c>
      <c r="N191" t="s">
        <v>12149</v>
      </c>
      <c r="O191" t="s">
        <v>12442</v>
      </c>
      <c r="P191" t="s">
        <v>8461</v>
      </c>
      <c r="Q191">
        <v>30136399</v>
      </c>
    </row>
    <row r="192" spans="1:17" ht="15.75">
      <c r="A192" t="s">
        <v>12465</v>
      </c>
      <c r="B192" t="s">
        <v>12465</v>
      </c>
      <c r="C192" t="s">
        <v>12478</v>
      </c>
      <c r="D192" t="s">
        <v>12148</v>
      </c>
      <c r="G192" t="str">
        <f>Config!$B$7</f>
        <v>SCH/Connector.SchLib</v>
      </c>
      <c r="H192" t="s">
        <v>6983</v>
      </c>
      <c r="I192" s="39"/>
      <c r="J192" s="39"/>
      <c r="L192" s="1" t="s">
        <v>13499</v>
      </c>
      <c r="M192" t="s">
        <v>12434</v>
      </c>
      <c r="N192" t="s">
        <v>12149</v>
      </c>
      <c r="O192" t="s">
        <v>12443</v>
      </c>
      <c r="P192" t="s">
        <v>8461</v>
      </c>
      <c r="Q192">
        <v>30136400</v>
      </c>
    </row>
    <row r="193" spans="1:17" ht="15.75">
      <c r="A193" t="s">
        <v>12466</v>
      </c>
      <c r="B193" t="s">
        <v>12466</v>
      </c>
      <c r="C193" t="s">
        <v>12478</v>
      </c>
      <c r="D193" t="s">
        <v>12148</v>
      </c>
      <c r="G193" t="str">
        <f>Config!$B$7</f>
        <v>SCH/Connector.SchLib</v>
      </c>
      <c r="H193" t="s">
        <v>6983</v>
      </c>
      <c r="I193" s="39"/>
      <c r="J193" s="39"/>
      <c r="L193" s="1" t="s">
        <v>13499</v>
      </c>
      <c r="M193" t="s">
        <v>12434</v>
      </c>
      <c r="N193" t="s">
        <v>12149</v>
      </c>
      <c r="O193" t="s">
        <v>12444</v>
      </c>
    </row>
    <row r="194" spans="1:17" ht="15.75">
      <c r="A194" t="s">
        <v>12467</v>
      </c>
      <c r="B194" t="s">
        <v>12467</v>
      </c>
      <c r="C194" t="s">
        <v>12468</v>
      </c>
      <c r="D194" t="s">
        <v>12148</v>
      </c>
      <c r="G194" t="str">
        <f>Config!$B$7</f>
        <v>SCH/Connector.SchLib</v>
      </c>
      <c r="H194" t="s">
        <v>6983</v>
      </c>
      <c r="I194" s="39"/>
      <c r="J194" s="39"/>
      <c r="L194" s="1" t="s">
        <v>13499</v>
      </c>
      <c r="M194" t="s">
        <v>12456</v>
      </c>
      <c r="N194" t="s">
        <v>12149</v>
      </c>
      <c r="O194" t="s">
        <v>12445</v>
      </c>
    </row>
    <row r="195" spans="1:17" ht="15.75">
      <c r="A195" t="s">
        <v>12469</v>
      </c>
      <c r="B195" t="s">
        <v>12469</v>
      </c>
      <c r="C195" t="s">
        <v>12468</v>
      </c>
      <c r="D195" t="s">
        <v>12148</v>
      </c>
      <c r="G195" t="str">
        <f>Config!$B$7</f>
        <v>SCH/Connector.SchLib</v>
      </c>
      <c r="H195" t="s">
        <v>6983</v>
      </c>
      <c r="I195" s="39"/>
      <c r="J195" s="39"/>
      <c r="L195" s="1" t="s">
        <v>13499</v>
      </c>
      <c r="M195" t="s">
        <v>12456</v>
      </c>
      <c r="N195" t="s">
        <v>12149</v>
      </c>
      <c r="O195" t="s">
        <v>12446</v>
      </c>
      <c r="P195" t="s">
        <v>8461</v>
      </c>
      <c r="Q195">
        <v>30136403</v>
      </c>
    </row>
    <row r="196" spans="1:17" ht="15.75">
      <c r="A196" t="s">
        <v>12470</v>
      </c>
      <c r="B196" t="s">
        <v>12470</v>
      </c>
      <c r="C196" t="s">
        <v>12468</v>
      </c>
      <c r="D196" t="s">
        <v>12148</v>
      </c>
      <c r="G196" t="str">
        <f>Config!$B$7</f>
        <v>SCH/Connector.SchLib</v>
      </c>
      <c r="H196" t="s">
        <v>6983</v>
      </c>
      <c r="I196" s="39"/>
      <c r="J196" s="39"/>
      <c r="L196" s="1" t="s">
        <v>13499</v>
      </c>
      <c r="M196" t="s">
        <v>12456</v>
      </c>
      <c r="N196" t="s">
        <v>12149</v>
      </c>
      <c r="O196" t="s">
        <v>12447</v>
      </c>
      <c r="P196" t="s">
        <v>8461</v>
      </c>
      <c r="Q196">
        <v>30136404</v>
      </c>
    </row>
    <row r="197" spans="1:17" ht="15.75">
      <c r="A197" t="s">
        <v>12471</v>
      </c>
      <c r="B197" t="s">
        <v>12471</v>
      </c>
      <c r="C197" t="s">
        <v>12468</v>
      </c>
      <c r="D197" t="s">
        <v>12148</v>
      </c>
      <c r="G197" t="str">
        <f>Config!$B$7</f>
        <v>SCH/Connector.SchLib</v>
      </c>
      <c r="H197" t="s">
        <v>6983</v>
      </c>
      <c r="I197" s="39"/>
      <c r="J197" s="39"/>
      <c r="L197" s="1" t="s">
        <v>13499</v>
      </c>
      <c r="M197" t="s">
        <v>12456</v>
      </c>
      <c r="N197" t="s">
        <v>12149</v>
      </c>
      <c r="O197" t="s">
        <v>12448</v>
      </c>
      <c r="P197" t="s">
        <v>8461</v>
      </c>
      <c r="Q197">
        <v>30136405</v>
      </c>
    </row>
    <row r="198" spans="1:17" ht="15.75">
      <c r="A198" t="s">
        <v>12472</v>
      </c>
      <c r="B198" t="s">
        <v>12472</v>
      </c>
      <c r="C198" t="s">
        <v>12468</v>
      </c>
      <c r="D198" t="s">
        <v>12148</v>
      </c>
      <c r="G198" t="str">
        <f>Config!$B$7</f>
        <v>SCH/Connector.SchLib</v>
      </c>
      <c r="H198" t="s">
        <v>6983</v>
      </c>
      <c r="I198" s="39"/>
      <c r="J198" s="39"/>
      <c r="L198" s="1" t="s">
        <v>13499</v>
      </c>
      <c r="M198" t="s">
        <v>12456</v>
      </c>
      <c r="N198" t="s">
        <v>12149</v>
      </c>
      <c r="O198" t="s">
        <v>12449</v>
      </c>
    </row>
    <row r="199" spans="1:17" ht="15.75">
      <c r="A199" t="s">
        <v>12473</v>
      </c>
      <c r="B199" t="s">
        <v>12473</v>
      </c>
      <c r="C199" t="s">
        <v>12468</v>
      </c>
      <c r="D199" t="s">
        <v>12148</v>
      </c>
      <c r="G199" t="str">
        <f>Config!$B$7</f>
        <v>SCH/Connector.SchLib</v>
      </c>
      <c r="H199" t="s">
        <v>6983</v>
      </c>
      <c r="I199" s="39"/>
      <c r="J199" s="39"/>
      <c r="L199" s="1" t="s">
        <v>13499</v>
      </c>
      <c r="M199" t="s">
        <v>12456</v>
      </c>
      <c r="N199" t="s">
        <v>12149</v>
      </c>
      <c r="O199" t="s">
        <v>12450</v>
      </c>
    </row>
    <row r="200" spans="1:17" ht="15.75">
      <c r="A200" t="s">
        <v>12474</v>
      </c>
      <c r="B200" t="s">
        <v>12474</v>
      </c>
      <c r="C200" t="s">
        <v>12468</v>
      </c>
      <c r="D200" t="s">
        <v>12148</v>
      </c>
      <c r="G200" t="str">
        <f>Config!$B$7</f>
        <v>SCH/Connector.SchLib</v>
      </c>
      <c r="H200" t="s">
        <v>6983</v>
      </c>
      <c r="I200" s="39"/>
      <c r="J200" s="39"/>
      <c r="L200" s="1" t="s">
        <v>13499</v>
      </c>
      <c r="M200" t="s">
        <v>12456</v>
      </c>
      <c r="N200" t="s">
        <v>12149</v>
      </c>
      <c r="O200" t="s">
        <v>12451</v>
      </c>
    </row>
    <row r="201" spans="1:17" ht="15.75">
      <c r="A201" t="s">
        <v>12475</v>
      </c>
      <c r="B201" t="s">
        <v>12475</v>
      </c>
      <c r="C201" t="s">
        <v>12468</v>
      </c>
      <c r="D201" t="s">
        <v>12148</v>
      </c>
      <c r="G201" t="str">
        <f>Config!$B$7</f>
        <v>SCH/Connector.SchLib</v>
      </c>
      <c r="H201" t="s">
        <v>6983</v>
      </c>
      <c r="I201" s="39"/>
      <c r="J201" s="39"/>
      <c r="L201" s="1" t="s">
        <v>13499</v>
      </c>
      <c r="M201" t="s">
        <v>12456</v>
      </c>
      <c r="N201" t="s">
        <v>12149</v>
      </c>
      <c r="O201" t="s">
        <v>12452</v>
      </c>
      <c r="P201" t="s">
        <v>8461</v>
      </c>
      <c r="Q201">
        <v>30136409</v>
      </c>
    </row>
    <row r="202" spans="1:17" ht="15.75">
      <c r="A202" t="s">
        <v>12476</v>
      </c>
      <c r="B202" t="s">
        <v>12476</v>
      </c>
      <c r="C202" t="s">
        <v>12468</v>
      </c>
      <c r="D202" t="s">
        <v>12148</v>
      </c>
      <c r="G202" t="str">
        <f>Config!$B$7</f>
        <v>SCH/Connector.SchLib</v>
      </c>
      <c r="H202" t="s">
        <v>6983</v>
      </c>
      <c r="I202" s="39"/>
      <c r="J202" s="39"/>
      <c r="L202" s="1" t="s">
        <v>13499</v>
      </c>
      <c r="M202" t="s">
        <v>12456</v>
      </c>
      <c r="N202" t="s">
        <v>12149</v>
      </c>
      <c r="O202" t="s">
        <v>12453</v>
      </c>
      <c r="P202" t="s">
        <v>8461</v>
      </c>
      <c r="Q202">
        <v>30136410</v>
      </c>
    </row>
    <row r="203" spans="1:17" ht="15.75">
      <c r="A203" t="s">
        <v>12477</v>
      </c>
      <c r="B203" t="s">
        <v>12477</v>
      </c>
      <c r="C203" t="s">
        <v>12468</v>
      </c>
      <c r="D203" t="s">
        <v>12148</v>
      </c>
      <c r="G203" t="str">
        <f>Config!$B$7</f>
        <v>SCH/Connector.SchLib</v>
      </c>
      <c r="H203" t="s">
        <v>6983</v>
      </c>
      <c r="I203" s="39"/>
      <c r="J203" s="39"/>
      <c r="L203" s="1" t="s">
        <v>13499</v>
      </c>
      <c r="M203" t="s">
        <v>12456</v>
      </c>
      <c r="N203" t="s">
        <v>12149</v>
      </c>
      <c r="O203" t="s">
        <v>12455</v>
      </c>
    </row>
    <row r="204" spans="1:17" ht="15.75">
      <c r="A204" t="s">
        <v>14040</v>
      </c>
      <c r="B204" t="s">
        <v>14040</v>
      </c>
      <c r="C204" t="s">
        <v>14041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14040</v>
      </c>
      <c r="L204" s="1" t="s">
        <v>13499</v>
      </c>
    </row>
    <row r="205" spans="1:17" ht="15.75">
      <c r="A205" t="s">
        <v>14038</v>
      </c>
      <c r="B205" t="s">
        <v>14038</v>
      </c>
      <c r="C205" t="s">
        <v>14039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14038</v>
      </c>
      <c r="L205" s="1" t="s">
        <v>13499</v>
      </c>
    </row>
    <row r="206" spans="1:17" ht="15.75">
      <c r="A206" t="s">
        <v>14036</v>
      </c>
      <c r="B206" t="s">
        <v>14036</v>
      </c>
      <c r="C206" t="s">
        <v>14037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14036</v>
      </c>
      <c r="L206" s="1" t="s">
        <v>13499</v>
      </c>
    </row>
    <row r="207" spans="1:17" ht="15.75">
      <c r="A207" t="s">
        <v>14032</v>
      </c>
      <c r="B207" t="s">
        <v>14032</v>
      </c>
      <c r="C207" t="s">
        <v>14034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14032</v>
      </c>
      <c r="L207" s="1" t="s">
        <v>13499</v>
      </c>
    </row>
    <row r="208" spans="1:17" ht="15.75">
      <c r="A208" t="s">
        <v>14033</v>
      </c>
      <c r="B208" t="s">
        <v>14033</v>
      </c>
      <c r="C208" t="s">
        <v>14035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14033</v>
      </c>
      <c r="L208" s="1" t="s">
        <v>13499</v>
      </c>
    </row>
    <row r="209" spans="1:26" ht="15.75">
      <c r="A209" t="s">
        <v>12717</v>
      </c>
      <c r="B209" t="s">
        <v>12717</v>
      </c>
      <c r="C209" t="s">
        <v>12722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12717</v>
      </c>
      <c r="L209" s="1" t="s">
        <v>13499</v>
      </c>
    </row>
    <row r="210" spans="1:26" ht="15.75">
      <c r="A210" t="s">
        <v>13386</v>
      </c>
      <c r="B210" t="s">
        <v>13386</v>
      </c>
      <c r="C210" t="s">
        <v>13387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13386</v>
      </c>
      <c r="L210" s="1" t="s">
        <v>13499</v>
      </c>
    </row>
    <row r="211" spans="1:26" ht="15.75">
      <c r="A211" t="s">
        <v>12718</v>
      </c>
      <c r="B211" t="s">
        <v>12718</v>
      </c>
      <c r="C211" t="s">
        <v>12723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12718</v>
      </c>
      <c r="L211" s="1" t="s">
        <v>13499</v>
      </c>
    </row>
    <row r="212" spans="1:26" ht="15.75">
      <c r="A212" t="s">
        <v>12729</v>
      </c>
      <c r="B212" t="s">
        <v>12729</v>
      </c>
      <c r="C212" t="s">
        <v>12730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12729</v>
      </c>
      <c r="L212" s="1" t="s">
        <v>13499</v>
      </c>
    </row>
    <row r="213" spans="1:26" ht="15.75">
      <c r="A213" t="s">
        <v>12719</v>
      </c>
      <c r="B213" t="s">
        <v>12719</v>
      </c>
      <c r="C213" t="s">
        <v>12724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12719</v>
      </c>
      <c r="L213" s="1" t="s">
        <v>13499</v>
      </c>
    </row>
    <row r="214" spans="1:26" ht="15.75">
      <c r="A214" t="s">
        <v>12727</v>
      </c>
      <c r="B214" t="s">
        <v>12727</v>
      </c>
      <c r="C214" t="s">
        <v>12728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12727</v>
      </c>
      <c r="L214" s="1" t="s">
        <v>13499</v>
      </c>
    </row>
    <row r="215" spans="1:26" ht="15.75">
      <c r="A215" t="s">
        <v>12720</v>
      </c>
      <c r="B215" t="s">
        <v>12720</v>
      </c>
      <c r="C215" t="s">
        <v>12725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12720</v>
      </c>
      <c r="L215" s="1" t="s">
        <v>13499</v>
      </c>
    </row>
    <row r="216" spans="1:26" ht="15.75">
      <c r="A216" t="s">
        <v>12721</v>
      </c>
      <c r="B216" t="s">
        <v>12721</v>
      </c>
      <c r="C216" t="s">
        <v>12726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12721</v>
      </c>
      <c r="L216" s="1" t="s">
        <v>13499</v>
      </c>
    </row>
    <row r="217" spans="1:26" ht="15.75">
      <c r="A217" t="s">
        <v>13072</v>
      </c>
      <c r="B217">
        <v>5600200320</v>
      </c>
      <c r="C217" t="s">
        <v>13073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13499</v>
      </c>
      <c r="M217" t="s">
        <v>13074</v>
      </c>
      <c r="N217" t="s">
        <v>6637</v>
      </c>
      <c r="O217" s="14" t="s">
        <v>13075</v>
      </c>
      <c r="P217" t="s">
        <v>25</v>
      </c>
      <c r="Q217" t="s">
        <v>13076</v>
      </c>
      <c r="V217" t="s">
        <v>6637</v>
      </c>
      <c r="W217" s="14" t="s">
        <v>13075</v>
      </c>
      <c r="X217" t="s">
        <v>4559</v>
      </c>
      <c r="Y217" t="s">
        <v>13077</v>
      </c>
    </row>
    <row r="218" spans="1:26" ht="15.75">
      <c r="A218" t="s">
        <v>13078</v>
      </c>
      <c r="B218">
        <v>5023520300</v>
      </c>
      <c r="C218" t="s">
        <v>13079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13499</v>
      </c>
      <c r="M218" t="s">
        <v>13080</v>
      </c>
      <c r="N218" t="s">
        <v>6637</v>
      </c>
      <c r="O218">
        <v>5023520300</v>
      </c>
      <c r="P218" t="s">
        <v>25</v>
      </c>
      <c r="Q218" t="s">
        <v>13081</v>
      </c>
      <c r="V218" t="s">
        <v>6637</v>
      </c>
      <c r="W218">
        <v>5023520300</v>
      </c>
      <c r="X218" t="s">
        <v>4559</v>
      </c>
      <c r="Y218" t="s">
        <v>13082</v>
      </c>
    </row>
    <row r="219" spans="1:26" ht="15.75">
      <c r="A219" t="s">
        <v>13083</v>
      </c>
      <c r="B219">
        <v>5023520200</v>
      </c>
      <c r="C219" t="s">
        <v>13084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13499</v>
      </c>
      <c r="M219" s="28" t="s">
        <v>13086</v>
      </c>
      <c r="N219" t="s">
        <v>6637</v>
      </c>
      <c r="O219">
        <v>5023520200</v>
      </c>
      <c r="P219" t="s">
        <v>25</v>
      </c>
      <c r="Q219" t="s">
        <v>13085</v>
      </c>
      <c r="V219" t="s">
        <v>6637</v>
      </c>
      <c r="W219">
        <v>5023520200</v>
      </c>
      <c r="X219" t="s">
        <v>4559</v>
      </c>
      <c r="Y219" t="s">
        <v>13087</v>
      </c>
    </row>
    <row r="220" spans="1:26" ht="15.75">
      <c r="A220" t="s">
        <v>13307</v>
      </c>
      <c r="B220" t="s">
        <v>13308</v>
      </c>
      <c r="C220" t="s">
        <v>13309</v>
      </c>
      <c r="D220" t="s">
        <v>13047</v>
      </c>
      <c r="G220" t="str">
        <f>Config!$B$7</f>
        <v>SCH/Connector.SchLib</v>
      </c>
      <c r="H220" t="s">
        <v>13310</v>
      </c>
      <c r="I220" t="s">
        <v>7983</v>
      </c>
      <c r="J220" t="s">
        <v>13331</v>
      </c>
      <c r="L220" s="1" t="s">
        <v>13499</v>
      </c>
      <c r="M220" t="s">
        <v>13311</v>
      </c>
      <c r="N220" t="s">
        <v>13047</v>
      </c>
      <c r="O220" t="s">
        <v>13313</v>
      </c>
      <c r="P220" t="s">
        <v>25</v>
      </c>
      <c r="Q220" t="s">
        <v>13312</v>
      </c>
      <c r="V220" t="s">
        <v>13316</v>
      </c>
      <c r="W220" t="s">
        <v>13314</v>
      </c>
      <c r="X220" t="s">
        <v>4559</v>
      </c>
      <c r="Y220" t="s">
        <v>13315</v>
      </c>
    </row>
    <row r="221" spans="1:26" ht="15.75">
      <c r="A221" t="s">
        <v>14345</v>
      </c>
      <c r="B221" t="s">
        <v>14345</v>
      </c>
      <c r="C221" t="s">
        <v>14346</v>
      </c>
      <c r="D221" t="s">
        <v>6648</v>
      </c>
      <c r="G221" t="str">
        <f>Config!$B$7</f>
        <v>SCH/Connector.SchLib</v>
      </c>
      <c r="H221" t="s">
        <v>14343</v>
      </c>
      <c r="I221" t="s">
        <v>12320</v>
      </c>
      <c r="J221" t="s">
        <v>14342</v>
      </c>
      <c r="L221" s="1" t="s">
        <v>13499</v>
      </c>
      <c r="M221" t="s">
        <v>14344</v>
      </c>
      <c r="N221" t="s">
        <v>14347</v>
      </c>
      <c r="O221" t="s">
        <v>14348</v>
      </c>
      <c r="P221" t="s">
        <v>25</v>
      </c>
      <c r="Q221" t="s">
        <v>14349</v>
      </c>
      <c r="V221" t="s">
        <v>14350</v>
      </c>
      <c r="W221" t="s">
        <v>14348</v>
      </c>
      <c r="X221" t="s">
        <v>4559</v>
      </c>
      <c r="Y221" t="s">
        <v>14351</v>
      </c>
      <c r="Z221" t="s">
        <v>4727</v>
      </c>
    </row>
    <row r="222" spans="1:26" ht="15.75">
      <c r="A222" t="s">
        <v>14352</v>
      </c>
      <c r="B222" t="s">
        <v>14352</v>
      </c>
      <c r="C222" t="s">
        <v>14353</v>
      </c>
      <c r="D222" t="s">
        <v>14354</v>
      </c>
      <c r="G222" t="s">
        <v>4430</v>
      </c>
      <c r="H222" t="s">
        <v>14343</v>
      </c>
      <c r="I222" s="39"/>
      <c r="J222" s="39"/>
      <c r="L222" s="1" t="s">
        <v>13499</v>
      </c>
      <c r="M222" t="s">
        <v>14355</v>
      </c>
      <c r="N222" t="s">
        <v>12255</v>
      </c>
      <c r="O222" t="s">
        <v>14356</v>
      </c>
      <c r="P222" t="s">
        <v>25</v>
      </c>
      <c r="Q222" t="s">
        <v>14357</v>
      </c>
      <c r="V222" t="s">
        <v>14358</v>
      </c>
      <c r="W222" t="s">
        <v>14356</v>
      </c>
      <c r="X222" t="s">
        <v>4559</v>
      </c>
      <c r="Y222" t="s">
        <v>14359</v>
      </c>
      <c r="Z222" t="s">
        <v>4727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8886</v>
      </c>
      <c r="B6" t="s">
        <v>8886</v>
      </c>
      <c r="C6" t="s">
        <v>8887</v>
      </c>
      <c r="D6" t="s">
        <v>4401</v>
      </c>
      <c r="E6" t="s">
        <v>4553</v>
      </c>
      <c r="G6" t="str">
        <f>Config!$B$6</f>
        <v>SCH/Logic_IEC.SchLib</v>
      </c>
      <c r="H6" t="s">
        <v>10674</v>
      </c>
      <c r="I6" t="s">
        <v>4376</v>
      </c>
      <c r="J6" t="s">
        <v>8892</v>
      </c>
      <c r="L6" s="26" t="s">
        <v>8888</v>
      </c>
      <c r="M6" t="s">
        <v>6275</v>
      </c>
      <c r="N6" t="s">
        <v>8889</v>
      </c>
      <c r="O6" t="s">
        <v>25</v>
      </c>
      <c r="P6" t="s">
        <v>8890</v>
      </c>
      <c r="U6" t="s">
        <v>4401</v>
      </c>
      <c r="V6" t="s">
        <v>8889</v>
      </c>
      <c r="W6" t="s">
        <v>4559</v>
      </c>
      <c r="X6" t="s">
        <v>8891</v>
      </c>
      <c r="Y6" t="s">
        <v>4727</v>
      </c>
    </row>
    <row r="7" spans="1:25">
      <c r="A7" t="s">
        <v>14134</v>
      </c>
      <c r="B7" t="s">
        <v>14134</v>
      </c>
      <c r="C7" t="s">
        <v>14135</v>
      </c>
      <c r="D7" t="s">
        <v>6665</v>
      </c>
      <c r="E7" t="s">
        <v>14136</v>
      </c>
      <c r="G7" t="str">
        <f>Config!$B$6</f>
        <v>SCH/Logic_IEC.SchLib</v>
      </c>
      <c r="H7" t="s">
        <v>14137</v>
      </c>
      <c r="I7" t="s">
        <v>4377</v>
      </c>
      <c r="J7" t="s">
        <v>11069</v>
      </c>
      <c r="L7" s="26" t="s">
        <v>14138</v>
      </c>
      <c r="M7" t="s">
        <v>4517</v>
      </c>
      <c r="N7" t="s">
        <v>14139</v>
      </c>
      <c r="O7" t="s">
        <v>25</v>
      </c>
      <c r="P7" t="s">
        <v>14140</v>
      </c>
      <c r="U7" t="s">
        <v>6665</v>
      </c>
      <c r="V7" t="s">
        <v>14139</v>
      </c>
      <c r="W7" t="s">
        <v>4559</v>
      </c>
      <c r="X7" t="s">
        <v>14141</v>
      </c>
      <c r="Y7" t="s">
        <v>4727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13667</v>
      </c>
      <c r="B5" t="s">
        <v>13667</v>
      </c>
      <c r="C5" t="s">
        <v>13675</v>
      </c>
      <c r="D5" t="s">
        <v>13683</v>
      </c>
      <c r="E5" t="s">
        <v>469</v>
      </c>
      <c r="G5" t="s">
        <v>2655</v>
      </c>
      <c r="H5" t="s">
        <v>6763</v>
      </c>
      <c r="I5" t="s">
        <v>6761</v>
      </c>
      <c r="J5" t="s">
        <v>8038</v>
      </c>
      <c r="L5" s="26" t="s">
        <v>8039</v>
      </c>
      <c r="M5" t="s">
        <v>8040</v>
      </c>
      <c r="N5" t="s">
        <v>13684</v>
      </c>
      <c r="O5" t="s">
        <v>25</v>
      </c>
      <c r="P5" t="s">
        <v>13688</v>
      </c>
    </row>
    <row r="6" spans="1:25">
      <c r="A6" t="s">
        <v>13668</v>
      </c>
      <c r="B6" t="s">
        <v>13668</v>
      </c>
      <c r="C6" t="s">
        <v>13676</v>
      </c>
      <c r="D6" t="s">
        <v>13683</v>
      </c>
      <c r="E6" t="s">
        <v>469</v>
      </c>
      <c r="G6" t="s">
        <v>2655</v>
      </c>
      <c r="H6" t="s">
        <v>6763</v>
      </c>
      <c r="I6" t="s">
        <v>6761</v>
      </c>
      <c r="J6" t="s">
        <v>8038</v>
      </c>
      <c r="L6" s="26" t="s">
        <v>8039</v>
      </c>
      <c r="M6" t="s">
        <v>8040</v>
      </c>
      <c r="N6" t="s">
        <v>13685</v>
      </c>
      <c r="O6" t="s">
        <v>25</v>
      </c>
      <c r="P6" t="s">
        <v>13689</v>
      </c>
    </row>
    <row r="7" spans="1:25">
      <c r="A7" t="s">
        <v>13669</v>
      </c>
      <c r="B7" t="s">
        <v>13669</v>
      </c>
      <c r="C7" t="s">
        <v>13677</v>
      </c>
      <c r="D7" t="s">
        <v>13683</v>
      </c>
      <c r="E7" t="s">
        <v>469</v>
      </c>
      <c r="G7" t="s">
        <v>2655</v>
      </c>
      <c r="H7" t="s">
        <v>6763</v>
      </c>
      <c r="I7" t="s">
        <v>6761</v>
      </c>
      <c r="J7" t="s">
        <v>8038</v>
      </c>
      <c r="L7" s="26" t="s">
        <v>8039</v>
      </c>
      <c r="M7" t="s">
        <v>8040</v>
      </c>
      <c r="N7" t="s">
        <v>13686</v>
      </c>
      <c r="O7" t="s">
        <v>25</v>
      </c>
      <c r="P7" t="s">
        <v>13690</v>
      </c>
    </row>
    <row r="8" spans="1:25">
      <c r="A8" t="s">
        <v>13670</v>
      </c>
      <c r="B8" t="s">
        <v>13670</v>
      </c>
      <c r="C8" t="s">
        <v>13678</v>
      </c>
      <c r="D8" t="s">
        <v>13683</v>
      </c>
      <c r="E8" t="s">
        <v>469</v>
      </c>
      <c r="G8" t="s">
        <v>2655</v>
      </c>
      <c r="H8" t="s">
        <v>6763</v>
      </c>
      <c r="I8" t="s">
        <v>6761</v>
      </c>
      <c r="J8" t="s">
        <v>8038</v>
      </c>
      <c r="L8" s="26" t="s">
        <v>8039</v>
      </c>
      <c r="M8" t="s">
        <v>8040</v>
      </c>
      <c r="N8" t="s">
        <v>13687</v>
      </c>
      <c r="O8" t="s">
        <v>25</v>
      </c>
      <c r="P8" t="s">
        <v>13691</v>
      </c>
    </row>
    <row r="9" spans="1:25">
      <c r="A9" t="s">
        <v>8035</v>
      </c>
      <c r="B9" t="s">
        <v>8035</v>
      </c>
      <c r="C9" t="s">
        <v>8036</v>
      </c>
      <c r="D9" t="s">
        <v>13683</v>
      </c>
      <c r="E9" t="s">
        <v>469</v>
      </c>
      <c r="G9" t="s">
        <v>2655</v>
      </c>
      <c r="H9" t="s">
        <v>6763</v>
      </c>
      <c r="I9" t="s">
        <v>6761</v>
      </c>
      <c r="J9" t="s">
        <v>8038</v>
      </c>
      <c r="L9" s="26" t="s">
        <v>8039</v>
      </c>
      <c r="M9" t="s">
        <v>8040</v>
      </c>
      <c r="N9" t="s">
        <v>8041</v>
      </c>
      <c r="O9" t="s">
        <v>25</v>
      </c>
      <c r="P9" t="s">
        <v>8042</v>
      </c>
    </row>
    <row r="10" spans="1:25">
      <c r="A10" t="s">
        <v>13671</v>
      </c>
      <c r="B10" t="s">
        <v>13671</v>
      </c>
      <c r="C10" t="s">
        <v>13679</v>
      </c>
      <c r="D10" t="s">
        <v>13683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8040</v>
      </c>
      <c r="N10" t="s">
        <v>13692</v>
      </c>
      <c r="O10" t="s">
        <v>25</v>
      </c>
      <c r="P10" t="s">
        <v>13697</v>
      </c>
    </row>
    <row r="11" spans="1:25">
      <c r="A11" t="s">
        <v>13672</v>
      </c>
      <c r="B11" t="s">
        <v>13672</v>
      </c>
      <c r="C11" t="s">
        <v>13680</v>
      </c>
      <c r="D11" t="s">
        <v>13683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8040</v>
      </c>
      <c r="N11" t="s">
        <v>13693</v>
      </c>
      <c r="O11" t="s">
        <v>25</v>
      </c>
      <c r="P11" t="s">
        <v>13698</v>
      </c>
    </row>
    <row r="12" spans="1:25">
      <c r="A12" t="s">
        <v>6760</v>
      </c>
      <c r="B12" t="s">
        <v>6760</v>
      </c>
      <c r="C12" t="s">
        <v>8037</v>
      </c>
      <c r="D12" t="s">
        <v>13683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8040</v>
      </c>
      <c r="N12" t="s">
        <v>13694</v>
      </c>
      <c r="O12" t="s">
        <v>25</v>
      </c>
      <c r="P12" t="s">
        <v>13699</v>
      </c>
    </row>
    <row r="13" spans="1:25">
      <c r="A13" t="s">
        <v>13673</v>
      </c>
      <c r="B13" t="s">
        <v>13673</v>
      </c>
      <c r="C13" t="s">
        <v>13681</v>
      </c>
      <c r="D13" t="s">
        <v>13683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8040</v>
      </c>
      <c r="N13" t="s">
        <v>13695</v>
      </c>
      <c r="O13" t="s">
        <v>25</v>
      </c>
      <c r="P13" t="s">
        <v>13700</v>
      </c>
    </row>
    <row r="14" spans="1:25">
      <c r="A14" t="s">
        <v>13674</v>
      </c>
      <c r="B14" t="s">
        <v>13674</v>
      </c>
      <c r="C14" t="s">
        <v>13682</v>
      </c>
      <c r="D14" t="s">
        <v>13683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8040</v>
      </c>
      <c r="N14" t="s">
        <v>13696</v>
      </c>
      <c r="O14" t="s">
        <v>25</v>
      </c>
      <c r="P14" t="s">
        <v>13701</v>
      </c>
    </row>
    <row r="15" spans="1:25">
      <c r="A15" t="s">
        <v>8879</v>
      </c>
      <c r="B15" t="s">
        <v>8879</v>
      </c>
      <c r="C15" t="s">
        <v>8880</v>
      </c>
      <c r="D15" t="s">
        <v>8881</v>
      </c>
      <c r="E15" t="s">
        <v>469</v>
      </c>
      <c r="G15" t="s">
        <v>8885</v>
      </c>
      <c r="H15" t="s">
        <v>8879</v>
      </c>
      <c r="I15" t="s">
        <v>8882</v>
      </c>
      <c r="J15" t="s">
        <v>8883</v>
      </c>
      <c r="L15" t="s">
        <v>8884</v>
      </c>
      <c r="M15" t="s">
        <v>8881</v>
      </c>
    </row>
    <row r="16" spans="1:25">
      <c r="A16" t="s">
        <v>13915</v>
      </c>
      <c r="B16" t="s">
        <v>13915</v>
      </c>
      <c r="C16" t="s">
        <v>13917</v>
      </c>
      <c r="D16" t="s">
        <v>13919</v>
      </c>
      <c r="E16" t="s">
        <v>13920</v>
      </c>
      <c r="G16" t="s">
        <v>8885</v>
      </c>
      <c r="H16" t="s">
        <v>13915</v>
      </c>
      <c r="I16" t="s">
        <v>13923</v>
      </c>
      <c r="J16" t="s">
        <v>13915</v>
      </c>
      <c r="L16" t="s">
        <v>13913</v>
      </c>
      <c r="M16" t="s">
        <v>13921</v>
      </c>
      <c r="N16" t="s">
        <v>13915</v>
      </c>
      <c r="O16" t="s">
        <v>25</v>
      </c>
      <c r="P16" t="s">
        <v>13922</v>
      </c>
    </row>
    <row r="17" spans="1:16">
      <c r="A17" t="s">
        <v>13916</v>
      </c>
      <c r="B17" t="s">
        <v>13916</v>
      </c>
      <c r="C17" t="s">
        <v>13918</v>
      </c>
      <c r="D17" t="s">
        <v>13919</v>
      </c>
      <c r="E17" t="s">
        <v>13920</v>
      </c>
      <c r="G17" t="s">
        <v>8885</v>
      </c>
      <c r="H17" t="s">
        <v>13916</v>
      </c>
      <c r="I17" t="s">
        <v>13923</v>
      </c>
      <c r="J17" t="s">
        <v>13916</v>
      </c>
      <c r="L17" t="s">
        <v>13914</v>
      </c>
    </row>
    <row r="18" spans="1:16">
      <c r="A18" t="s">
        <v>13961</v>
      </c>
      <c r="B18" t="s">
        <v>13961</v>
      </c>
      <c r="C18" t="s">
        <v>13962</v>
      </c>
      <c r="D18" t="s">
        <v>13963</v>
      </c>
      <c r="E18" t="s">
        <v>13920</v>
      </c>
      <c r="G18" t="s">
        <v>8885</v>
      </c>
      <c r="H18" t="s">
        <v>13961</v>
      </c>
      <c r="L18" t="s">
        <v>13964</v>
      </c>
      <c r="M18" t="s">
        <v>13963</v>
      </c>
      <c r="N18" t="s">
        <v>13961</v>
      </c>
      <c r="O18" t="s">
        <v>25</v>
      </c>
      <c r="P18" t="s">
        <v>13965</v>
      </c>
    </row>
    <row r="19" spans="1:16">
      <c r="A19" t="s">
        <v>13966</v>
      </c>
      <c r="B19" t="s">
        <v>13966</v>
      </c>
      <c r="C19" t="s">
        <v>13967</v>
      </c>
      <c r="D19" t="s">
        <v>13968</v>
      </c>
      <c r="E19" t="s">
        <v>13920</v>
      </c>
      <c r="G19" t="s">
        <v>8885</v>
      </c>
      <c r="H19" t="s">
        <v>13966</v>
      </c>
      <c r="L19" t="s">
        <v>13969</v>
      </c>
      <c r="M19" t="s">
        <v>13968</v>
      </c>
      <c r="N19" t="s">
        <v>13966</v>
      </c>
      <c r="O19" t="s">
        <v>4349</v>
      </c>
      <c r="P19" t="s">
        <v>13970</v>
      </c>
    </row>
    <row r="20" spans="1:16">
      <c r="A20" t="s">
        <v>13971</v>
      </c>
      <c r="B20" t="s">
        <v>13971</v>
      </c>
      <c r="C20" t="s">
        <v>13972</v>
      </c>
      <c r="D20" t="s">
        <v>13968</v>
      </c>
      <c r="E20" t="s">
        <v>13920</v>
      </c>
      <c r="G20" t="s">
        <v>8885</v>
      </c>
      <c r="H20" t="s">
        <v>13971</v>
      </c>
      <c r="L20" t="s">
        <v>13973</v>
      </c>
      <c r="M20" t="s">
        <v>13968</v>
      </c>
      <c r="N20" t="s">
        <v>13971</v>
      </c>
      <c r="O20" t="s">
        <v>4349</v>
      </c>
      <c r="P20" t="s">
        <v>13974</v>
      </c>
    </row>
    <row r="21" spans="1:16">
      <c r="A21" t="s">
        <v>13975</v>
      </c>
      <c r="B21" t="s">
        <v>13975</v>
      </c>
      <c r="C21" t="s">
        <v>13978</v>
      </c>
      <c r="D21" t="s">
        <v>13968</v>
      </c>
      <c r="E21" t="s">
        <v>13920</v>
      </c>
      <c r="G21" t="s">
        <v>8885</v>
      </c>
      <c r="H21" t="s">
        <v>13971</v>
      </c>
      <c r="L21" t="s">
        <v>13977</v>
      </c>
      <c r="M21" t="s">
        <v>13968</v>
      </c>
      <c r="N21" t="s">
        <v>13975</v>
      </c>
      <c r="O21" t="s">
        <v>4349</v>
      </c>
      <c r="P21" t="s">
        <v>13976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tabSelected="1" zoomScale="85" zoomScaleNormal="85" workbookViewId="0">
      <pane xSplit="1" ySplit="1" topLeftCell="E64" activePane="bottomRight" state="frozen"/>
      <selection pane="topRight" activeCell="B1" sqref="B1"/>
      <selection pane="bottomLeft" activeCell="A2" sqref="A2"/>
      <selection pane="bottomRight" activeCell="J74" sqref="J74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10883</v>
      </c>
      <c r="F3" t="s">
        <v>2655</v>
      </c>
      <c r="G3" t="s">
        <v>2660</v>
      </c>
      <c r="H3" t="s">
        <v>4377</v>
      </c>
      <c r="I3" t="s">
        <v>10882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10884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10882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8108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8106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8107</v>
      </c>
      <c r="K25" t="s">
        <v>6339</v>
      </c>
      <c r="L25" t="s">
        <v>6337</v>
      </c>
      <c r="M25" t="s">
        <v>25</v>
      </c>
      <c r="N25" t="s">
        <v>8109</v>
      </c>
      <c r="S25" t="s">
        <v>8105</v>
      </c>
      <c r="T25" s="5" t="s">
        <v>6337</v>
      </c>
      <c r="U25" t="s">
        <v>4559</v>
      </c>
      <c r="V25" s="31" t="s">
        <v>8104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13959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11159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13666</v>
      </c>
    </row>
    <row r="40" spans="1:23">
      <c r="A40" t="s">
        <v>13924</v>
      </c>
      <c r="B40" t="s">
        <v>13924</v>
      </c>
      <c r="C40" t="s">
        <v>13926</v>
      </c>
      <c r="D40" t="s">
        <v>4517</v>
      </c>
      <c r="E40" t="s">
        <v>13928</v>
      </c>
      <c r="F40" t="s">
        <v>2655</v>
      </c>
      <c r="G40" t="s">
        <v>13930</v>
      </c>
      <c r="H40" t="s">
        <v>6741</v>
      </c>
      <c r="I40" t="s">
        <v>13957</v>
      </c>
      <c r="J40" t="s">
        <v>13932</v>
      </c>
      <c r="K40" t="s">
        <v>4517</v>
      </c>
      <c r="L40" t="s">
        <v>13924</v>
      </c>
      <c r="M40" t="s">
        <v>25</v>
      </c>
      <c r="N40" t="s">
        <v>13933</v>
      </c>
      <c r="S40" t="s">
        <v>6665</v>
      </c>
      <c r="T40" t="s">
        <v>13924</v>
      </c>
      <c r="U40" t="s">
        <v>4559</v>
      </c>
      <c r="V40" t="s">
        <v>13935</v>
      </c>
      <c r="W40" t="s">
        <v>4727</v>
      </c>
    </row>
    <row r="41" spans="1:23">
      <c r="A41" t="s">
        <v>13925</v>
      </c>
      <c r="B41" t="s">
        <v>13925</v>
      </c>
      <c r="C41" t="s">
        <v>13927</v>
      </c>
      <c r="D41" t="s">
        <v>4517</v>
      </c>
      <c r="E41" t="s">
        <v>13929</v>
      </c>
      <c r="F41" t="s">
        <v>2655</v>
      </c>
      <c r="G41" t="s">
        <v>13931</v>
      </c>
      <c r="H41" t="s">
        <v>4376</v>
      </c>
      <c r="I41" t="s">
        <v>13958</v>
      </c>
      <c r="J41" t="s">
        <v>13932</v>
      </c>
      <c r="K41" t="s">
        <v>4517</v>
      </c>
      <c r="L41" t="s">
        <v>13925</v>
      </c>
      <c r="M41" t="s">
        <v>25</v>
      </c>
      <c r="N41" t="s">
        <v>13934</v>
      </c>
      <c r="S41" t="s">
        <v>6665</v>
      </c>
      <c r="T41" t="s">
        <v>13925</v>
      </c>
      <c r="U41" t="s">
        <v>4559</v>
      </c>
      <c r="V41" t="s">
        <v>13936</v>
      </c>
      <c r="W41" t="s">
        <v>4727</v>
      </c>
    </row>
    <row r="42" spans="1:23">
      <c r="A42" t="s">
        <v>8485</v>
      </c>
      <c r="B42" t="s">
        <v>8485</v>
      </c>
      <c r="C42" t="s">
        <v>8486</v>
      </c>
      <c r="D42" t="s">
        <v>4517</v>
      </c>
      <c r="E42" s="34" t="s">
        <v>6781</v>
      </c>
      <c r="F42" t="s">
        <v>2655</v>
      </c>
      <c r="G42" t="s">
        <v>8487</v>
      </c>
      <c r="H42" t="s">
        <v>4376</v>
      </c>
      <c r="I42" t="s">
        <v>13958</v>
      </c>
      <c r="J42" t="s">
        <v>8488</v>
      </c>
      <c r="K42" t="s">
        <v>4517</v>
      </c>
      <c r="L42" t="s">
        <v>8485</v>
      </c>
      <c r="M42" t="s">
        <v>25</v>
      </c>
      <c r="N42" t="s">
        <v>8489</v>
      </c>
    </row>
    <row r="43" spans="1:23">
      <c r="A43" t="s">
        <v>8490</v>
      </c>
      <c r="B43" t="s">
        <v>8490</v>
      </c>
      <c r="C43" t="s">
        <v>8491</v>
      </c>
      <c r="D43" t="s">
        <v>8492</v>
      </c>
      <c r="F43" t="s">
        <v>2655</v>
      </c>
      <c r="G43" t="s">
        <v>8493</v>
      </c>
      <c r="H43" t="s">
        <v>7975</v>
      </c>
      <c r="I43" t="s">
        <v>8494</v>
      </c>
      <c r="J43" t="s">
        <v>8495</v>
      </c>
      <c r="K43" t="s">
        <v>8492</v>
      </c>
      <c r="L43" t="s">
        <v>8490</v>
      </c>
      <c r="M43" t="s">
        <v>25</v>
      </c>
      <c r="N43" t="s">
        <v>8496</v>
      </c>
    </row>
    <row r="44" spans="1:23">
      <c r="A44" t="s">
        <v>8497</v>
      </c>
      <c r="B44" t="s">
        <v>8497</v>
      </c>
      <c r="C44" t="s">
        <v>8498</v>
      </c>
      <c r="D44" t="s">
        <v>6718</v>
      </c>
      <c r="E44" t="s">
        <v>6754</v>
      </c>
      <c r="F44" t="s">
        <v>2655</v>
      </c>
      <c r="G44" t="s">
        <v>8499</v>
      </c>
      <c r="H44" t="s">
        <v>6243</v>
      </c>
      <c r="I44" t="s">
        <v>8500</v>
      </c>
      <c r="J44" t="s">
        <v>8501</v>
      </c>
      <c r="K44" t="s">
        <v>6718</v>
      </c>
      <c r="L44" t="s">
        <v>8497</v>
      </c>
      <c r="M44" t="s">
        <v>25</v>
      </c>
      <c r="N44" t="s">
        <v>8502</v>
      </c>
    </row>
    <row r="45" spans="1:23">
      <c r="A45" t="s">
        <v>8503</v>
      </c>
      <c r="B45" t="s">
        <v>8503</v>
      </c>
      <c r="C45" t="s">
        <v>8504</v>
      </c>
      <c r="D45" t="s">
        <v>6627</v>
      </c>
      <c r="E45" t="s">
        <v>6236</v>
      </c>
      <c r="F45" t="s">
        <v>2655</v>
      </c>
      <c r="G45" t="s">
        <v>8505</v>
      </c>
      <c r="H45" t="s">
        <v>4377</v>
      </c>
      <c r="I45" t="s">
        <v>4793</v>
      </c>
      <c r="J45" t="s">
        <v>8506</v>
      </c>
      <c r="K45" t="s">
        <v>6627</v>
      </c>
      <c r="L45" t="s">
        <v>8503</v>
      </c>
      <c r="M45" t="s">
        <v>25</v>
      </c>
      <c r="N45" t="s">
        <v>8507</v>
      </c>
    </row>
    <row r="46" spans="1:23">
      <c r="A46" t="s">
        <v>8518</v>
      </c>
      <c r="B46" t="s">
        <v>8518</v>
      </c>
      <c r="C46" t="s">
        <v>8520</v>
      </c>
      <c r="D46" t="s">
        <v>6627</v>
      </c>
      <c r="E46" t="s">
        <v>4553</v>
      </c>
      <c r="F46" t="s">
        <v>2655</v>
      </c>
      <c r="G46" t="s">
        <v>14147</v>
      </c>
      <c r="H46" t="s">
        <v>4376</v>
      </c>
      <c r="I46" t="s">
        <v>4799</v>
      </c>
      <c r="J46" t="s">
        <v>8517</v>
      </c>
      <c r="K46" t="s">
        <v>6627</v>
      </c>
      <c r="L46" t="s">
        <v>8518</v>
      </c>
      <c r="M46" t="s">
        <v>25</v>
      </c>
      <c r="N46" t="s">
        <v>8519</v>
      </c>
    </row>
    <row r="47" spans="1:23">
      <c r="A47" t="s">
        <v>8522</v>
      </c>
      <c r="B47" t="s">
        <v>8522</v>
      </c>
      <c r="C47" t="s">
        <v>8526</v>
      </c>
      <c r="D47" t="s">
        <v>6627</v>
      </c>
      <c r="E47" t="s">
        <v>8524</v>
      </c>
      <c r="F47" t="s">
        <v>2655</v>
      </c>
      <c r="G47" t="s">
        <v>14147</v>
      </c>
      <c r="H47" t="s">
        <v>4376</v>
      </c>
      <c r="I47" t="s">
        <v>8525</v>
      </c>
      <c r="J47" t="s">
        <v>8521</v>
      </c>
      <c r="K47" t="s">
        <v>6627</v>
      </c>
      <c r="L47" t="s">
        <v>8522</v>
      </c>
      <c r="M47" t="s">
        <v>25</v>
      </c>
      <c r="N47" t="s">
        <v>8523</v>
      </c>
    </row>
    <row r="48" spans="1:23">
      <c r="A48" t="s">
        <v>10689</v>
      </c>
      <c r="B48" t="s">
        <v>10689</v>
      </c>
      <c r="C48" t="s">
        <v>10732</v>
      </c>
      <c r="D48" t="s">
        <v>10680</v>
      </c>
      <c r="E48" t="s">
        <v>10688</v>
      </c>
      <c r="F48" t="s">
        <v>10681</v>
      </c>
      <c r="G48" t="s">
        <v>10699</v>
      </c>
      <c r="H48" t="s">
        <v>10704</v>
      </c>
      <c r="I48" t="s">
        <v>10771</v>
      </c>
      <c r="J48" t="s">
        <v>10706</v>
      </c>
      <c r="K48" t="s">
        <v>7939</v>
      </c>
      <c r="L48" t="s">
        <v>10713</v>
      </c>
      <c r="M48" t="s">
        <v>25</v>
      </c>
      <c r="N48" t="s">
        <v>10714</v>
      </c>
      <c r="S48" t="s">
        <v>7939</v>
      </c>
      <c r="T48" t="s">
        <v>10713</v>
      </c>
      <c r="U48" t="s">
        <v>4559</v>
      </c>
      <c r="V48" t="s">
        <v>10760</v>
      </c>
    </row>
    <row r="49" spans="1:22">
      <c r="A49" t="s">
        <v>10690</v>
      </c>
      <c r="B49" t="s">
        <v>10690</v>
      </c>
      <c r="C49" t="s">
        <v>10733</v>
      </c>
      <c r="D49" t="s">
        <v>10680</v>
      </c>
      <c r="E49" t="s">
        <v>10688</v>
      </c>
      <c r="F49" t="s">
        <v>10681</v>
      </c>
      <c r="G49" t="s">
        <v>10699</v>
      </c>
      <c r="H49" t="s">
        <v>10704</v>
      </c>
      <c r="I49" t="s">
        <v>10771</v>
      </c>
      <c r="J49" t="s">
        <v>10707</v>
      </c>
      <c r="K49" t="s">
        <v>7939</v>
      </c>
      <c r="L49" t="s">
        <v>10717</v>
      </c>
      <c r="M49" t="s">
        <v>25</v>
      </c>
      <c r="N49" t="s">
        <v>10718</v>
      </c>
      <c r="O49" t="s">
        <v>7939</v>
      </c>
      <c r="P49" t="s">
        <v>10719</v>
      </c>
      <c r="Q49" t="s">
        <v>25</v>
      </c>
      <c r="R49" t="s">
        <v>10720</v>
      </c>
      <c r="S49" t="s">
        <v>7939</v>
      </c>
      <c r="T49" t="s">
        <v>10717</v>
      </c>
      <c r="U49" t="s">
        <v>4559</v>
      </c>
      <c r="V49" t="s">
        <v>10761</v>
      </c>
    </row>
    <row r="50" spans="1:22">
      <c r="A50" t="s">
        <v>10691</v>
      </c>
      <c r="B50" t="s">
        <v>10691</v>
      </c>
      <c r="C50" t="s">
        <v>10734</v>
      </c>
      <c r="D50" t="s">
        <v>10680</v>
      </c>
      <c r="E50" t="s">
        <v>10688</v>
      </c>
      <c r="F50" t="s">
        <v>10681</v>
      </c>
      <c r="G50" t="s">
        <v>10699</v>
      </c>
      <c r="H50" t="s">
        <v>10704</v>
      </c>
      <c r="I50" t="s">
        <v>10771</v>
      </c>
      <c r="J50" t="s">
        <v>10708</v>
      </c>
      <c r="K50" t="s">
        <v>7939</v>
      </c>
      <c r="L50" t="s">
        <v>10721</v>
      </c>
      <c r="M50" t="s">
        <v>25</v>
      </c>
      <c r="N50" t="s">
        <v>10722</v>
      </c>
      <c r="O50" t="s">
        <v>7939</v>
      </c>
      <c r="P50" t="s">
        <v>10723</v>
      </c>
      <c r="Q50" t="s">
        <v>25</v>
      </c>
      <c r="R50" t="s">
        <v>10724</v>
      </c>
      <c r="S50" t="s">
        <v>7939</v>
      </c>
      <c r="T50" t="s">
        <v>10721</v>
      </c>
      <c r="U50" t="s">
        <v>4559</v>
      </c>
      <c r="V50" t="s">
        <v>10762</v>
      </c>
    </row>
    <row r="51" spans="1:22">
      <c r="A51" t="s">
        <v>10692</v>
      </c>
      <c r="B51" t="s">
        <v>10692</v>
      </c>
      <c r="C51" t="s">
        <v>10735</v>
      </c>
      <c r="D51" t="s">
        <v>10680</v>
      </c>
      <c r="E51" t="s">
        <v>6714</v>
      </c>
      <c r="F51" t="s">
        <v>10681</v>
      </c>
      <c r="G51" t="s">
        <v>10700</v>
      </c>
      <c r="H51" t="s">
        <v>6243</v>
      </c>
      <c r="I51" t="s">
        <v>10770</v>
      </c>
      <c r="J51" t="s">
        <v>10706</v>
      </c>
      <c r="K51" t="s">
        <v>7939</v>
      </c>
    </row>
    <row r="52" spans="1:22">
      <c r="A52" t="s">
        <v>10693</v>
      </c>
      <c r="B52" t="s">
        <v>10693</v>
      </c>
      <c r="C52" t="s">
        <v>10736</v>
      </c>
      <c r="D52" t="s">
        <v>10680</v>
      </c>
      <c r="E52" t="s">
        <v>6714</v>
      </c>
      <c r="F52" t="s">
        <v>10681</v>
      </c>
      <c r="G52" t="s">
        <v>10700</v>
      </c>
      <c r="H52" t="s">
        <v>6243</v>
      </c>
      <c r="I52" t="s">
        <v>10770</v>
      </c>
      <c r="J52" t="s">
        <v>10707</v>
      </c>
      <c r="K52" t="s">
        <v>7939</v>
      </c>
    </row>
    <row r="53" spans="1:22">
      <c r="A53" t="s">
        <v>10694</v>
      </c>
      <c r="B53" t="s">
        <v>10694</v>
      </c>
      <c r="C53" t="s">
        <v>10737</v>
      </c>
      <c r="D53" t="s">
        <v>10680</v>
      </c>
      <c r="E53" t="s">
        <v>6714</v>
      </c>
      <c r="F53" t="s">
        <v>10681</v>
      </c>
      <c r="G53" t="s">
        <v>10700</v>
      </c>
      <c r="H53" t="s">
        <v>6243</v>
      </c>
      <c r="I53" t="s">
        <v>10770</v>
      </c>
      <c r="J53" t="s">
        <v>10708</v>
      </c>
      <c r="K53" t="s">
        <v>7939</v>
      </c>
      <c r="L53" t="s">
        <v>10738</v>
      </c>
      <c r="M53" t="s">
        <v>25</v>
      </c>
      <c r="N53" t="s">
        <v>10739</v>
      </c>
      <c r="O53" t="s">
        <v>7939</v>
      </c>
      <c r="P53" t="s">
        <v>10740</v>
      </c>
      <c r="Q53" t="s">
        <v>25</v>
      </c>
      <c r="R53" t="s">
        <v>10741</v>
      </c>
      <c r="S53" t="s">
        <v>7939</v>
      </c>
      <c r="T53" t="s">
        <v>10738</v>
      </c>
      <c r="U53" t="s">
        <v>4559</v>
      </c>
      <c r="V53" t="s">
        <v>10763</v>
      </c>
    </row>
    <row r="54" spans="1:22">
      <c r="A54" t="s">
        <v>10684</v>
      </c>
      <c r="B54" t="s">
        <v>10684</v>
      </c>
      <c r="C54" t="s">
        <v>10725</v>
      </c>
      <c r="D54" t="s">
        <v>10680</v>
      </c>
      <c r="E54" t="s">
        <v>7945</v>
      </c>
      <c r="F54" t="s">
        <v>10681</v>
      </c>
      <c r="G54" t="s">
        <v>10701</v>
      </c>
      <c r="H54" t="s">
        <v>10704</v>
      </c>
      <c r="I54" t="s">
        <v>10773</v>
      </c>
      <c r="J54" t="s">
        <v>10709</v>
      </c>
      <c r="K54" t="s">
        <v>7939</v>
      </c>
      <c r="L54" t="s">
        <v>10742</v>
      </c>
      <c r="M54" t="s">
        <v>25</v>
      </c>
      <c r="N54" t="s">
        <v>10743</v>
      </c>
      <c r="S54" t="s">
        <v>7939</v>
      </c>
      <c r="T54" t="s">
        <v>10742</v>
      </c>
      <c r="U54" t="s">
        <v>4559</v>
      </c>
      <c r="V54" t="s">
        <v>10764</v>
      </c>
    </row>
    <row r="55" spans="1:22">
      <c r="A55" t="s">
        <v>10683</v>
      </c>
      <c r="B55" t="s">
        <v>10683</v>
      </c>
      <c r="C55" t="s">
        <v>10726</v>
      </c>
      <c r="D55" t="s">
        <v>10680</v>
      </c>
      <c r="E55" t="s">
        <v>7945</v>
      </c>
      <c r="F55" t="s">
        <v>10681</v>
      </c>
      <c r="G55" t="s">
        <v>10701</v>
      </c>
      <c r="H55" t="s">
        <v>10704</v>
      </c>
      <c r="I55" t="s">
        <v>10773</v>
      </c>
      <c r="J55" t="s">
        <v>10710</v>
      </c>
      <c r="K55" t="s">
        <v>7939</v>
      </c>
      <c r="L55" t="s">
        <v>10744</v>
      </c>
      <c r="M55" t="s">
        <v>25</v>
      </c>
      <c r="N55" t="s">
        <v>10745</v>
      </c>
      <c r="O55" t="s">
        <v>7939</v>
      </c>
      <c r="P55" t="s">
        <v>10715</v>
      </c>
      <c r="Q55" t="s">
        <v>25</v>
      </c>
      <c r="R55" t="s">
        <v>10716</v>
      </c>
      <c r="S55" t="s">
        <v>7939</v>
      </c>
      <c r="T55" t="s">
        <v>10744</v>
      </c>
      <c r="U55" t="s">
        <v>4559</v>
      </c>
      <c r="V55" t="s">
        <v>10765</v>
      </c>
    </row>
    <row r="56" spans="1:22">
      <c r="A56" t="s">
        <v>10678</v>
      </c>
      <c r="B56" t="s">
        <v>10678</v>
      </c>
      <c r="C56" t="s">
        <v>10679</v>
      </c>
      <c r="D56" t="s">
        <v>10680</v>
      </c>
      <c r="E56" t="s">
        <v>7945</v>
      </c>
      <c r="F56" t="s">
        <v>10681</v>
      </c>
      <c r="G56" t="s">
        <v>10701</v>
      </c>
      <c r="H56" t="s">
        <v>10704</v>
      </c>
      <c r="I56" t="s">
        <v>10773</v>
      </c>
      <c r="J56" t="s">
        <v>10682</v>
      </c>
      <c r="K56" t="s">
        <v>7939</v>
      </c>
      <c r="L56" t="s">
        <v>10746</v>
      </c>
      <c r="M56" t="s">
        <v>25</v>
      </c>
      <c r="N56" t="s">
        <v>10747</v>
      </c>
      <c r="O56" t="s">
        <v>7939</v>
      </c>
      <c r="P56" t="s">
        <v>10748</v>
      </c>
      <c r="Q56" t="s">
        <v>25</v>
      </c>
      <c r="R56" t="s">
        <v>10749</v>
      </c>
      <c r="S56" t="s">
        <v>7939</v>
      </c>
      <c r="T56" t="s">
        <v>10746</v>
      </c>
      <c r="U56" t="s">
        <v>4559</v>
      </c>
      <c r="V56" t="s">
        <v>10766</v>
      </c>
    </row>
    <row r="57" spans="1:22">
      <c r="A57" t="s">
        <v>10695</v>
      </c>
      <c r="B57" t="s">
        <v>10695</v>
      </c>
      <c r="C57" t="s">
        <v>10727</v>
      </c>
      <c r="D57" t="s">
        <v>10680</v>
      </c>
      <c r="E57" t="s">
        <v>10698</v>
      </c>
      <c r="F57" t="s">
        <v>10681</v>
      </c>
      <c r="G57" t="s">
        <v>10702</v>
      </c>
      <c r="H57" t="s">
        <v>10705</v>
      </c>
      <c r="I57" t="s">
        <v>10772</v>
      </c>
      <c r="J57" t="s">
        <v>10709</v>
      </c>
      <c r="K57" t="s">
        <v>7939</v>
      </c>
    </row>
    <row r="58" spans="1:22">
      <c r="A58" t="s">
        <v>10696</v>
      </c>
      <c r="B58" t="s">
        <v>10696</v>
      </c>
      <c r="C58" t="s">
        <v>10728</v>
      </c>
      <c r="D58" t="s">
        <v>10680</v>
      </c>
      <c r="E58" t="s">
        <v>10698</v>
      </c>
      <c r="F58" t="s">
        <v>10681</v>
      </c>
      <c r="G58" t="s">
        <v>10702</v>
      </c>
      <c r="H58" t="s">
        <v>10705</v>
      </c>
      <c r="I58" t="s">
        <v>10772</v>
      </c>
      <c r="J58" t="s">
        <v>10710</v>
      </c>
      <c r="K58" t="s">
        <v>7939</v>
      </c>
    </row>
    <row r="59" spans="1:22">
      <c r="A59" t="s">
        <v>10697</v>
      </c>
      <c r="B59" t="s">
        <v>10697</v>
      </c>
      <c r="C59" t="s">
        <v>10729</v>
      </c>
      <c r="D59" t="s">
        <v>10680</v>
      </c>
      <c r="E59" t="s">
        <v>10698</v>
      </c>
      <c r="F59" t="s">
        <v>10681</v>
      </c>
      <c r="G59" t="s">
        <v>10702</v>
      </c>
      <c r="H59" t="s">
        <v>10705</v>
      </c>
      <c r="I59" t="s">
        <v>10772</v>
      </c>
      <c r="J59" t="s">
        <v>10682</v>
      </c>
      <c r="K59" t="s">
        <v>7939</v>
      </c>
      <c r="L59" t="s">
        <v>10750</v>
      </c>
      <c r="M59" t="s">
        <v>25</v>
      </c>
      <c r="N59" t="s">
        <v>10751</v>
      </c>
      <c r="O59" t="s">
        <v>7939</v>
      </c>
      <c r="P59" t="s">
        <v>10759</v>
      </c>
      <c r="Q59" t="s">
        <v>25</v>
      </c>
      <c r="R59" t="s">
        <v>10752</v>
      </c>
      <c r="S59" t="s">
        <v>7939</v>
      </c>
      <c r="T59" t="s">
        <v>10759</v>
      </c>
      <c r="U59" t="s">
        <v>4559</v>
      </c>
      <c r="V59" t="s">
        <v>10767</v>
      </c>
    </row>
    <row r="60" spans="1:22">
      <c r="A60" t="s">
        <v>10686</v>
      </c>
      <c r="B60" t="s">
        <v>10686</v>
      </c>
      <c r="C60" t="s">
        <v>10730</v>
      </c>
      <c r="D60" t="s">
        <v>10680</v>
      </c>
      <c r="E60" t="s">
        <v>10685</v>
      </c>
      <c r="F60" t="s">
        <v>10681</v>
      </c>
      <c r="G60" t="s">
        <v>10703</v>
      </c>
      <c r="H60" t="s">
        <v>10704</v>
      </c>
      <c r="I60" t="s">
        <v>10774</v>
      </c>
      <c r="J60" t="s">
        <v>10711</v>
      </c>
      <c r="K60" t="s">
        <v>7939</v>
      </c>
      <c r="L60" t="s">
        <v>10753</v>
      </c>
      <c r="M60" t="s">
        <v>25</v>
      </c>
      <c r="N60" t="s">
        <v>10754</v>
      </c>
      <c r="S60" t="s">
        <v>7939</v>
      </c>
      <c r="T60" t="s">
        <v>10753</v>
      </c>
      <c r="U60" t="s">
        <v>4559</v>
      </c>
      <c r="V60" t="s">
        <v>10768</v>
      </c>
    </row>
    <row r="61" spans="1:22">
      <c r="A61" t="s">
        <v>10687</v>
      </c>
      <c r="B61" t="s">
        <v>10687</v>
      </c>
      <c r="C61" t="s">
        <v>10731</v>
      </c>
      <c r="D61" t="s">
        <v>10680</v>
      </c>
      <c r="E61" t="s">
        <v>10685</v>
      </c>
      <c r="F61" t="s">
        <v>10681</v>
      </c>
      <c r="G61" t="s">
        <v>10703</v>
      </c>
      <c r="H61" t="s">
        <v>10704</v>
      </c>
      <c r="I61" t="s">
        <v>10774</v>
      </c>
      <c r="J61" t="s">
        <v>10712</v>
      </c>
      <c r="K61" t="s">
        <v>4517</v>
      </c>
      <c r="L61" t="s">
        <v>10755</v>
      </c>
      <c r="M61" t="s">
        <v>25</v>
      </c>
      <c r="N61" t="s">
        <v>10756</v>
      </c>
      <c r="O61" t="s">
        <v>7939</v>
      </c>
      <c r="P61" t="s">
        <v>10757</v>
      </c>
      <c r="Q61" t="s">
        <v>25</v>
      </c>
      <c r="R61" t="s">
        <v>10758</v>
      </c>
      <c r="S61" t="s">
        <v>7939</v>
      </c>
      <c r="T61" t="s">
        <v>10757</v>
      </c>
      <c r="U61" t="s">
        <v>4559</v>
      </c>
      <c r="V61" t="s">
        <v>10769</v>
      </c>
    </row>
    <row r="62" spans="1:22">
      <c r="A62" t="s">
        <v>10800</v>
      </c>
      <c r="B62" t="s">
        <v>10800</v>
      </c>
      <c r="C62" t="s">
        <v>10806</v>
      </c>
      <c r="D62" t="s">
        <v>4517</v>
      </c>
      <c r="E62" t="s">
        <v>10809</v>
      </c>
      <c r="F62" t="s">
        <v>2655</v>
      </c>
      <c r="G62" t="s">
        <v>10800</v>
      </c>
      <c r="H62" t="s">
        <v>6243</v>
      </c>
      <c r="I62" t="s">
        <v>10885</v>
      </c>
      <c r="J62" t="s">
        <v>10811</v>
      </c>
      <c r="K62" t="s">
        <v>4517</v>
      </c>
      <c r="L62" t="s">
        <v>12122</v>
      </c>
      <c r="M62" t="s">
        <v>25</v>
      </c>
      <c r="N62" t="s">
        <v>12123</v>
      </c>
      <c r="O62" t="s">
        <v>4517</v>
      </c>
      <c r="P62" t="s">
        <v>12124</v>
      </c>
      <c r="Q62" t="s">
        <v>25</v>
      </c>
      <c r="R62" t="s">
        <v>12125</v>
      </c>
      <c r="S62" t="s">
        <v>4517</v>
      </c>
      <c r="T62" t="s">
        <v>12122</v>
      </c>
      <c r="U62" t="s">
        <v>4559</v>
      </c>
      <c r="V62" t="s">
        <v>12531</v>
      </c>
    </row>
    <row r="63" spans="1:22">
      <c r="A63" t="s">
        <v>10801</v>
      </c>
      <c r="B63" t="s">
        <v>10801</v>
      </c>
      <c r="C63" t="s">
        <v>10806</v>
      </c>
      <c r="D63" t="s">
        <v>4517</v>
      </c>
      <c r="E63" t="s">
        <v>10810</v>
      </c>
      <c r="F63" t="s">
        <v>2655</v>
      </c>
      <c r="G63" t="s">
        <v>10801</v>
      </c>
      <c r="H63" t="s">
        <v>4377</v>
      </c>
      <c r="I63" t="s">
        <v>10886</v>
      </c>
      <c r="J63" t="s">
        <v>10811</v>
      </c>
      <c r="K63" t="s">
        <v>4517</v>
      </c>
      <c r="L63" t="s">
        <v>12126</v>
      </c>
      <c r="M63" t="s">
        <v>25</v>
      </c>
      <c r="N63" t="s">
        <v>12127</v>
      </c>
      <c r="O63" t="s">
        <v>4517</v>
      </c>
      <c r="P63" t="s">
        <v>12128</v>
      </c>
      <c r="Q63" t="s">
        <v>25</v>
      </c>
      <c r="R63" t="s">
        <v>12129</v>
      </c>
      <c r="S63" t="s">
        <v>4517</v>
      </c>
      <c r="T63" t="s">
        <v>12126</v>
      </c>
      <c r="U63" t="s">
        <v>4559</v>
      </c>
      <c r="V63" t="s">
        <v>12532</v>
      </c>
    </row>
    <row r="64" spans="1:22">
      <c r="A64" t="s">
        <v>10802</v>
      </c>
      <c r="B64" t="s">
        <v>10802</v>
      </c>
      <c r="C64" t="s">
        <v>10807</v>
      </c>
      <c r="D64" t="s">
        <v>4517</v>
      </c>
      <c r="E64" t="s">
        <v>10809</v>
      </c>
      <c r="F64" t="s">
        <v>2655</v>
      </c>
      <c r="G64" t="s">
        <v>10802</v>
      </c>
      <c r="H64" t="s">
        <v>6243</v>
      </c>
      <c r="I64" t="s">
        <v>10885</v>
      </c>
      <c r="J64" t="s">
        <v>10812</v>
      </c>
      <c r="K64" t="s">
        <v>4517</v>
      </c>
      <c r="L64" t="s">
        <v>12130</v>
      </c>
      <c r="M64" t="s">
        <v>25</v>
      </c>
      <c r="N64" t="s">
        <v>12131</v>
      </c>
      <c r="O64" t="s">
        <v>4517</v>
      </c>
      <c r="P64" t="s">
        <v>12132</v>
      </c>
      <c r="Q64" t="s">
        <v>25</v>
      </c>
      <c r="R64" t="s">
        <v>12133</v>
      </c>
      <c r="S64" t="s">
        <v>4517</v>
      </c>
      <c r="T64" t="s">
        <v>12130</v>
      </c>
      <c r="U64" t="s">
        <v>4559</v>
      </c>
      <c r="V64" t="s">
        <v>12533</v>
      </c>
    </row>
    <row r="65" spans="1:22">
      <c r="A65" t="s">
        <v>10803</v>
      </c>
      <c r="B65" t="s">
        <v>10803</v>
      </c>
      <c r="C65" t="s">
        <v>10807</v>
      </c>
      <c r="D65" t="s">
        <v>4517</v>
      </c>
      <c r="E65" t="s">
        <v>10810</v>
      </c>
      <c r="F65" t="s">
        <v>2655</v>
      </c>
      <c r="G65" t="s">
        <v>10803</v>
      </c>
      <c r="H65" t="s">
        <v>4377</v>
      </c>
      <c r="I65" t="s">
        <v>10886</v>
      </c>
      <c r="J65" t="s">
        <v>10812</v>
      </c>
      <c r="K65" t="s">
        <v>4517</v>
      </c>
      <c r="L65" t="s">
        <v>12134</v>
      </c>
      <c r="M65" t="s">
        <v>25</v>
      </c>
      <c r="N65" t="s">
        <v>12135</v>
      </c>
      <c r="O65" t="s">
        <v>4517</v>
      </c>
      <c r="P65" t="s">
        <v>12136</v>
      </c>
      <c r="Q65" t="s">
        <v>25</v>
      </c>
      <c r="R65" t="s">
        <v>12137</v>
      </c>
      <c r="S65" t="s">
        <v>4517</v>
      </c>
      <c r="T65" t="s">
        <v>12134</v>
      </c>
      <c r="U65" t="s">
        <v>4559</v>
      </c>
      <c r="V65" t="s">
        <v>12534</v>
      </c>
    </row>
    <row r="66" spans="1:22">
      <c r="A66" t="s">
        <v>10804</v>
      </c>
      <c r="B66" t="s">
        <v>10804</v>
      </c>
      <c r="C66" t="s">
        <v>10808</v>
      </c>
      <c r="D66" t="s">
        <v>4517</v>
      </c>
      <c r="E66" t="s">
        <v>10809</v>
      </c>
      <c r="F66" t="s">
        <v>2655</v>
      </c>
      <c r="G66" t="s">
        <v>10804</v>
      </c>
      <c r="H66" t="s">
        <v>6243</v>
      </c>
      <c r="I66" t="s">
        <v>10885</v>
      </c>
      <c r="J66" t="s">
        <v>10813</v>
      </c>
      <c r="K66" t="s">
        <v>4517</v>
      </c>
      <c r="L66" t="s">
        <v>12138</v>
      </c>
      <c r="M66" t="s">
        <v>25</v>
      </c>
      <c r="N66" t="s">
        <v>12139</v>
      </c>
      <c r="O66" t="s">
        <v>4517</v>
      </c>
      <c r="P66" t="s">
        <v>12140</v>
      </c>
      <c r="Q66" t="s">
        <v>25</v>
      </c>
      <c r="R66" t="s">
        <v>12141</v>
      </c>
      <c r="S66" t="s">
        <v>4517</v>
      </c>
      <c r="T66" t="s">
        <v>12138</v>
      </c>
      <c r="U66" t="s">
        <v>4559</v>
      </c>
      <c r="V66" t="s">
        <v>12535</v>
      </c>
    </row>
    <row r="67" spans="1:22">
      <c r="A67" t="s">
        <v>10805</v>
      </c>
      <c r="B67" t="s">
        <v>10805</v>
      </c>
      <c r="C67" t="s">
        <v>10808</v>
      </c>
      <c r="D67" t="s">
        <v>4517</v>
      </c>
      <c r="E67" t="s">
        <v>10810</v>
      </c>
      <c r="F67" t="s">
        <v>2655</v>
      </c>
      <c r="G67" t="s">
        <v>10805</v>
      </c>
      <c r="H67" t="s">
        <v>4377</v>
      </c>
      <c r="I67" t="s">
        <v>10886</v>
      </c>
      <c r="J67" t="s">
        <v>10813</v>
      </c>
      <c r="K67" t="s">
        <v>4517</v>
      </c>
      <c r="L67" t="s">
        <v>12142</v>
      </c>
      <c r="M67" t="s">
        <v>25</v>
      </c>
      <c r="N67" t="s">
        <v>12143</v>
      </c>
      <c r="O67" t="s">
        <v>4517</v>
      </c>
      <c r="P67" t="s">
        <v>12144</v>
      </c>
      <c r="Q67" t="s">
        <v>25</v>
      </c>
      <c r="R67" t="s">
        <v>12145</v>
      </c>
      <c r="S67" t="s">
        <v>4517</v>
      </c>
      <c r="T67" t="s">
        <v>12142</v>
      </c>
      <c r="U67" t="s">
        <v>4559</v>
      </c>
      <c r="V67" t="s">
        <v>12536</v>
      </c>
    </row>
    <row r="68" spans="1:22">
      <c r="A68" t="s">
        <v>10814</v>
      </c>
      <c r="B68" t="s">
        <v>10814</v>
      </c>
      <c r="C68" t="s">
        <v>10818</v>
      </c>
      <c r="D68" t="s">
        <v>6737</v>
      </c>
      <c r="E68" t="s">
        <v>2656</v>
      </c>
      <c r="F68" t="s">
        <v>2655</v>
      </c>
      <c r="G68" t="s">
        <v>10823</v>
      </c>
      <c r="H68" t="s">
        <v>4376</v>
      </c>
      <c r="I68" t="s">
        <v>4789</v>
      </c>
      <c r="J68" t="s">
        <v>10826</v>
      </c>
      <c r="K68" t="s">
        <v>6737</v>
      </c>
      <c r="L68" t="s">
        <v>10831</v>
      </c>
      <c r="M68" t="s">
        <v>25</v>
      </c>
      <c r="N68" t="s">
        <v>10832</v>
      </c>
      <c r="O68" t="s">
        <v>6737</v>
      </c>
      <c r="P68" t="s">
        <v>10833</v>
      </c>
      <c r="Q68" t="s">
        <v>25</v>
      </c>
      <c r="R68" t="s">
        <v>10834</v>
      </c>
      <c r="S68" t="s">
        <v>6737</v>
      </c>
      <c r="T68" t="s">
        <v>10814</v>
      </c>
      <c r="U68" t="s">
        <v>4559</v>
      </c>
      <c r="V68" t="s">
        <v>10856</v>
      </c>
    </row>
    <row r="69" spans="1:22">
      <c r="A69" t="s">
        <v>10815</v>
      </c>
      <c r="B69" t="s">
        <v>10815</v>
      </c>
      <c r="C69" t="s">
        <v>10819</v>
      </c>
      <c r="D69" t="s">
        <v>6737</v>
      </c>
      <c r="E69" t="s">
        <v>2656</v>
      </c>
      <c r="F69" t="s">
        <v>2655</v>
      </c>
      <c r="G69" t="s">
        <v>10823</v>
      </c>
      <c r="H69" t="s">
        <v>4376</v>
      </c>
      <c r="I69" t="s">
        <v>4789</v>
      </c>
      <c r="J69" t="s">
        <v>10826</v>
      </c>
      <c r="K69" t="s">
        <v>6737</v>
      </c>
      <c r="L69" t="s">
        <v>10852</v>
      </c>
      <c r="M69" t="s">
        <v>25</v>
      </c>
      <c r="N69" t="s">
        <v>10853</v>
      </c>
      <c r="O69" t="s">
        <v>6737</v>
      </c>
      <c r="P69" t="s">
        <v>10854</v>
      </c>
      <c r="Q69" t="s">
        <v>25</v>
      </c>
      <c r="R69" t="s">
        <v>10855</v>
      </c>
      <c r="S69" t="s">
        <v>6737</v>
      </c>
      <c r="T69" t="s">
        <v>10815</v>
      </c>
      <c r="U69" t="s">
        <v>4559</v>
      </c>
      <c r="V69" t="s">
        <v>10857</v>
      </c>
    </row>
    <row r="70" spans="1:22">
      <c r="A70" t="s">
        <v>10816</v>
      </c>
      <c r="B70" t="s">
        <v>10816</v>
      </c>
      <c r="C70" t="s">
        <v>10820</v>
      </c>
      <c r="D70" t="s">
        <v>6737</v>
      </c>
      <c r="E70" t="s">
        <v>4553</v>
      </c>
      <c r="F70" t="s">
        <v>2655</v>
      </c>
      <c r="G70" t="s">
        <v>10824</v>
      </c>
      <c r="H70" t="s">
        <v>4376</v>
      </c>
      <c r="I70" t="s">
        <v>8892</v>
      </c>
      <c r="J70" t="s">
        <v>10826</v>
      </c>
      <c r="K70" t="s">
        <v>6737</v>
      </c>
      <c r="L70" t="s">
        <v>10827</v>
      </c>
      <c r="M70" t="s">
        <v>25</v>
      </c>
      <c r="N70" t="s">
        <v>10828</v>
      </c>
      <c r="S70" t="s">
        <v>6737</v>
      </c>
      <c r="T70" t="s">
        <v>10816</v>
      </c>
      <c r="U70" t="s">
        <v>4559</v>
      </c>
      <c r="V70" t="s">
        <v>10858</v>
      </c>
    </row>
    <row r="71" spans="1:22">
      <c r="A71" t="s">
        <v>10817</v>
      </c>
      <c r="B71" t="s">
        <v>10817</v>
      </c>
      <c r="C71" t="s">
        <v>10821</v>
      </c>
      <c r="D71" t="s">
        <v>6737</v>
      </c>
      <c r="E71" t="s">
        <v>10822</v>
      </c>
      <c r="F71" t="s">
        <v>2655</v>
      </c>
      <c r="G71" t="s">
        <v>10825</v>
      </c>
      <c r="H71" t="s">
        <v>6741</v>
      </c>
      <c r="I71" t="s">
        <v>10835</v>
      </c>
      <c r="J71" t="s">
        <v>10826</v>
      </c>
      <c r="K71" t="s">
        <v>6737</v>
      </c>
      <c r="L71" t="s">
        <v>10829</v>
      </c>
      <c r="M71" t="s">
        <v>25</v>
      </c>
      <c r="N71" t="s">
        <v>10830</v>
      </c>
      <c r="S71" t="s">
        <v>6737</v>
      </c>
      <c r="T71" t="s">
        <v>10817</v>
      </c>
      <c r="U71" t="s">
        <v>4559</v>
      </c>
      <c r="V71" t="s">
        <v>10859</v>
      </c>
    </row>
    <row r="72" spans="1:22">
      <c r="A72" t="s">
        <v>10876</v>
      </c>
      <c r="B72" t="s">
        <v>10876</v>
      </c>
      <c r="C72" t="s">
        <v>10877</v>
      </c>
      <c r="D72" t="s">
        <v>6218</v>
      </c>
      <c r="E72" t="s">
        <v>10883</v>
      </c>
      <c r="F72" t="s">
        <v>2655</v>
      </c>
      <c r="G72" t="s">
        <v>10876</v>
      </c>
      <c r="H72" t="s">
        <v>4377</v>
      </c>
      <c r="I72" t="s">
        <v>10882</v>
      </c>
      <c r="J72" t="s">
        <v>10878</v>
      </c>
      <c r="K72" t="s">
        <v>6218</v>
      </c>
      <c r="L72" t="s">
        <v>10879</v>
      </c>
      <c r="M72" t="s">
        <v>25</v>
      </c>
      <c r="N72" t="s">
        <v>10880</v>
      </c>
      <c r="S72" t="s">
        <v>6218</v>
      </c>
      <c r="T72" t="s">
        <v>10879</v>
      </c>
      <c r="U72" t="s">
        <v>4559</v>
      </c>
      <c r="V72" t="s">
        <v>10881</v>
      </c>
    </row>
    <row r="73" spans="1:22">
      <c r="A73" t="s">
        <v>10977</v>
      </c>
      <c r="B73" t="s">
        <v>10977</v>
      </c>
      <c r="C73" t="s">
        <v>10978</v>
      </c>
      <c r="D73" t="s">
        <v>4517</v>
      </c>
      <c r="F73" t="s">
        <v>2655</v>
      </c>
      <c r="G73" t="s">
        <v>10977</v>
      </c>
      <c r="H73" t="s">
        <v>6243</v>
      </c>
      <c r="I73" t="s">
        <v>10979</v>
      </c>
      <c r="J73" t="s">
        <v>10980</v>
      </c>
      <c r="K73" t="s">
        <v>4517</v>
      </c>
      <c r="L73" t="s">
        <v>10985</v>
      </c>
      <c r="M73" t="s">
        <v>25</v>
      </c>
      <c r="N73" t="s">
        <v>10986</v>
      </c>
      <c r="S73" t="s">
        <v>4517</v>
      </c>
      <c r="T73" t="s">
        <v>10985</v>
      </c>
      <c r="U73" t="s">
        <v>4559</v>
      </c>
      <c r="V73" t="s">
        <v>10989</v>
      </c>
    </row>
    <row r="74" spans="1:22">
      <c r="A74" t="s">
        <v>10981</v>
      </c>
      <c r="B74" t="s">
        <v>10981</v>
      </c>
      <c r="C74" t="s">
        <v>10983</v>
      </c>
      <c r="D74" t="s">
        <v>4517</v>
      </c>
      <c r="F74" t="s">
        <v>2655</v>
      </c>
      <c r="G74" t="s">
        <v>10981</v>
      </c>
      <c r="H74" t="s">
        <v>6243</v>
      </c>
      <c r="I74" t="s">
        <v>10982</v>
      </c>
      <c r="J74" t="s">
        <v>10984</v>
      </c>
      <c r="K74" t="s">
        <v>4517</v>
      </c>
      <c r="L74" t="s">
        <v>10987</v>
      </c>
      <c r="M74" t="s">
        <v>25</v>
      </c>
      <c r="N74" t="s">
        <v>10988</v>
      </c>
      <c r="S74" t="s">
        <v>4517</v>
      </c>
      <c r="T74" t="s">
        <v>10987</v>
      </c>
      <c r="U74" t="s">
        <v>4559</v>
      </c>
      <c r="V74" t="s">
        <v>10990</v>
      </c>
    </row>
    <row r="75" spans="1:22">
      <c r="A75" t="s">
        <v>14059</v>
      </c>
      <c r="B75" t="s">
        <v>14059</v>
      </c>
      <c r="C75" t="s">
        <v>14060</v>
      </c>
      <c r="D75" t="s">
        <v>4517</v>
      </c>
      <c r="E75" t="s">
        <v>4435</v>
      </c>
      <c r="F75" t="s">
        <v>2655</v>
      </c>
      <c r="G75" t="s">
        <v>14059</v>
      </c>
      <c r="H75" t="s">
        <v>4377</v>
      </c>
      <c r="I75" t="s">
        <v>12051</v>
      </c>
      <c r="J75" t="s">
        <v>14765</v>
      </c>
      <c r="K75" t="s">
        <v>4517</v>
      </c>
      <c r="L75" t="s">
        <v>14061</v>
      </c>
      <c r="M75" t="s">
        <v>25</v>
      </c>
      <c r="N75" t="s">
        <v>14062</v>
      </c>
      <c r="O75" t="s">
        <v>4517</v>
      </c>
      <c r="P75" t="s">
        <v>14063</v>
      </c>
      <c r="Q75" t="s">
        <v>25</v>
      </c>
      <c r="R75" t="s">
        <v>14064</v>
      </c>
      <c r="S75" t="s">
        <v>6665</v>
      </c>
      <c r="T75" t="s">
        <v>14061</v>
      </c>
      <c r="U75" t="s">
        <v>4559</v>
      </c>
      <c r="V75" t="s">
        <v>14065</v>
      </c>
    </row>
    <row r="76" spans="1:22">
      <c r="A76" t="s">
        <v>10996</v>
      </c>
      <c r="B76" t="s">
        <v>10991</v>
      </c>
      <c r="C76" t="s">
        <v>11006</v>
      </c>
      <c r="D76" t="s">
        <v>6627</v>
      </c>
      <c r="E76" t="s">
        <v>11016</v>
      </c>
      <c r="F76" t="s">
        <v>2655</v>
      </c>
      <c r="G76" t="s">
        <v>11017</v>
      </c>
      <c r="H76" t="s">
        <v>4377</v>
      </c>
      <c r="I76" t="s">
        <v>4794</v>
      </c>
      <c r="J76" t="s">
        <v>11019</v>
      </c>
      <c r="K76" t="s">
        <v>6627</v>
      </c>
      <c r="L76" t="s">
        <v>11020</v>
      </c>
      <c r="M76" t="s">
        <v>25</v>
      </c>
      <c r="N76" t="s">
        <v>11021</v>
      </c>
      <c r="O76" t="s">
        <v>6627</v>
      </c>
      <c r="P76" t="s">
        <v>11022</v>
      </c>
      <c r="Q76" t="s">
        <v>25</v>
      </c>
      <c r="R76" t="s">
        <v>11023</v>
      </c>
      <c r="S76" t="s">
        <v>11026</v>
      </c>
      <c r="T76" t="s">
        <v>11022</v>
      </c>
      <c r="U76" t="s">
        <v>4559</v>
      </c>
      <c r="V76" t="s">
        <v>11027</v>
      </c>
    </row>
    <row r="77" spans="1:22">
      <c r="A77" t="s">
        <v>10997</v>
      </c>
      <c r="B77" t="s">
        <v>10992</v>
      </c>
      <c r="C77" t="s">
        <v>11009</v>
      </c>
      <c r="D77" t="s">
        <v>6627</v>
      </c>
      <c r="E77" t="s">
        <v>11016</v>
      </c>
      <c r="F77" t="s">
        <v>2655</v>
      </c>
      <c r="G77" t="s">
        <v>11017</v>
      </c>
      <c r="H77" t="s">
        <v>4377</v>
      </c>
      <c r="I77" t="s">
        <v>4794</v>
      </c>
      <c r="J77" t="s">
        <v>11019</v>
      </c>
      <c r="K77" t="s">
        <v>6627</v>
      </c>
      <c r="L77" t="s">
        <v>11029</v>
      </c>
      <c r="M77" t="s">
        <v>25</v>
      </c>
      <c r="N77" t="s">
        <v>11030</v>
      </c>
      <c r="O77" t="s">
        <v>6627</v>
      </c>
      <c r="P77" t="s">
        <v>11031</v>
      </c>
      <c r="Q77" t="s">
        <v>25</v>
      </c>
      <c r="R77" t="s">
        <v>11032</v>
      </c>
      <c r="S77" t="s">
        <v>11026</v>
      </c>
      <c r="T77" t="s">
        <v>11029</v>
      </c>
      <c r="U77" t="s">
        <v>4559</v>
      </c>
      <c r="V77" t="s">
        <v>11033</v>
      </c>
    </row>
    <row r="78" spans="1:22">
      <c r="A78" t="s">
        <v>10998</v>
      </c>
      <c r="B78" t="s">
        <v>10993</v>
      </c>
      <c r="C78" t="s">
        <v>11010</v>
      </c>
      <c r="D78" t="s">
        <v>6627</v>
      </c>
      <c r="E78" t="s">
        <v>11016</v>
      </c>
      <c r="F78" t="s">
        <v>2655</v>
      </c>
      <c r="G78" t="s">
        <v>11017</v>
      </c>
      <c r="H78" t="s">
        <v>4377</v>
      </c>
      <c r="I78" t="s">
        <v>4794</v>
      </c>
      <c r="J78" t="s">
        <v>11019</v>
      </c>
      <c r="K78" t="s">
        <v>6627</v>
      </c>
      <c r="L78" t="s">
        <v>11037</v>
      </c>
      <c r="M78" t="s">
        <v>25</v>
      </c>
      <c r="N78" t="s">
        <v>11038</v>
      </c>
      <c r="O78" t="s">
        <v>6627</v>
      </c>
      <c r="P78" t="s">
        <v>11039</v>
      </c>
      <c r="Q78" t="s">
        <v>25</v>
      </c>
      <c r="R78" t="s">
        <v>11040</v>
      </c>
      <c r="S78" t="s">
        <v>11026</v>
      </c>
      <c r="T78" t="s">
        <v>11039</v>
      </c>
      <c r="U78" t="s">
        <v>4559</v>
      </c>
      <c r="V78" t="s">
        <v>11041</v>
      </c>
    </row>
    <row r="79" spans="1:22">
      <c r="A79" t="s">
        <v>10999</v>
      </c>
      <c r="B79" t="s">
        <v>10994</v>
      </c>
      <c r="C79" t="s">
        <v>11007</v>
      </c>
      <c r="D79" t="s">
        <v>6627</v>
      </c>
      <c r="E79" t="s">
        <v>11016</v>
      </c>
      <c r="F79" t="s">
        <v>2655</v>
      </c>
      <c r="G79" t="s">
        <v>11017</v>
      </c>
      <c r="H79" t="s">
        <v>4377</v>
      </c>
      <c r="I79" t="s">
        <v>4794</v>
      </c>
      <c r="J79" t="s">
        <v>11019</v>
      </c>
      <c r="K79" t="s">
        <v>6627</v>
      </c>
      <c r="L79" t="s">
        <v>11051</v>
      </c>
      <c r="M79" t="s">
        <v>25</v>
      </c>
      <c r="N79" t="s">
        <v>11055</v>
      </c>
      <c r="O79" t="s">
        <v>6627</v>
      </c>
      <c r="P79" t="s">
        <v>11056</v>
      </c>
      <c r="Q79" t="s">
        <v>25</v>
      </c>
      <c r="R79" t="s">
        <v>11057</v>
      </c>
      <c r="S79" t="s">
        <v>11026</v>
      </c>
      <c r="T79" t="s">
        <v>11051</v>
      </c>
      <c r="U79" t="s">
        <v>4559</v>
      </c>
      <c r="V79" t="s">
        <v>11052</v>
      </c>
    </row>
    <row r="80" spans="1:22">
      <c r="A80" t="s">
        <v>11000</v>
      </c>
      <c r="B80" t="s">
        <v>10995</v>
      </c>
      <c r="C80" t="s">
        <v>11008</v>
      </c>
      <c r="D80" t="s">
        <v>6627</v>
      </c>
      <c r="E80" t="s">
        <v>11016</v>
      </c>
      <c r="F80" t="s">
        <v>2655</v>
      </c>
      <c r="G80" t="s">
        <v>11017</v>
      </c>
      <c r="H80" t="s">
        <v>4377</v>
      </c>
      <c r="I80" t="s">
        <v>4794</v>
      </c>
      <c r="J80" t="s">
        <v>11019</v>
      </c>
      <c r="K80" t="s">
        <v>6627</v>
      </c>
      <c r="L80" t="s">
        <v>11053</v>
      </c>
      <c r="M80" t="s">
        <v>25</v>
      </c>
      <c r="N80" t="s">
        <v>11058</v>
      </c>
      <c r="O80" t="s">
        <v>6627</v>
      </c>
      <c r="P80" t="s">
        <v>11059</v>
      </c>
      <c r="Q80" t="s">
        <v>25</v>
      </c>
      <c r="R80" t="s">
        <v>11060</v>
      </c>
      <c r="S80" t="s">
        <v>11026</v>
      </c>
      <c r="T80" t="s">
        <v>11053</v>
      </c>
      <c r="U80" t="s">
        <v>4559</v>
      </c>
      <c r="V80" t="s">
        <v>11054</v>
      </c>
    </row>
    <row r="81" spans="1:22">
      <c r="A81" t="s">
        <v>11001</v>
      </c>
      <c r="B81" t="s">
        <v>10991</v>
      </c>
      <c r="C81" t="s">
        <v>11011</v>
      </c>
      <c r="D81" t="s">
        <v>6627</v>
      </c>
      <c r="E81" t="s">
        <v>8089</v>
      </c>
      <c r="F81" t="s">
        <v>2655</v>
      </c>
      <c r="G81" t="s">
        <v>11018</v>
      </c>
      <c r="H81" t="s">
        <v>7975</v>
      </c>
      <c r="I81" t="s">
        <v>11076</v>
      </c>
      <c r="J81" t="s">
        <v>11019</v>
      </c>
      <c r="K81" t="s">
        <v>6627</v>
      </c>
      <c r="L81" t="s">
        <v>11024</v>
      </c>
      <c r="M81" t="s">
        <v>25</v>
      </c>
      <c r="N81" t="s">
        <v>11025</v>
      </c>
      <c r="S81" t="s">
        <v>11026</v>
      </c>
      <c r="T81" t="s">
        <v>11024</v>
      </c>
      <c r="U81" t="s">
        <v>4559</v>
      </c>
      <c r="V81" t="s">
        <v>11028</v>
      </c>
    </row>
    <row r="82" spans="1:22">
      <c r="A82" t="s">
        <v>11002</v>
      </c>
      <c r="B82" t="s">
        <v>10992</v>
      </c>
      <c r="C82" t="s">
        <v>11012</v>
      </c>
      <c r="D82" t="s">
        <v>6627</v>
      </c>
      <c r="E82" t="s">
        <v>8089</v>
      </c>
      <c r="F82" t="s">
        <v>2655</v>
      </c>
      <c r="G82" t="s">
        <v>11018</v>
      </c>
      <c r="H82" t="s">
        <v>7975</v>
      </c>
      <c r="I82" t="s">
        <v>11076</v>
      </c>
      <c r="J82" t="s">
        <v>11019</v>
      </c>
      <c r="K82" t="s">
        <v>6627</v>
      </c>
      <c r="L82" t="s">
        <v>11034</v>
      </c>
      <c r="M82" t="s">
        <v>25</v>
      </c>
      <c r="N82" t="s">
        <v>11036</v>
      </c>
      <c r="S82" t="s">
        <v>11026</v>
      </c>
      <c r="T82" t="s">
        <v>11034</v>
      </c>
      <c r="U82" t="s">
        <v>4559</v>
      </c>
      <c r="V82" t="s">
        <v>11035</v>
      </c>
    </row>
    <row r="83" spans="1:22">
      <c r="A83" t="s">
        <v>11003</v>
      </c>
      <c r="B83" t="s">
        <v>10993</v>
      </c>
      <c r="C83" t="s">
        <v>11013</v>
      </c>
      <c r="D83" t="s">
        <v>6627</v>
      </c>
      <c r="E83" t="s">
        <v>8089</v>
      </c>
      <c r="F83" t="s">
        <v>2655</v>
      </c>
      <c r="G83" t="s">
        <v>11018</v>
      </c>
      <c r="H83" t="s">
        <v>7975</v>
      </c>
      <c r="I83" t="s">
        <v>11076</v>
      </c>
      <c r="J83" t="s">
        <v>11019</v>
      </c>
      <c r="K83" t="s">
        <v>6627</v>
      </c>
      <c r="L83" t="s">
        <v>11042</v>
      </c>
      <c r="M83" t="s">
        <v>25</v>
      </c>
      <c r="N83" t="s">
        <v>11043</v>
      </c>
      <c r="S83" t="s">
        <v>11026</v>
      </c>
      <c r="T83" t="s">
        <v>11042</v>
      </c>
      <c r="U83" t="s">
        <v>4559</v>
      </c>
      <c r="V83" t="s">
        <v>11044</v>
      </c>
    </row>
    <row r="84" spans="1:22">
      <c r="A84" t="s">
        <v>11004</v>
      </c>
      <c r="B84" t="s">
        <v>10994</v>
      </c>
      <c r="C84" t="s">
        <v>11014</v>
      </c>
      <c r="D84" t="s">
        <v>6627</v>
      </c>
      <c r="E84" t="s">
        <v>8089</v>
      </c>
      <c r="F84" t="s">
        <v>2655</v>
      </c>
      <c r="G84" t="s">
        <v>11018</v>
      </c>
      <c r="H84" t="s">
        <v>7975</v>
      </c>
      <c r="I84" t="s">
        <v>11076</v>
      </c>
      <c r="J84" t="s">
        <v>11019</v>
      </c>
      <c r="K84" t="s">
        <v>6627</v>
      </c>
      <c r="L84" t="s">
        <v>11045</v>
      </c>
      <c r="M84" t="s">
        <v>25</v>
      </c>
      <c r="N84" t="s">
        <v>11049</v>
      </c>
      <c r="S84" t="s">
        <v>11026</v>
      </c>
      <c r="T84" t="s">
        <v>11045</v>
      </c>
      <c r="U84" t="s">
        <v>4559</v>
      </c>
      <c r="V84" t="s">
        <v>11046</v>
      </c>
    </row>
    <row r="85" spans="1:22">
      <c r="A85" t="s">
        <v>11005</v>
      </c>
      <c r="B85" t="s">
        <v>10995</v>
      </c>
      <c r="C85" t="s">
        <v>11015</v>
      </c>
      <c r="D85" t="s">
        <v>6627</v>
      </c>
      <c r="E85" t="s">
        <v>8089</v>
      </c>
      <c r="F85" t="s">
        <v>2655</v>
      </c>
      <c r="G85" t="s">
        <v>11018</v>
      </c>
      <c r="H85" t="s">
        <v>7975</v>
      </c>
      <c r="I85" t="s">
        <v>11076</v>
      </c>
      <c r="J85" t="s">
        <v>11019</v>
      </c>
      <c r="K85" t="s">
        <v>6627</v>
      </c>
      <c r="L85" t="s">
        <v>11047</v>
      </c>
      <c r="M85" t="s">
        <v>25</v>
      </c>
      <c r="N85" t="s">
        <v>11050</v>
      </c>
      <c r="S85" t="s">
        <v>11026</v>
      </c>
      <c r="T85" t="s">
        <v>11047</v>
      </c>
      <c r="U85" t="s">
        <v>4559</v>
      </c>
      <c r="V85" t="s">
        <v>11048</v>
      </c>
    </row>
    <row r="86" spans="1:22">
      <c r="A86" t="s">
        <v>11140</v>
      </c>
      <c r="B86" t="s">
        <v>11066</v>
      </c>
      <c r="C86" t="s">
        <v>11154</v>
      </c>
      <c r="D86" t="s">
        <v>4517</v>
      </c>
      <c r="E86" t="s">
        <v>4553</v>
      </c>
      <c r="F86" t="s">
        <v>7015</v>
      </c>
      <c r="G86" t="s">
        <v>11138</v>
      </c>
      <c r="H86" t="s">
        <v>4376</v>
      </c>
      <c r="I86" t="s">
        <v>8892</v>
      </c>
      <c r="J86" t="s">
        <v>11075</v>
      </c>
      <c r="K86" t="s">
        <v>4517</v>
      </c>
      <c r="L86" t="s">
        <v>11061</v>
      </c>
      <c r="M86" t="s">
        <v>25</v>
      </c>
      <c r="N86" t="s">
        <v>11077</v>
      </c>
      <c r="O86" t="s">
        <v>4517</v>
      </c>
      <c r="P86" t="s">
        <v>11062</v>
      </c>
      <c r="Q86" t="s">
        <v>25</v>
      </c>
      <c r="R86" t="s">
        <v>11078</v>
      </c>
      <c r="S86" t="s">
        <v>4517</v>
      </c>
      <c r="T86" t="s">
        <v>11061</v>
      </c>
      <c r="U86" t="s">
        <v>4559</v>
      </c>
      <c r="V86" t="s">
        <v>11088</v>
      </c>
    </row>
    <row r="87" spans="1:22">
      <c r="A87" t="s">
        <v>11149</v>
      </c>
      <c r="B87" t="s">
        <v>11065</v>
      </c>
      <c r="C87" t="s">
        <v>11154</v>
      </c>
      <c r="D87" t="s">
        <v>4517</v>
      </c>
      <c r="E87" t="s">
        <v>11073</v>
      </c>
      <c r="F87" t="s">
        <v>7015</v>
      </c>
      <c r="G87" t="s">
        <v>11139</v>
      </c>
      <c r="H87" t="s">
        <v>4376</v>
      </c>
      <c r="I87" t="s">
        <v>8525</v>
      </c>
      <c r="J87" t="s">
        <v>11075</v>
      </c>
      <c r="K87" t="s">
        <v>4517</v>
      </c>
      <c r="L87" t="s">
        <v>11079</v>
      </c>
      <c r="M87" t="s">
        <v>25</v>
      </c>
      <c r="N87" t="s">
        <v>11081</v>
      </c>
      <c r="O87" t="s">
        <v>4517</v>
      </c>
      <c r="P87" t="s">
        <v>11063</v>
      </c>
      <c r="Q87" t="s">
        <v>25</v>
      </c>
      <c r="R87" t="s">
        <v>11082</v>
      </c>
      <c r="S87" t="s">
        <v>4517</v>
      </c>
      <c r="T87" t="s">
        <v>11079</v>
      </c>
      <c r="U87" t="s">
        <v>4559</v>
      </c>
      <c r="V87" t="s">
        <v>11089</v>
      </c>
    </row>
    <row r="88" spans="1:22">
      <c r="A88" t="s">
        <v>11144</v>
      </c>
      <c r="B88" t="s">
        <v>11067</v>
      </c>
      <c r="C88" t="s">
        <v>11155</v>
      </c>
      <c r="D88" t="s">
        <v>4517</v>
      </c>
      <c r="E88" t="s">
        <v>6335</v>
      </c>
      <c r="F88" t="s">
        <v>7015</v>
      </c>
      <c r="G88" t="s">
        <v>11141</v>
      </c>
      <c r="H88" t="s">
        <v>4377</v>
      </c>
      <c r="I88" t="s">
        <v>11074</v>
      </c>
      <c r="J88" t="s">
        <v>11075</v>
      </c>
      <c r="K88" t="s">
        <v>4517</v>
      </c>
      <c r="L88" t="s">
        <v>11064</v>
      </c>
      <c r="M88" t="s">
        <v>25</v>
      </c>
      <c r="N88" t="s">
        <v>11083</v>
      </c>
      <c r="O88" t="s">
        <v>4517</v>
      </c>
      <c r="P88" t="s">
        <v>11080</v>
      </c>
      <c r="Q88" t="s">
        <v>25</v>
      </c>
      <c r="R88" t="s">
        <v>11084</v>
      </c>
      <c r="S88" t="s">
        <v>4517</v>
      </c>
      <c r="T88" t="s">
        <v>11064</v>
      </c>
      <c r="U88" t="s">
        <v>4559</v>
      </c>
      <c r="V88" t="s">
        <v>11090</v>
      </c>
    </row>
    <row r="89" spans="1:22">
      <c r="A89" t="s">
        <v>11145</v>
      </c>
      <c r="B89" t="s">
        <v>11071</v>
      </c>
      <c r="C89" t="s">
        <v>11155</v>
      </c>
      <c r="D89" t="s">
        <v>4517</v>
      </c>
      <c r="E89" t="s">
        <v>6236</v>
      </c>
      <c r="F89" t="s">
        <v>7015</v>
      </c>
      <c r="G89" t="s">
        <v>11141</v>
      </c>
      <c r="H89" t="s">
        <v>4377</v>
      </c>
      <c r="I89" t="s">
        <v>4794</v>
      </c>
      <c r="J89" t="s">
        <v>11075</v>
      </c>
      <c r="K89" t="s">
        <v>4517</v>
      </c>
      <c r="L89" t="s">
        <v>11070</v>
      </c>
      <c r="M89" t="s">
        <v>25</v>
      </c>
      <c r="N89" t="s">
        <v>11085</v>
      </c>
      <c r="S89" t="s">
        <v>4517</v>
      </c>
      <c r="T89" t="s">
        <v>11070</v>
      </c>
      <c r="U89" t="s">
        <v>4559</v>
      </c>
      <c r="V89" t="s">
        <v>11091</v>
      </c>
    </row>
    <row r="90" spans="1:22">
      <c r="A90" t="s">
        <v>11146</v>
      </c>
      <c r="B90" t="s">
        <v>11068</v>
      </c>
      <c r="C90" t="s">
        <v>11155</v>
      </c>
      <c r="D90" t="s">
        <v>4517</v>
      </c>
      <c r="E90" t="s">
        <v>11072</v>
      </c>
      <c r="F90" t="s">
        <v>7015</v>
      </c>
      <c r="G90" t="s">
        <v>11142</v>
      </c>
      <c r="H90" t="s">
        <v>4377</v>
      </c>
      <c r="I90" t="s">
        <v>11069</v>
      </c>
      <c r="J90" t="s">
        <v>11075</v>
      </c>
      <c r="K90" t="s">
        <v>4517</v>
      </c>
      <c r="L90" t="s">
        <v>11086</v>
      </c>
      <c r="M90" t="s">
        <v>25</v>
      </c>
      <c r="N90" t="s">
        <v>11087</v>
      </c>
      <c r="S90" t="s">
        <v>4517</v>
      </c>
      <c r="T90" t="s">
        <v>11086</v>
      </c>
      <c r="U90" t="s">
        <v>4559</v>
      </c>
      <c r="V90" t="s">
        <v>11092</v>
      </c>
    </row>
    <row r="91" spans="1:22">
      <c r="A91" t="s">
        <v>11147</v>
      </c>
      <c r="B91" t="s">
        <v>11093</v>
      </c>
      <c r="C91" t="s">
        <v>11156</v>
      </c>
      <c r="D91" t="s">
        <v>4517</v>
      </c>
      <c r="E91" t="s">
        <v>4553</v>
      </c>
      <c r="F91" t="s">
        <v>7015</v>
      </c>
      <c r="G91" t="s">
        <v>11139</v>
      </c>
      <c r="H91" t="s">
        <v>4376</v>
      </c>
      <c r="I91" t="s">
        <v>8892</v>
      </c>
      <c r="J91" t="s">
        <v>11107</v>
      </c>
      <c r="K91" t="s">
        <v>4517</v>
      </c>
      <c r="L91" t="s">
        <v>11099</v>
      </c>
      <c r="M91" t="s">
        <v>25</v>
      </c>
      <c r="N91" t="s">
        <v>11110</v>
      </c>
      <c r="O91" t="s">
        <v>4517</v>
      </c>
      <c r="P91" t="s">
        <v>11112</v>
      </c>
      <c r="Q91" t="s">
        <v>25</v>
      </c>
      <c r="R91" t="s">
        <v>11111</v>
      </c>
      <c r="S91" t="s">
        <v>4517</v>
      </c>
      <c r="T91" t="s">
        <v>11099</v>
      </c>
      <c r="U91" t="s">
        <v>4559</v>
      </c>
      <c r="V91" t="s">
        <v>11123</v>
      </c>
    </row>
    <row r="92" spans="1:22">
      <c r="A92" t="s">
        <v>11148</v>
      </c>
      <c r="B92" t="s">
        <v>11094</v>
      </c>
      <c r="C92" t="s">
        <v>11156</v>
      </c>
      <c r="D92" t="s">
        <v>4517</v>
      </c>
      <c r="E92" t="s">
        <v>11073</v>
      </c>
      <c r="F92" t="s">
        <v>7015</v>
      </c>
      <c r="G92" t="s">
        <v>11139</v>
      </c>
      <c r="H92" t="s">
        <v>4376</v>
      </c>
      <c r="I92" t="s">
        <v>8525</v>
      </c>
      <c r="J92" t="s">
        <v>11107</v>
      </c>
      <c r="K92" t="s">
        <v>4517</v>
      </c>
      <c r="L92" t="s">
        <v>11100</v>
      </c>
      <c r="M92" t="s">
        <v>25</v>
      </c>
      <c r="N92" t="s">
        <v>11113</v>
      </c>
      <c r="S92" t="s">
        <v>4517</v>
      </c>
      <c r="T92" t="s">
        <v>11100</v>
      </c>
      <c r="U92" t="s">
        <v>4559</v>
      </c>
      <c r="V92" t="s">
        <v>11122</v>
      </c>
    </row>
    <row r="93" spans="1:22">
      <c r="A93" t="s">
        <v>11150</v>
      </c>
      <c r="B93" t="s">
        <v>11095</v>
      </c>
      <c r="C93" t="s">
        <v>11156</v>
      </c>
      <c r="D93" t="s">
        <v>4517</v>
      </c>
      <c r="E93" t="s">
        <v>11105</v>
      </c>
      <c r="F93" t="s">
        <v>7015</v>
      </c>
      <c r="G93" t="s">
        <v>11139</v>
      </c>
      <c r="H93" t="s">
        <v>4376</v>
      </c>
      <c r="I93" t="s">
        <v>11108</v>
      </c>
      <c r="J93" t="s">
        <v>11107</v>
      </c>
      <c r="K93" t="s">
        <v>4517</v>
      </c>
      <c r="L93" t="s">
        <v>11101</v>
      </c>
      <c r="M93" t="s">
        <v>25</v>
      </c>
      <c r="N93" t="s">
        <v>11114</v>
      </c>
      <c r="S93" t="s">
        <v>4517</v>
      </c>
      <c r="T93" t="s">
        <v>11101</v>
      </c>
      <c r="U93" t="s">
        <v>4559</v>
      </c>
      <c r="V93" t="s">
        <v>11121</v>
      </c>
    </row>
    <row r="94" spans="1:22">
      <c r="A94" t="s">
        <v>11151</v>
      </c>
      <c r="B94" t="s">
        <v>11096</v>
      </c>
      <c r="C94" t="s">
        <v>11157</v>
      </c>
      <c r="D94" t="s">
        <v>4517</v>
      </c>
      <c r="E94" t="s">
        <v>6335</v>
      </c>
      <c r="F94" t="s">
        <v>7015</v>
      </c>
      <c r="G94" t="s">
        <v>11141</v>
      </c>
      <c r="H94" t="s">
        <v>4377</v>
      </c>
      <c r="I94" t="s">
        <v>11074</v>
      </c>
      <c r="J94" t="s">
        <v>11107</v>
      </c>
      <c r="K94" t="s">
        <v>4517</v>
      </c>
      <c r="L94" t="s">
        <v>11102</v>
      </c>
      <c r="M94" t="s">
        <v>25</v>
      </c>
      <c r="N94" t="s">
        <v>11115</v>
      </c>
      <c r="S94" t="s">
        <v>4517</v>
      </c>
      <c r="T94" t="s">
        <v>11102</v>
      </c>
      <c r="U94" t="s">
        <v>4559</v>
      </c>
      <c r="V94" t="s">
        <v>11120</v>
      </c>
    </row>
    <row r="95" spans="1:22">
      <c r="A95" t="s">
        <v>11152</v>
      </c>
      <c r="B95" t="s">
        <v>11097</v>
      </c>
      <c r="C95" t="s">
        <v>11157</v>
      </c>
      <c r="D95" t="s">
        <v>4517</v>
      </c>
      <c r="E95" t="s">
        <v>11106</v>
      </c>
      <c r="F95" t="s">
        <v>7015</v>
      </c>
      <c r="G95" t="s">
        <v>11141</v>
      </c>
      <c r="H95" t="s">
        <v>6243</v>
      </c>
      <c r="I95" t="s">
        <v>11109</v>
      </c>
      <c r="J95" t="s">
        <v>11107</v>
      </c>
      <c r="K95" t="s">
        <v>4517</v>
      </c>
      <c r="L95" t="s">
        <v>11103</v>
      </c>
      <c r="M95" t="s">
        <v>25</v>
      </c>
      <c r="N95" t="s">
        <v>11116</v>
      </c>
      <c r="S95" t="s">
        <v>4517</v>
      </c>
      <c r="T95" t="s">
        <v>11103</v>
      </c>
      <c r="U95" t="s">
        <v>4559</v>
      </c>
      <c r="V95" t="s">
        <v>11119</v>
      </c>
    </row>
    <row r="96" spans="1:22">
      <c r="A96" t="s">
        <v>11153</v>
      </c>
      <c r="B96" t="s">
        <v>11098</v>
      </c>
      <c r="C96" t="s">
        <v>11158</v>
      </c>
      <c r="D96" t="s">
        <v>4517</v>
      </c>
      <c r="E96" t="s">
        <v>11072</v>
      </c>
      <c r="F96" t="s">
        <v>7015</v>
      </c>
      <c r="G96" t="s">
        <v>11143</v>
      </c>
      <c r="H96" t="s">
        <v>4377</v>
      </c>
      <c r="I96" t="s">
        <v>11069</v>
      </c>
      <c r="J96" t="s">
        <v>11107</v>
      </c>
      <c r="K96" t="s">
        <v>4517</v>
      </c>
      <c r="L96" t="s">
        <v>11104</v>
      </c>
      <c r="M96" t="s">
        <v>25</v>
      </c>
      <c r="N96" t="s">
        <v>11117</v>
      </c>
      <c r="S96" t="s">
        <v>4517</v>
      </c>
      <c r="T96" t="s">
        <v>11104</v>
      </c>
      <c r="U96" t="s">
        <v>4559</v>
      </c>
      <c r="V96" t="s">
        <v>11118</v>
      </c>
    </row>
    <row r="97" spans="1:22">
      <c r="A97" t="s">
        <v>11167</v>
      </c>
      <c r="B97" t="s">
        <v>11167</v>
      </c>
      <c r="C97" t="s">
        <v>11241</v>
      </c>
      <c r="D97" t="s">
        <v>4517</v>
      </c>
      <c r="E97" t="s">
        <v>11173</v>
      </c>
      <c r="F97" t="s">
        <v>2655</v>
      </c>
      <c r="G97" t="s">
        <v>11168</v>
      </c>
      <c r="H97" t="s">
        <v>4377</v>
      </c>
      <c r="I97" t="s">
        <v>10882</v>
      </c>
      <c r="J97" t="s">
        <v>11174</v>
      </c>
      <c r="K97" t="s">
        <v>4517</v>
      </c>
      <c r="L97" t="s">
        <v>11175</v>
      </c>
      <c r="M97" t="s">
        <v>25</v>
      </c>
      <c r="N97" t="s">
        <v>11172</v>
      </c>
      <c r="S97" t="s">
        <v>4517</v>
      </c>
      <c r="T97" t="s">
        <v>11175</v>
      </c>
      <c r="U97" t="s">
        <v>4559</v>
      </c>
      <c r="V97" t="s">
        <v>11182</v>
      </c>
    </row>
    <row r="98" spans="1:22">
      <c r="A98" t="s">
        <v>11169</v>
      </c>
      <c r="B98" t="s">
        <v>11169</v>
      </c>
      <c r="C98" t="s">
        <v>11242</v>
      </c>
      <c r="D98" t="s">
        <v>4517</v>
      </c>
      <c r="E98" t="s">
        <v>11173</v>
      </c>
      <c r="F98" t="s">
        <v>2655</v>
      </c>
      <c r="G98" t="s">
        <v>11168</v>
      </c>
      <c r="H98" t="s">
        <v>4377</v>
      </c>
      <c r="I98" t="s">
        <v>10882</v>
      </c>
      <c r="J98" t="s">
        <v>11174</v>
      </c>
      <c r="K98" t="s">
        <v>4517</v>
      </c>
      <c r="L98" t="s">
        <v>11177</v>
      </c>
      <c r="M98" t="s">
        <v>25</v>
      </c>
      <c r="N98" t="s">
        <v>11176</v>
      </c>
      <c r="S98" t="s">
        <v>4517</v>
      </c>
      <c r="T98" t="s">
        <v>11177</v>
      </c>
      <c r="U98" t="s">
        <v>4559</v>
      </c>
      <c r="V98" t="s">
        <v>11183</v>
      </c>
    </row>
    <row r="99" spans="1:22">
      <c r="A99" t="s">
        <v>11170</v>
      </c>
      <c r="B99" t="s">
        <v>11170</v>
      </c>
      <c r="C99" t="s">
        <v>11243</v>
      </c>
      <c r="D99" t="s">
        <v>4517</v>
      </c>
      <c r="E99" t="s">
        <v>11173</v>
      </c>
      <c r="F99" t="s">
        <v>2655</v>
      </c>
      <c r="G99" t="s">
        <v>11168</v>
      </c>
      <c r="H99" t="s">
        <v>4377</v>
      </c>
      <c r="I99" t="s">
        <v>10882</v>
      </c>
      <c r="J99" t="s">
        <v>11174</v>
      </c>
      <c r="K99" t="s">
        <v>4517</v>
      </c>
      <c r="L99" t="s">
        <v>11181</v>
      </c>
      <c r="M99" t="s">
        <v>25</v>
      </c>
      <c r="N99" t="s">
        <v>11180</v>
      </c>
      <c r="S99" t="s">
        <v>4517</v>
      </c>
      <c r="T99" t="s">
        <v>11181</v>
      </c>
      <c r="U99" t="s">
        <v>4559</v>
      </c>
      <c r="V99" t="s">
        <v>11184</v>
      </c>
    </row>
    <row r="100" spans="1:22">
      <c r="A100" t="s">
        <v>11171</v>
      </c>
      <c r="B100" t="s">
        <v>11171</v>
      </c>
      <c r="C100" t="s">
        <v>11244</v>
      </c>
      <c r="D100" t="s">
        <v>4517</v>
      </c>
      <c r="E100" t="s">
        <v>11173</v>
      </c>
      <c r="F100" t="s">
        <v>2655</v>
      </c>
      <c r="G100" t="s">
        <v>11168</v>
      </c>
      <c r="H100" t="s">
        <v>4377</v>
      </c>
      <c r="I100" t="s">
        <v>10882</v>
      </c>
      <c r="J100" t="s">
        <v>11174</v>
      </c>
      <c r="K100" t="s">
        <v>4517</v>
      </c>
      <c r="L100" t="s">
        <v>11179</v>
      </c>
      <c r="M100" t="s">
        <v>25</v>
      </c>
      <c r="N100" t="s">
        <v>11178</v>
      </c>
      <c r="S100" t="s">
        <v>4517</v>
      </c>
      <c r="T100" t="s">
        <v>11179</v>
      </c>
      <c r="U100" t="s">
        <v>4559</v>
      </c>
      <c r="V100" t="s">
        <v>11185</v>
      </c>
    </row>
    <row r="101" spans="1:22">
      <c r="A101" t="s">
        <v>11236</v>
      </c>
      <c r="B101" t="s">
        <v>11236</v>
      </c>
      <c r="C101" t="s">
        <v>11240</v>
      </c>
      <c r="D101" t="s">
        <v>4517</v>
      </c>
      <c r="E101" t="s">
        <v>4372</v>
      </c>
      <c r="F101" t="s">
        <v>2655</v>
      </c>
      <c r="G101" t="s">
        <v>11237</v>
      </c>
      <c r="H101" t="s">
        <v>4376</v>
      </c>
      <c r="I101" t="s">
        <v>4789</v>
      </c>
      <c r="J101" t="s">
        <v>11233</v>
      </c>
      <c r="K101" t="s">
        <v>4517</v>
      </c>
      <c r="L101" t="s">
        <v>11234</v>
      </c>
      <c r="M101" t="s">
        <v>25</v>
      </c>
      <c r="N101" t="s">
        <v>11238</v>
      </c>
      <c r="S101" t="s">
        <v>4517</v>
      </c>
      <c r="T101" t="s">
        <v>11234</v>
      </c>
      <c r="U101" t="s">
        <v>4559</v>
      </c>
      <c r="V101" t="s">
        <v>11245</v>
      </c>
    </row>
    <row r="102" spans="1:22">
      <c r="A102" t="s">
        <v>11237</v>
      </c>
      <c r="B102" t="s">
        <v>11237</v>
      </c>
      <c r="C102" t="s">
        <v>11240</v>
      </c>
      <c r="D102" t="s">
        <v>4517</v>
      </c>
      <c r="E102" t="s">
        <v>4372</v>
      </c>
      <c r="F102" t="s">
        <v>2655</v>
      </c>
      <c r="G102" t="s">
        <v>11237</v>
      </c>
      <c r="H102" t="s">
        <v>4376</v>
      </c>
      <c r="I102" t="s">
        <v>4789</v>
      </c>
      <c r="J102" t="s">
        <v>11233</v>
      </c>
      <c r="K102" t="s">
        <v>4517</v>
      </c>
      <c r="L102" t="s">
        <v>11235</v>
      </c>
      <c r="M102" t="s">
        <v>25</v>
      </c>
      <c r="N102" t="s">
        <v>11239</v>
      </c>
      <c r="S102" t="s">
        <v>4517</v>
      </c>
      <c r="T102" t="s">
        <v>11235</v>
      </c>
      <c r="U102" t="s">
        <v>4559</v>
      </c>
      <c r="V102" t="s">
        <v>11246</v>
      </c>
    </row>
    <row r="103" spans="1:22">
      <c r="A103" t="s">
        <v>12033</v>
      </c>
      <c r="B103" t="s">
        <v>12033</v>
      </c>
      <c r="C103" t="s">
        <v>12084</v>
      </c>
      <c r="D103" t="s">
        <v>12088</v>
      </c>
      <c r="E103" t="s">
        <v>12090</v>
      </c>
      <c r="F103" t="s">
        <v>2655</v>
      </c>
      <c r="G103" t="s">
        <v>12045</v>
      </c>
      <c r="H103" t="s">
        <v>4377</v>
      </c>
      <c r="I103" t="s">
        <v>6547</v>
      </c>
      <c r="J103" t="s">
        <v>12049</v>
      </c>
      <c r="K103" t="s">
        <v>6267</v>
      </c>
      <c r="L103" t="s">
        <v>12053</v>
      </c>
      <c r="M103" t="s">
        <v>25</v>
      </c>
      <c r="N103" t="s">
        <v>12054</v>
      </c>
    </row>
    <row r="104" spans="1:22">
      <c r="A104" t="s">
        <v>12034</v>
      </c>
      <c r="B104" t="s">
        <v>12034</v>
      </c>
      <c r="C104" t="s">
        <v>12084</v>
      </c>
      <c r="D104" t="s">
        <v>12088</v>
      </c>
      <c r="E104" t="s">
        <v>12091</v>
      </c>
      <c r="F104" t="s">
        <v>2655</v>
      </c>
      <c r="G104" t="s">
        <v>12045</v>
      </c>
      <c r="H104" t="s">
        <v>4377</v>
      </c>
      <c r="I104" t="s">
        <v>12052</v>
      </c>
      <c r="J104" t="s">
        <v>12049</v>
      </c>
      <c r="K104" t="s">
        <v>6267</v>
      </c>
      <c r="L104" t="s">
        <v>12059</v>
      </c>
      <c r="M104" t="s">
        <v>25</v>
      </c>
      <c r="N104" t="s">
        <v>12060</v>
      </c>
      <c r="O104" t="s">
        <v>4517</v>
      </c>
      <c r="P104" t="s">
        <v>12061</v>
      </c>
      <c r="Q104" t="s">
        <v>25</v>
      </c>
      <c r="R104" t="s">
        <v>12062</v>
      </c>
      <c r="S104" t="s">
        <v>13500</v>
      </c>
      <c r="T104" t="s">
        <v>12059</v>
      </c>
      <c r="U104" t="s">
        <v>4559</v>
      </c>
      <c r="V104" t="s">
        <v>13507</v>
      </c>
    </row>
    <row r="105" spans="1:22">
      <c r="A105" t="s">
        <v>12035</v>
      </c>
      <c r="B105" t="s">
        <v>12035</v>
      </c>
      <c r="C105" t="s">
        <v>12084</v>
      </c>
      <c r="D105" t="s">
        <v>12088</v>
      </c>
      <c r="E105" t="s">
        <v>12092</v>
      </c>
      <c r="F105" t="s">
        <v>2655</v>
      </c>
      <c r="G105" t="s">
        <v>12045</v>
      </c>
      <c r="H105" t="s">
        <v>4377</v>
      </c>
      <c r="I105" t="s">
        <v>12051</v>
      </c>
      <c r="J105" t="s">
        <v>12049</v>
      </c>
      <c r="K105" t="s">
        <v>6267</v>
      </c>
      <c r="L105" t="s">
        <v>12065</v>
      </c>
      <c r="M105" t="s">
        <v>25</v>
      </c>
      <c r="N105" t="s">
        <v>12066</v>
      </c>
      <c r="O105" t="s">
        <v>4517</v>
      </c>
      <c r="P105" t="s">
        <v>12067</v>
      </c>
      <c r="Q105" t="s">
        <v>25</v>
      </c>
      <c r="R105" t="s">
        <v>12068</v>
      </c>
      <c r="S105" t="s">
        <v>13500</v>
      </c>
      <c r="T105" t="s">
        <v>12065</v>
      </c>
      <c r="U105" t="s">
        <v>4559</v>
      </c>
      <c r="V105" t="s">
        <v>13508</v>
      </c>
    </row>
    <row r="106" spans="1:22">
      <c r="A106" t="s">
        <v>12036</v>
      </c>
      <c r="B106" t="s">
        <v>12036</v>
      </c>
      <c r="C106" t="s">
        <v>12084</v>
      </c>
      <c r="D106" t="s">
        <v>12088</v>
      </c>
      <c r="E106" t="s">
        <v>12093</v>
      </c>
      <c r="F106" t="s">
        <v>2655</v>
      </c>
      <c r="G106" t="s">
        <v>12046</v>
      </c>
      <c r="H106" t="s">
        <v>4377</v>
      </c>
      <c r="I106" t="s">
        <v>10886</v>
      </c>
      <c r="J106" t="s">
        <v>12049</v>
      </c>
    </row>
    <row r="107" spans="1:22">
      <c r="A107" t="s">
        <v>12038</v>
      </c>
      <c r="B107" t="s">
        <v>12038</v>
      </c>
      <c r="C107" t="s">
        <v>12084</v>
      </c>
      <c r="D107" t="s">
        <v>12088</v>
      </c>
      <c r="E107" t="s">
        <v>12095</v>
      </c>
      <c r="F107" t="s">
        <v>2655</v>
      </c>
      <c r="G107" t="s">
        <v>12047</v>
      </c>
      <c r="H107" t="s">
        <v>6243</v>
      </c>
      <c r="I107" t="s">
        <v>12048</v>
      </c>
      <c r="J107" t="s">
        <v>12049</v>
      </c>
      <c r="K107" t="s">
        <v>6267</v>
      </c>
      <c r="L107" t="s">
        <v>12096</v>
      </c>
      <c r="M107" t="s">
        <v>25</v>
      </c>
      <c r="N107" t="s">
        <v>12097</v>
      </c>
      <c r="S107" t="s">
        <v>13500</v>
      </c>
      <c r="T107" t="s">
        <v>12096</v>
      </c>
      <c r="U107" t="s">
        <v>4559</v>
      </c>
      <c r="V107" t="s">
        <v>13509</v>
      </c>
    </row>
    <row r="108" spans="1:22">
      <c r="A108" t="s">
        <v>12037</v>
      </c>
      <c r="B108" t="s">
        <v>12037</v>
      </c>
      <c r="C108" t="s">
        <v>12084</v>
      </c>
      <c r="D108" t="s">
        <v>12088</v>
      </c>
      <c r="E108" t="s">
        <v>12094</v>
      </c>
      <c r="F108" t="s">
        <v>2655</v>
      </c>
      <c r="G108" t="s">
        <v>12047</v>
      </c>
      <c r="H108" t="s">
        <v>6243</v>
      </c>
      <c r="I108" t="s">
        <v>12050</v>
      </c>
      <c r="J108" t="s">
        <v>12049</v>
      </c>
    </row>
    <row r="109" spans="1:22">
      <c r="A109" t="s">
        <v>12039</v>
      </c>
      <c r="B109" t="s">
        <v>12039</v>
      </c>
      <c r="C109" t="s">
        <v>12085</v>
      </c>
      <c r="D109" t="s">
        <v>12088</v>
      </c>
      <c r="E109" t="s">
        <v>12090</v>
      </c>
      <c r="F109" t="s">
        <v>2655</v>
      </c>
      <c r="G109" t="s">
        <v>12045</v>
      </c>
      <c r="H109" t="s">
        <v>4377</v>
      </c>
      <c r="I109" t="s">
        <v>6547</v>
      </c>
      <c r="J109" t="s">
        <v>12049</v>
      </c>
      <c r="K109" t="s">
        <v>6267</v>
      </c>
      <c r="L109" t="s">
        <v>12055</v>
      </c>
      <c r="M109" t="s">
        <v>25</v>
      </c>
      <c r="N109" t="s">
        <v>12056</v>
      </c>
      <c r="O109" t="s">
        <v>4517</v>
      </c>
      <c r="P109" t="s">
        <v>12057</v>
      </c>
      <c r="Q109" t="s">
        <v>25</v>
      </c>
      <c r="R109" t="s">
        <v>12058</v>
      </c>
      <c r="S109" t="s">
        <v>13500</v>
      </c>
      <c r="T109" t="s">
        <v>12055</v>
      </c>
      <c r="U109" t="s">
        <v>4559</v>
      </c>
      <c r="V109" t="s">
        <v>13502</v>
      </c>
    </row>
    <row r="110" spans="1:22">
      <c r="A110" t="s">
        <v>12040</v>
      </c>
      <c r="B110" t="s">
        <v>12040</v>
      </c>
      <c r="C110" t="s">
        <v>12085</v>
      </c>
      <c r="D110" t="s">
        <v>12088</v>
      </c>
      <c r="E110" t="s">
        <v>12091</v>
      </c>
      <c r="F110" t="s">
        <v>2655</v>
      </c>
      <c r="G110" t="s">
        <v>12045</v>
      </c>
      <c r="H110" t="s">
        <v>4377</v>
      </c>
      <c r="I110" t="s">
        <v>12052</v>
      </c>
      <c r="J110" t="s">
        <v>12049</v>
      </c>
      <c r="K110" t="s">
        <v>6267</v>
      </c>
      <c r="L110" t="s">
        <v>12063</v>
      </c>
      <c r="M110" t="s">
        <v>25</v>
      </c>
      <c r="N110" t="s">
        <v>12064</v>
      </c>
      <c r="S110" t="s">
        <v>13500</v>
      </c>
      <c r="T110" t="s">
        <v>12063</v>
      </c>
      <c r="U110" t="s">
        <v>4559</v>
      </c>
      <c r="V110" t="s">
        <v>13503</v>
      </c>
    </row>
    <row r="111" spans="1:22">
      <c r="A111" t="s">
        <v>12041</v>
      </c>
      <c r="B111" t="s">
        <v>12041</v>
      </c>
      <c r="C111" t="s">
        <v>12085</v>
      </c>
      <c r="D111" t="s">
        <v>12088</v>
      </c>
      <c r="E111" t="s">
        <v>12092</v>
      </c>
      <c r="F111" t="s">
        <v>2655</v>
      </c>
      <c r="G111" t="s">
        <v>12045</v>
      </c>
      <c r="H111" t="s">
        <v>4377</v>
      </c>
      <c r="I111" t="s">
        <v>12051</v>
      </c>
      <c r="J111" t="s">
        <v>12049</v>
      </c>
      <c r="K111" t="s">
        <v>6267</v>
      </c>
      <c r="L111" t="s">
        <v>12069</v>
      </c>
      <c r="M111" t="s">
        <v>25</v>
      </c>
      <c r="N111" t="s">
        <v>12070</v>
      </c>
      <c r="S111" t="s">
        <v>13500</v>
      </c>
      <c r="T111" t="s">
        <v>12069</v>
      </c>
      <c r="U111" t="s">
        <v>4559</v>
      </c>
      <c r="V111" t="s">
        <v>13501</v>
      </c>
    </row>
    <row r="112" spans="1:22">
      <c r="A112" t="s">
        <v>12042</v>
      </c>
      <c r="B112" t="s">
        <v>12042</v>
      </c>
      <c r="C112" t="s">
        <v>12085</v>
      </c>
      <c r="D112" t="s">
        <v>12088</v>
      </c>
      <c r="E112" t="s">
        <v>12093</v>
      </c>
      <c r="F112" t="s">
        <v>2655</v>
      </c>
      <c r="G112" t="s">
        <v>12046</v>
      </c>
      <c r="H112" t="s">
        <v>4377</v>
      </c>
      <c r="I112" t="s">
        <v>10886</v>
      </c>
      <c r="J112" t="s">
        <v>12049</v>
      </c>
    </row>
    <row r="113" spans="1:22">
      <c r="A113" t="s">
        <v>12043</v>
      </c>
      <c r="B113" t="s">
        <v>12043</v>
      </c>
      <c r="C113" t="s">
        <v>12085</v>
      </c>
      <c r="D113" t="s">
        <v>12088</v>
      </c>
      <c r="E113" t="s">
        <v>12095</v>
      </c>
      <c r="F113" t="s">
        <v>2655</v>
      </c>
      <c r="G113" t="s">
        <v>12047</v>
      </c>
      <c r="H113" t="s">
        <v>6243</v>
      </c>
      <c r="I113" t="s">
        <v>12048</v>
      </c>
      <c r="J113" t="s">
        <v>12049</v>
      </c>
      <c r="K113" t="s">
        <v>6267</v>
      </c>
      <c r="L113" t="s">
        <v>12098</v>
      </c>
      <c r="M113" t="s">
        <v>25</v>
      </c>
      <c r="N113" t="s">
        <v>12099</v>
      </c>
      <c r="O113" t="s">
        <v>4517</v>
      </c>
      <c r="P113" t="s">
        <v>12100</v>
      </c>
      <c r="Q113" t="s">
        <v>25</v>
      </c>
      <c r="R113" t="s">
        <v>12101</v>
      </c>
      <c r="S113" t="s">
        <v>13500</v>
      </c>
      <c r="T113" t="s">
        <v>12098</v>
      </c>
      <c r="U113" t="s">
        <v>4559</v>
      </c>
      <c r="V113" t="s">
        <v>13504</v>
      </c>
    </row>
    <row r="114" spans="1:22">
      <c r="A114" t="s">
        <v>12044</v>
      </c>
      <c r="B114" t="s">
        <v>12044</v>
      </c>
      <c r="C114" t="s">
        <v>12085</v>
      </c>
      <c r="D114" t="s">
        <v>12088</v>
      </c>
      <c r="E114" t="s">
        <v>12094</v>
      </c>
      <c r="F114" t="s">
        <v>2655</v>
      </c>
      <c r="G114" t="s">
        <v>12047</v>
      </c>
      <c r="H114" t="s">
        <v>6243</v>
      </c>
      <c r="I114" t="s">
        <v>12050</v>
      </c>
      <c r="J114" t="s">
        <v>12049</v>
      </c>
      <c r="K114" t="s">
        <v>6267</v>
      </c>
      <c r="L114" t="s">
        <v>12102</v>
      </c>
      <c r="M114" t="s">
        <v>25</v>
      </c>
      <c r="N114" t="s">
        <v>12103</v>
      </c>
      <c r="O114" t="s">
        <v>4517</v>
      </c>
      <c r="P114" t="s">
        <v>12104</v>
      </c>
      <c r="Q114" t="s">
        <v>25</v>
      </c>
      <c r="R114" t="s">
        <v>12105</v>
      </c>
      <c r="S114" t="s">
        <v>13500</v>
      </c>
      <c r="T114" t="s">
        <v>12102</v>
      </c>
      <c r="U114" t="s">
        <v>4559</v>
      </c>
      <c r="V114" t="s">
        <v>13505</v>
      </c>
    </row>
    <row r="115" spans="1:22">
      <c r="A115" t="s">
        <v>12071</v>
      </c>
      <c r="B115" t="s">
        <v>12073</v>
      </c>
      <c r="C115" t="s">
        <v>12086</v>
      </c>
      <c r="D115" t="s">
        <v>12089</v>
      </c>
      <c r="E115" t="s">
        <v>12092</v>
      </c>
      <c r="F115" t="s">
        <v>2655</v>
      </c>
      <c r="G115" t="s">
        <v>12045</v>
      </c>
      <c r="H115" t="s">
        <v>4377</v>
      </c>
      <c r="I115" t="s">
        <v>12051</v>
      </c>
      <c r="J115" t="s">
        <v>12075</v>
      </c>
      <c r="K115" t="s">
        <v>6267</v>
      </c>
      <c r="L115" t="s">
        <v>12080</v>
      </c>
      <c r="M115" t="s">
        <v>25</v>
      </c>
      <c r="N115" t="s">
        <v>12081</v>
      </c>
    </row>
    <row r="116" spans="1:22">
      <c r="A116" t="s">
        <v>12076</v>
      </c>
      <c r="B116" t="s">
        <v>12078</v>
      </c>
      <c r="C116" t="s">
        <v>12086</v>
      </c>
      <c r="D116" t="s">
        <v>12089</v>
      </c>
      <c r="E116" t="s">
        <v>12094</v>
      </c>
      <c r="F116" t="s">
        <v>2655</v>
      </c>
      <c r="G116" t="s">
        <v>12047</v>
      </c>
      <c r="H116" t="s">
        <v>6243</v>
      </c>
      <c r="I116" t="s">
        <v>12050</v>
      </c>
      <c r="J116" t="s">
        <v>12075</v>
      </c>
      <c r="K116" t="s">
        <v>6267</v>
      </c>
      <c r="L116" t="s">
        <v>12106</v>
      </c>
      <c r="M116" t="s">
        <v>25</v>
      </c>
      <c r="N116" t="s">
        <v>12107</v>
      </c>
    </row>
    <row r="117" spans="1:22">
      <c r="A117" t="s">
        <v>12072</v>
      </c>
      <c r="B117" t="s">
        <v>12074</v>
      </c>
      <c r="C117" t="s">
        <v>12087</v>
      </c>
      <c r="D117" t="s">
        <v>12089</v>
      </c>
      <c r="E117" t="s">
        <v>12092</v>
      </c>
      <c r="F117" t="s">
        <v>2655</v>
      </c>
      <c r="G117" t="s">
        <v>12045</v>
      </c>
      <c r="H117" t="s">
        <v>4377</v>
      </c>
      <c r="I117" t="s">
        <v>12051</v>
      </c>
      <c r="J117" t="s">
        <v>12075</v>
      </c>
      <c r="K117" t="s">
        <v>6267</v>
      </c>
      <c r="L117" t="s">
        <v>12082</v>
      </c>
      <c r="M117" t="s">
        <v>25</v>
      </c>
      <c r="N117" t="s">
        <v>12083</v>
      </c>
      <c r="S117" t="s">
        <v>13500</v>
      </c>
      <c r="T117" t="s">
        <v>12082</v>
      </c>
      <c r="U117" t="s">
        <v>4559</v>
      </c>
      <c r="V117" t="s">
        <v>13506</v>
      </c>
    </row>
    <row r="118" spans="1:22">
      <c r="A118" t="s">
        <v>12077</v>
      </c>
      <c r="B118" t="s">
        <v>12079</v>
      </c>
      <c r="C118" t="s">
        <v>12087</v>
      </c>
      <c r="D118" t="s">
        <v>12089</v>
      </c>
      <c r="E118" t="s">
        <v>12094</v>
      </c>
      <c r="F118" t="s">
        <v>7015</v>
      </c>
      <c r="G118" t="s">
        <v>12047</v>
      </c>
      <c r="H118" t="s">
        <v>6243</v>
      </c>
      <c r="I118" t="s">
        <v>12050</v>
      </c>
      <c r="J118" t="s">
        <v>12075</v>
      </c>
      <c r="K118" t="s">
        <v>6267</v>
      </c>
      <c r="L118" t="s">
        <v>12108</v>
      </c>
      <c r="M118" t="s">
        <v>25</v>
      </c>
      <c r="N118" t="s">
        <v>12109</v>
      </c>
    </row>
    <row r="119" spans="1:22">
      <c r="A119" t="s">
        <v>12482</v>
      </c>
      <c r="B119" t="s">
        <v>12482</v>
      </c>
      <c r="C119" t="s">
        <v>12489</v>
      </c>
      <c r="D119" t="s">
        <v>4517</v>
      </c>
      <c r="E119" t="s">
        <v>11016</v>
      </c>
      <c r="F119" t="s">
        <v>7015</v>
      </c>
      <c r="G119" t="s">
        <v>12492</v>
      </c>
      <c r="H119" t="s">
        <v>4377</v>
      </c>
      <c r="I119" t="s">
        <v>4794</v>
      </c>
      <c r="J119" t="s">
        <v>12495</v>
      </c>
      <c r="K119" t="s">
        <v>4517</v>
      </c>
      <c r="L119" t="s">
        <v>12496</v>
      </c>
      <c r="M119" t="s">
        <v>25</v>
      </c>
      <c r="N119" t="s">
        <v>12497</v>
      </c>
      <c r="O119" t="s">
        <v>4517</v>
      </c>
      <c r="P119" t="s">
        <v>12498</v>
      </c>
      <c r="Q119" t="s">
        <v>25</v>
      </c>
      <c r="R119" t="s">
        <v>12499</v>
      </c>
      <c r="S119" t="s">
        <v>4517</v>
      </c>
      <c r="T119" t="s">
        <v>12496</v>
      </c>
      <c r="U119" t="s">
        <v>4559</v>
      </c>
      <c r="V119" t="s">
        <v>12500</v>
      </c>
    </row>
    <row r="120" spans="1:22">
      <c r="A120" t="s">
        <v>12483</v>
      </c>
      <c r="B120" t="s">
        <v>12483</v>
      </c>
      <c r="C120" t="s">
        <v>12489</v>
      </c>
      <c r="D120" t="s">
        <v>4517</v>
      </c>
      <c r="E120" t="s">
        <v>4553</v>
      </c>
      <c r="F120" t="s">
        <v>7015</v>
      </c>
      <c r="G120" t="s">
        <v>11138</v>
      </c>
      <c r="H120" t="s">
        <v>4376</v>
      </c>
      <c r="I120" t="s">
        <v>8892</v>
      </c>
      <c r="J120" t="s">
        <v>12495</v>
      </c>
      <c r="K120" t="s">
        <v>4517</v>
      </c>
      <c r="L120" t="s">
        <v>12501</v>
      </c>
      <c r="M120" t="s">
        <v>25</v>
      </c>
      <c r="N120" t="s">
        <v>12502</v>
      </c>
      <c r="O120" t="s">
        <v>4517</v>
      </c>
      <c r="P120" t="s">
        <v>12503</v>
      </c>
      <c r="Q120" t="s">
        <v>25</v>
      </c>
      <c r="R120" t="s">
        <v>12504</v>
      </c>
      <c r="S120" t="s">
        <v>4517</v>
      </c>
      <c r="T120" t="s">
        <v>12501</v>
      </c>
      <c r="U120" t="s">
        <v>4559</v>
      </c>
      <c r="V120" t="s">
        <v>12505</v>
      </c>
    </row>
    <row r="121" spans="1:22">
      <c r="A121" t="s">
        <v>12486</v>
      </c>
      <c r="B121" t="s">
        <v>12486</v>
      </c>
      <c r="C121" t="s">
        <v>12489</v>
      </c>
      <c r="D121" t="s">
        <v>4517</v>
      </c>
      <c r="E121" t="s">
        <v>6335</v>
      </c>
      <c r="F121" t="s">
        <v>7015</v>
      </c>
      <c r="G121" t="s">
        <v>12492</v>
      </c>
      <c r="H121" t="s">
        <v>4377</v>
      </c>
      <c r="I121" t="s">
        <v>11074</v>
      </c>
      <c r="J121" t="s">
        <v>12495</v>
      </c>
      <c r="K121" t="s">
        <v>4517</v>
      </c>
      <c r="L121" t="s">
        <v>12506</v>
      </c>
      <c r="M121" t="s">
        <v>25</v>
      </c>
      <c r="N121" t="s">
        <v>12507</v>
      </c>
      <c r="O121" t="s">
        <v>4517</v>
      </c>
      <c r="P121" t="s">
        <v>12508</v>
      </c>
      <c r="Q121" t="s">
        <v>25</v>
      </c>
      <c r="R121" t="s">
        <v>12509</v>
      </c>
      <c r="S121" t="s">
        <v>4517</v>
      </c>
      <c r="T121" t="s">
        <v>12506</v>
      </c>
      <c r="U121" t="s">
        <v>4559</v>
      </c>
      <c r="V121" t="s">
        <v>12510</v>
      </c>
    </row>
    <row r="122" spans="1:22">
      <c r="A122" t="s">
        <v>12484</v>
      </c>
      <c r="B122" t="s">
        <v>12484</v>
      </c>
      <c r="C122" t="s">
        <v>12490</v>
      </c>
      <c r="D122" t="s">
        <v>4517</v>
      </c>
      <c r="E122" t="s">
        <v>11016</v>
      </c>
      <c r="F122" t="s">
        <v>7015</v>
      </c>
      <c r="G122" t="s">
        <v>11141</v>
      </c>
      <c r="H122" t="s">
        <v>4377</v>
      </c>
      <c r="I122" t="s">
        <v>4794</v>
      </c>
      <c r="J122" t="s">
        <v>12495</v>
      </c>
      <c r="K122" t="s">
        <v>4517</v>
      </c>
      <c r="L122" t="s">
        <v>12511</v>
      </c>
      <c r="M122" t="s">
        <v>25</v>
      </c>
      <c r="N122" t="s">
        <v>12512</v>
      </c>
      <c r="O122" t="s">
        <v>4517</v>
      </c>
      <c r="P122" t="s">
        <v>12513</v>
      </c>
      <c r="Q122" t="s">
        <v>25</v>
      </c>
      <c r="R122" t="s">
        <v>12514</v>
      </c>
      <c r="S122" t="s">
        <v>4517</v>
      </c>
      <c r="T122" t="s">
        <v>12511</v>
      </c>
      <c r="U122" t="s">
        <v>4559</v>
      </c>
      <c r="V122" t="s">
        <v>12515</v>
      </c>
    </row>
    <row r="123" spans="1:22">
      <c r="A123" t="s">
        <v>12487</v>
      </c>
      <c r="B123" t="s">
        <v>12487</v>
      </c>
      <c r="C123" t="s">
        <v>12490</v>
      </c>
      <c r="D123" t="s">
        <v>4517</v>
      </c>
      <c r="E123" t="s">
        <v>6335</v>
      </c>
      <c r="F123" t="s">
        <v>7015</v>
      </c>
      <c r="G123" t="s">
        <v>11141</v>
      </c>
      <c r="H123" t="s">
        <v>4377</v>
      </c>
      <c r="I123" t="s">
        <v>11074</v>
      </c>
      <c r="J123" t="s">
        <v>12495</v>
      </c>
      <c r="K123" t="s">
        <v>4517</v>
      </c>
      <c r="L123" t="s">
        <v>12516</v>
      </c>
      <c r="M123" t="s">
        <v>25</v>
      </c>
      <c r="N123" t="s">
        <v>12517</v>
      </c>
      <c r="O123" t="s">
        <v>4517</v>
      </c>
      <c r="P123" t="s">
        <v>12518</v>
      </c>
      <c r="Q123" t="s">
        <v>25</v>
      </c>
      <c r="R123" t="s">
        <v>12519</v>
      </c>
      <c r="S123" t="s">
        <v>4517</v>
      </c>
      <c r="T123" t="s">
        <v>12516</v>
      </c>
      <c r="U123" t="s">
        <v>4559</v>
      </c>
      <c r="V123" t="s">
        <v>12520</v>
      </c>
    </row>
    <row r="124" spans="1:22">
      <c r="A124" t="s">
        <v>12485</v>
      </c>
      <c r="B124" t="s">
        <v>12485</v>
      </c>
      <c r="C124" t="s">
        <v>12491</v>
      </c>
      <c r="D124" t="s">
        <v>4517</v>
      </c>
      <c r="E124" t="s">
        <v>12493</v>
      </c>
      <c r="F124" t="s">
        <v>7015</v>
      </c>
      <c r="G124" t="s">
        <v>11142</v>
      </c>
      <c r="H124" t="s">
        <v>4377</v>
      </c>
      <c r="I124" t="s">
        <v>12494</v>
      </c>
      <c r="J124" t="s">
        <v>12495</v>
      </c>
      <c r="K124" t="s">
        <v>4517</v>
      </c>
      <c r="L124" t="s">
        <v>12521</v>
      </c>
      <c r="M124" t="s">
        <v>25</v>
      </c>
      <c r="N124" t="s">
        <v>12522</v>
      </c>
      <c r="O124" t="s">
        <v>4517</v>
      </c>
      <c r="P124" t="s">
        <v>12523</v>
      </c>
      <c r="Q124" t="s">
        <v>25</v>
      </c>
      <c r="R124" t="s">
        <v>12524</v>
      </c>
      <c r="S124" t="s">
        <v>4517</v>
      </c>
      <c r="T124" t="s">
        <v>12521</v>
      </c>
      <c r="U124" t="s">
        <v>4559</v>
      </c>
      <c r="V124" t="s">
        <v>12525</v>
      </c>
    </row>
    <row r="125" spans="1:22">
      <c r="A125" t="s">
        <v>12488</v>
      </c>
      <c r="B125" t="s">
        <v>12488</v>
      </c>
      <c r="C125" t="s">
        <v>12491</v>
      </c>
      <c r="D125" t="s">
        <v>4517</v>
      </c>
      <c r="E125" t="s">
        <v>11072</v>
      </c>
      <c r="F125" t="s">
        <v>7015</v>
      </c>
      <c r="G125" t="s">
        <v>11142</v>
      </c>
      <c r="H125" t="s">
        <v>4377</v>
      </c>
      <c r="I125" t="s">
        <v>11069</v>
      </c>
      <c r="J125" t="s">
        <v>12495</v>
      </c>
      <c r="K125" t="s">
        <v>4517</v>
      </c>
      <c r="L125" t="s">
        <v>12526</v>
      </c>
      <c r="M125" t="s">
        <v>25</v>
      </c>
      <c r="N125" t="s">
        <v>12527</v>
      </c>
      <c r="O125" t="s">
        <v>4517</v>
      </c>
      <c r="P125" t="s">
        <v>12528</v>
      </c>
      <c r="Q125" t="s">
        <v>25</v>
      </c>
      <c r="R125" t="s">
        <v>12529</v>
      </c>
      <c r="S125" t="s">
        <v>4517</v>
      </c>
      <c r="T125" t="s">
        <v>12526</v>
      </c>
      <c r="U125" t="s">
        <v>4559</v>
      </c>
      <c r="V125" t="s">
        <v>12530</v>
      </c>
    </row>
    <row r="126" spans="1:22">
      <c r="A126" t="s">
        <v>13020</v>
      </c>
      <c r="B126" t="s">
        <v>13020</v>
      </c>
      <c r="C126" t="s">
        <v>13022</v>
      </c>
      <c r="D126" t="s">
        <v>6246</v>
      </c>
      <c r="E126" t="s">
        <v>13013</v>
      </c>
      <c r="F126" t="s">
        <v>2655</v>
      </c>
      <c r="G126" t="s">
        <v>13014</v>
      </c>
      <c r="H126" t="s">
        <v>4377</v>
      </c>
      <c r="I126" t="s">
        <v>4793</v>
      </c>
      <c r="J126" t="s">
        <v>13010</v>
      </c>
      <c r="K126" t="s">
        <v>6246</v>
      </c>
      <c r="L126" t="s">
        <v>13018</v>
      </c>
      <c r="M126" t="s">
        <v>25</v>
      </c>
      <c r="N126" t="s">
        <v>13024</v>
      </c>
      <c r="O126" t="s">
        <v>6246</v>
      </c>
      <c r="P126" t="s">
        <v>13020</v>
      </c>
      <c r="Q126" t="s">
        <v>25</v>
      </c>
      <c r="R126" t="s">
        <v>13016</v>
      </c>
      <c r="S126" t="s">
        <v>6246</v>
      </c>
      <c r="T126" t="s">
        <v>13020</v>
      </c>
      <c r="U126" t="s">
        <v>4559</v>
      </c>
      <c r="V126" t="s">
        <v>13026</v>
      </c>
    </row>
    <row r="127" spans="1:22">
      <c r="A127" t="s">
        <v>13021</v>
      </c>
      <c r="B127" t="s">
        <v>13021</v>
      </c>
      <c r="C127" t="s">
        <v>13022</v>
      </c>
      <c r="D127" t="s">
        <v>6246</v>
      </c>
      <c r="E127" t="s">
        <v>6236</v>
      </c>
      <c r="F127" t="s">
        <v>2655</v>
      </c>
      <c r="G127" t="s">
        <v>13014</v>
      </c>
      <c r="H127" t="s">
        <v>4377</v>
      </c>
      <c r="I127" t="s">
        <v>4793</v>
      </c>
      <c r="J127" t="s">
        <v>13010</v>
      </c>
      <c r="K127" t="s">
        <v>6246</v>
      </c>
      <c r="L127" t="s">
        <v>13019</v>
      </c>
      <c r="M127" t="s">
        <v>25</v>
      </c>
      <c r="N127" t="s">
        <v>13025</v>
      </c>
      <c r="O127" t="s">
        <v>6246</v>
      </c>
      <c r="P127" t="s">
        <v>13021</v>
      </c>
      <c r="Q127" t="s">
        <v>25</v>
      </c>
      <c r="R127" t="s">
        <v>13017</v>
      </c>
      <c r="S127" t="s">
        <v>6246</v>
      </c>
      <c r="T127" t="s">
        <v>13019</v>
      </c>
      <c r="U127" t="s">
        <v>4559</v>
      </c>
      <c r="V127" t="s">
        <v>13027</v>
      </c>
    </row>
    <row r="128" spans="1:22">
      <c r="A128" t="s">
        <v>13012</v>
      </c>
      <c r="B128" t="s">
        <v>13012</v>
      </c>
      <c r="C128" t="s">
        <v>13023</v>
      </c>
      <c r="D128" t="s">
        <v>6246</v>
      </c>
      <c r="E128" t="s">
        <v>6236</v>
      </c>
      <c r="F128" t="s">
        <v>2655</v>
      </c>
      <c r="G128" t="s">
        <v>13014</v>
      </c>
      <c r="H128" s="11" t="s">
        <v>13015</v>
      </c>
      <c r="I128" s="11"/>
      <c r="J128" t="s">
        <v>13010</v>
      </c>
      <c r="K128" t="s">
        <v>6246</v>
      </c>
      <c r="L128" t="s">
        <v>13012</v>
      </c>
      <c r="M128" t="s">
        <v>25</v>
      </c>
      <c r="N128" t="s">
        <v>13011</v>
      </c>
    </row>
    <row r="129" spans="1:23">
      <c r="A129" t="s">
        <v>13029</v>
      </c>
      <c r="B129" t="s">
        <v>13029</v>
      </c>
      <c r="C129" t="s">
        <v>13030</v>
      </c>
      <c r="D129" t="s">
        <v>6267</v>
      </c>
      <c r="E129" t="s">
        <v>13031</v>
      </c>
      <c r="F129" t="s">
        <v>2655</v>
      </c>
      <c r="G129" t="s">
        <v>13054</v>
      </c>
      <c r="H129" t="s">
        <v>6243</v>
      </c>
      <c r="I129" t="s">
        <v>13055</v>
      </c>
      <c r="J129" t="s">
        <v>13032</v>
      </c>
      <c r="K129" t="s">
        <v>6267</v>
      </c>
      <c r="L129" t="s">
        <v>13028</v>
      </c>
      <c r="M129" t="s">
        <v>25</v>
      </c>
      <c r="N129" t="s">
        <v>13033</v>
      </c>
      <c r="S129" t="s">
        <v>6267</v>
      </c>
      <c r="T129" t="s">
        <v>13028</v>
      </c>
      <c r="U129" t="s">
        <v>4559</v>
      </c>
      <c r="V129" t="s">
        <v>13034</v>
      </c>
    </row>
    <row r="130" spans="1:23">
      <c r="A130" t="s">
        <v>13317</v>
      </c>
      <c r="B130" t="s">
        <v>13317</v>
      </c>
      <c r="C130" t="s">
        <v>13321</v>
      </c>
      <c r="D130" t="s">
        <v>10680</v>
      </c>
      <c r="E130" t="s">
        <v>10810</v>
      </c>
      <c r="F130" t="s">
        <v>10681</v>
      </c>
      <c r="G130" t="s">
        <v>13318</v>
      </c>
      <c r="H130" t="s">
        <v>4377</v>
      </c>
      <c r="I130" t="s">
        <v>10886</v>
      </c>
      <c r="J130" t="s">
        <v>13319</v>
      </c>
      <c r="K130" t="s">
        <v>7939</v>
      </c>
      <c r="L130" t="s">
        <v>13361</v>
      </c>
      <c r="M130" t="s">
        <v>25</v>
      </c>
      <c r="N130" t="s">
        <v>13320</v>
      </c>
      <c r="S130" t="s">
        <v>7939</v>
      </c>
      <c r="T130" t="s">
        <v>13322</v>
      </c>
      <c r="U130" t="s">
        <v>4559</v>
      </c>
      <c r="V130" t="s">
        <v>13323</v>
      </c>
    </row>
    <row r="131" spans="1:23">
      <c r="A131" t="s">
        <v>13358</v>
      </c>
      <c r="B131" t="s">
        <v>13358</v>
      </c>
      <c r="C131" t="s">
        <v>13321</v>
      </c>
      <c r="D131" t="s">
        <v>10680</v>
      </c>
      <c r="E131" t="s">
        <v>10810</v>
      </c>
      <c r="F131" t="s">
        <v>10681</v>
      </c>
      <c r="G131" t="s">
        <v>13318</v>
      </c>
      <c r="H131" t="s">
        <v>4377</v>
      </c>
      <c r="I131" t="s">
        <v>10886</v>
      </c>
      <c r="J131" t="s">
        <v>13359</v>
      </c>
      <c r="K131" t="s">
        <v>7939</v>
      </c>
      <c r="L131" t="s">
        <v>13360</v>
      </c>
      <c r="M131" t="s">
        <v>25</v>
      </c>
      <c r="N131" t="s">
        <v>13362</v>
      </c>
      <c r="S131" t="s">
        <v>7939</v>
      </c>
      <c r="T131" t="s">
        <v>13363</v>
      </c>
      <c r="U131" t="s">
        <v>4559</v>
      </c>
      <c r="V131" t="s">
        <v>13364</v>
      </c>
    </row>
    <row r="132" spans="1:23">
      <c r="A132" t="s">
        <v>13324</v>
      </c>
      <c r="B132" t="s">
        <v>13324</v>
      </c>
      <c r="C132" t="s">
        <v>13327</v>
      </c>
      <c r="D132" t="s">
        <v>4517</v>
      </c>
      <c r="E132" t="s">
        <v>13328</v>
      </c>
      <c r="F132" t="s">
        <v>2655</v>
      </c>
      <c r="G132" t="s">
        <v>13324</v>
      </c>
      <c r="H132" t="s">
        <v>6243</v>
      </c>
      <c r="I132" t="s">
        <v>13330</v>
      </c>
      <c r="J132" t="s">
        <v>13329</v>
      </c>
      <c r="K132" t="s">
        <v>4517</v>
      </c>
      <c r="L132" t="s">
        <v>13325</v>
      </c>
      <c r="M132" t="s">
        <v>25</v>
      </c>
      <c r="N132" t="s">
        <v>13326</v>
      </c>
      <c r="S132" t="s">
        <v>4517</v>
      </c>
      <c r="T132" t="s">
        <v>13325</v>
      </c>
      <c r="U132" t="s">
        <v>4559</v>
      </c>
      <c r="V132" t="s">
        <v>13510</v>
      </c>
    </row>
    <row r="133" spans="1:23" ht="16.5">
      <c r="A133" t="s">
        <v>13511</v>
      </c>
      <c r="B133" t="s">
        <v>13511</v>
      </c>
      <c r="C133" t="s">
        <v>13512</v>
      </c>
      <c r="D133" t="s">
        <v>13513</v>
      </c>
      <c r="E133" t="s">
        <v>6236</v>
      </c>
      <c r="F133" t="s">
        <v>2655</v>
      </c>
      <c r="G133" t="s">
        <v>13514</v>
      </c>
      <c r="H133" t="s">
        <v>4377</v>
      </c>
      <c r="I133" t="s">
        <v>4794</v>
      </c>
      <c r="J133" t="s">
        <v>13515</v>
      </c>
      <c r="K133" t="s">
        <v>13513</v>
      </c>
      <c r="L133" t="s">
        <v>13511</v>
      </c>
      <c r="M133" t="s">
        <v>25</v>
      </c>
      <c r="N133" t="s">
        <v>13516</v>
      </c>
      <c r="S133" t="s">
        <v>13513</v>
      </c>
      <c r="T133" t="s">
        <v>13511</v>
      </c>
      <c r="U133" t="s">
        <v>4559</v>
      </c>
      <c r="V133" s="9" t="s">
        <v>13517</v>
      </c>
    </row>
    <row r="134" spans="1:23">
      <c r="A134" t="s">
        <v>13706</v>
      </c>
      <c r="B134" t="s">
        <v>13706</v>
      </c>
      <c r="C134" t="s">
        <v>13748</v>
      </c>
      <c r="D134" t="s">
        <v>10680</v>
      </c>
      <c r="E134" t="s">
        <v>7945</v>
      </c>
      <c r="F134" t="s">
        <v>10681</v>
      </c>
      <c r="G134" t="s">
        <v>13735</v>
      </c>
      <c r="H134" t="s">
        <v>10704</v>
      </c>
      <c r="I134" t="s">
        <v>10773</v>
      </c>
      <c r="J134" s="26" t="s">
        <v>13776</v>
      </c>
      <c r="S134" t="s">
        <v>7939</v>
      </c>
      <c r="T134" t="s">
        <v>13829</v>
      </c>
      <c r="U134" t="s">
        <v>4559</v>
      </c>
      <c r="V134" t="s">
        <v>13830</v>
      </c>
      <c r="W134" t="s">
        <v>4727</v>
      </c>
    </row>
    <row r="135" spans="1:23">
      <c r="A135" t="s">
        <v>13707</v>
      </c>
      <c r="B135" t="s">
        <v>13707</v>
      </c>
      <c r="C135" t="s">
        <v>13757</v>
      </c>
      <c r="D135" t="s">
        <v>10680</v>
      </c>
      <c r="E135" t="s">
        <v>7945</v>
      </c>
      <c r="F135" t="s">
        <v>10681</v>
      </c>
      <c r="G135" t="s">
        <v>13735</v>
      </c>
      <c r="H135" t="s">
        <v>10704</v>
      </c>
      <c r="I135" t="s">
        <v>10773</v>
      </c>
      <c r="J135" s="26" t="s">
        <v>13777</v>
      </c>
      <c r="S135" t="s">
        <v>7939</v>
      </c>
      <c r="T135" t="s">
        <v>13831</v>
      </c>
      <c r="U135" t="s">
        <v>4559</v>
      </c>
      <c r="V135" t="s">
        <v>13832</v>
      </c>
      <c r="W135" t="s">
        <v>4727</v>
      </c>
    </row>
    <row r="136" spans="1:23">
      <c r="A136" t="s">
        <v>13708</v>
      </c>
      <c r="B136" t="s">
        <v>13708</v>
      </c>
      <c r="C136" t="s">
        <v>13766</v>
      </c>
      <c r="D136" t="s">
        <v>10680</v>
      </c>
      <c r="E136" t="s">
        <v>7945</v>
      </c>
      <c r="F136" t="s">
        <v>10681</v>
      </c>
      <c r="G136" t="s">
        <v>13735</v>
      </c>
      <c r="H136" t="s">
        <v>10704</v>
      </c>
      <c r="I136" t="s">
        <v>10773</v>
      </c>
      <c r="J136" s="26" t="s">
        <v>13778</v>
      </c>
      <c r="K136" t="s">
        <v>7939</v>
      </c>
      <c r="L136" t="s">
        <v>13793</v>
      </c>
      <c r="M136" t="s">
        <v>25</v>
      </c>
      <c r="N136" t="s">
        <v>13794</v>
      </c>
      <c r="O136" t="s">
        <v>7939</v>
      </c>
      <c r="P136" t="s">
        <v>13795</v>
      </c>
      <c r="Q136" t="s">
        <v>25</v>
      </c>
      <c r="R136" t="s">
        <v>13796</v>
      </c>
      <c r="S136" t="s">
        <v>7939</v>
      </c>
      <c r="T136" t="s">
        <v>13793</v>
      </c>
      <c r="U136" t="s">
        <v>4559</v>
      </c>
      <c r="V136" t="s">
        <v>13833</v>
      </c>
      <c r="W136" t="s">
        <v>4727</v>
      </c>
    </row>
    <row r="137" spans="1:23">
      <c r="A137" t="s">
        <v>13712</v>
      </c>
      <c r="B137" t="s">
        <v>13712</v>
      </c>
      <c r="C137" t="s">
        <v>13749</v>
      </c>
      <c r="D137" t="s">
        <v>10680</v>
      </c>
      <c r="E137" t="s">
        <v>10685</v>
      </c>
      <c r="F137" t="s">
        <v>10681</v>
      </c>
      <c r="G137" t="s">
        <v>13742</v>
      </c>
      <c r="H137" t="s">
        <v>10704</v>
      </c>
      <c r="I137" t="s">
        <v>10774</v>
      </c>
      <c r="J137" s="26" t="s">
        <v>13779</v>
      </c>
      <c r="K137" t="s">
        <v>7939</v>
      </c>
      <c r="L137" t="s">
        <v>13799</v>
      </c>
      <c r="M137" t="s">
        <v>25</v>
      </c>
      <c r="N137" t="s">
        <v>13800</v>
      </c>
      <c r="O137" t="s">
        <v>7939</v>
      </c>
      <c r="P137" t="s">
        <v>13801</v>
      </c>
      <c r="Q137" t="s">
        <v>25</v>
      </c>
      <c r="R137" t="s">
        <v>13802</v>
      </c>
      <c r="S137" t="s">
        <v>7939</v>
      </c>
      <c r="T137" t="s">
        <v>13799</v>
      </c>
      <c r="U137" t="s">
        <v>4559</v>
      </c>
      <c r="V137" t="s">
        <v>13834</v>
      </c>
      <c r="W137" t="s">
        <v>4727</v>
      </c>
    </row>
    <row r="138" spans="1:23">
      <c r="A138" t="s">
        <v>13713</v>
      </c>
      <c r="B138" t="s">
        <v>13713</v>
      </c>
      <c r="C138" t="s">
        <v>13758</v>
      </c>
      <c r="D138" t="s">
        <v>10680</v>
      </c>
      <c r="E138" t="s">
        <v>10685</v>
      </c>
      <c r="F138" t="s">
        <v>10681</v>
      </c>
      <c r="G138" t="s">
        <v>13742</v>
      </c>
      <c r="H138" t="s">
        <v>10704</v>
      </c>
      <c r="I138" t="s">
        <v>10774</v>
      </c>
      <c r="J138" s="26" t="s">
        <v>13780</v>
      </c>
      <c r="K138" t="s">
        <v>7939</v>
      </c>
      <c r="L138" t="s">
        <v>13803</v>
      </c>
      <c r="M138" t="s">
        <v>25</v>
      </c>
      <c r="N138" t="s">
        <v>13804</v>
      </c>
      <c r="O138" t="s">
        <v>7939</v>
      </c>
      <c r="P138" t="s">
        <v>13805</v>
      </c>
      <c r="Q138" t="s">
        <v>25</v>
      </c>
      <c r="R138" t="s">
        <v>13806</v>
      </c>
      <c r="S138" t="s">
        <v>7939</v>
      </c>
      <c r="T138" t="s">
        <v>13803</v>
      </c>
      <c r="U138" t="s">
        <v>4559</v>
      </c>
      <c r="V138" t="s">
        <v>13835</v>
      </c>
      <c r="W138" t="s">
        <v>4727</v>
      </c>
    </row>
    <row r="139" spans="1:23">
      <c r="A139" t="s">
        <v>13714</v>
      </c>
      <c r="B139" t="s">
        <v>13714</v>
      </c>
      <c r="C139" t="s">
        <v>13767</v>
      </c>
      <c r="D139" t="s">
        <v>10680</v>
      </c>
      <c r="E139" t="s">
        <v>10685</v>
      </c>
      <c r="F139" t="s">
        <v>10681</v>
      </c>
      <c r="G139" t="s">
        <v>13742</v>
      </c>
      <c r="H139" t="s">
        <v>10704</v>
      </c>
      <c r="I139" t="s">
        <v>10774</v>
      </c>
      <c r="J139" s="26" t="s">
        <v>13775</v>
      </c>
      <c r="K139" t="s">
        <v>7939</v>
      </c>
      <c r="L139" t="s">
        <v>13807</v>
      </c>
      <c r="M139" t="s">
        <v>25</v>
      </c>
      <c r="N139" t="s">
        <v>13808</v>
      </c>
      <c r="O139" t="s">
        <v>7939</v>
      </c>
      <c r="P139" t="s">
        <v>13809</v>
      </c>
      <c r="Q139" t="s">
        <v>25</v>
      </c>
      <c r="R139" t="s">
        <v>13810</v>
      </c>
      <c r="S139" t="s">
        <v>7939</v>
      </c>
      <c r="T139" t="s">
        <v>13807</v>
      </c>
      <c r="U139" t="s">
        <v>4559</v>
      </c>
      <c r="V139" t="s">
        <v>13836</v>
      </c>
      <c r="W139" t="s">
        <v>4727</v>
      </c>
    </row>
    <row r="140" spans="1:23">
      <c r="A140" t="s">
        <v>13715</v>
      </c>
      <c r="B140" t="s">
        <v>13715</v>
      </c>
      <c r="C140" t="s">
        <v>13750</v>
      </c>
      <c r="D140" t="s">
        <v>10680</v>
      </c>
      <c r="E140" t="s">
        <v>13739</v>
      </c>
      <c r="F140" t="s">
        <v>10681</v>
      </c>
      <c r="G140" t="s">
        <v>13743</v>
      </c>
      <c r="H140" t="s">
        <v>10704</v>
      </c>
      <c r="I140" t="s">
        <v>13860</v>
      </c>
      <c r="J140" s="26" t="s">
        <v>13781</v>
      </c>
      <c r="S140" t="s">
        <v>7939</v>
      </c>
      <c r="T140" t="s">
        <v>13837</v>
      </c>
      <c r="U140" t="s">
        <v>4559</v>
      </c>
      <c r="V140" t="s">
        <v>13838</v>
      </c>
      <c r="W140" t="s">
        <v>4727</v>
      </c>
    </row>
    <row r="141" spans="1:23">
      <c r="A141" t="s">
        <v>13716</v>
      </c>
      <c r="B141" t="s">
        <v>13716</v>
      </c>
      <c r="C141" t="s">
        <v>13759</v>
      </c>
      <c r="D141" t="s">
        <v>10680</v>
      </c>
      <c r="E141" t="s">
        <v>13739</v>
      </c>
      <c r="F141" t="s">
        <v>10681</v>
      </c>
      <c r="G141" t="s">
        <v>13743</v>
      </c>
      <c r="H141" t="s">
        <v>10704</v>
      </c>
      <c r="I141" t="s">
        <v>13860</v>
      </c>
      <c r="J141" s="26" t="s">
        <v>13782</v>
      </c>
      <c r="S141" t="s">
        <v>7939</v>
      </c>
      <c r="T141" t="s">
        <v>13839</v>
      </c>
      <c r="U141" t="s">
        <v>4559</v>
      </c>
      <c r="V141" t="s">
        <v>13840</v>
      </c>
      <c r="W141" t="s">
        <v>4727</v>
      </c>
    </row>
    <row r="142" spans="1:23">
      <c r="A142" t="s">
        <v>13717</v>
      </c>
      <c r="B142" t="s">
        <v>13717</v>
      </c>
      <c r="C142" t="s">
        <v>13768</v>
      </c>
      <c r="D142" t="s">
        <v>10680</v>
      </c>
      <c r="E142" t="s">
        <v>13739</v>
      </c>
      <c r="F142" t="s">
        <v>10681</v>
      </c>
      <c r="G142" t="s">
        <v>13743</v>
      </c>
      <c r="H142" t="s">
        <v>10704</v>
      </c>
      <c r="I142" t="s">
        <v>13860</v>
      </c>
      <c r="J142" s="26" t="s">
        <v>13783</v>
      </c>
      <c r="K142" t="s">
        <v>7939</v>
      </c>
      <c r="L142" t="s">
        <v>13811</v>
      </c>
      <c r="M142" t="s">
        <v>25</v>
      </c>
      <c r="N142" t="s">
        <v>13812</v>
      </c>
      <c r="O142" t="s">
        <v>7939</v>
      </c>
      <c r="P142" t="s">
        <v>13813</v>
      </c>
      <c r="Q142" t="s">
        <v>25</v>
      </c>
      <c r="R142" t="s">
        <v>13814</v>
      </c>
      <c r="S142" t="s">
        <v>7939</v>
      </c>
      <c r="T142" t="s">
        <v>13811</v>
      </c>
      <c r="U142" t="s">
        <v>4559</v>
      </c>
      <c r="V142" t="s">
        <v>13841</v>
      </c>
      <c r="W142" t="s">
        <v>4727</v>
      </c>
    </row>
    <row r="143" spans="1:23">
      <c r="A143" t="s">
        <v>13718</v>
      </c>
      <c r="B143" t="s">
        <v>13718</v>
      </c>
      <c r="C143" t="s">
        <v>13751</v>
      </c>
      <c r="D143" t="s">
        <v>10680</v>
      </c>
      <c r="E143" t="s">
        <v>13740</v>
      </c>
      <c r="F143" t="s">
        <v>10681</v>
      </c>
      <c r="G143" t="s">
        <v>13744</v>
      </c>
      <c r="H143" t="s">
        <v>10704</v>
      </c>
      <c r="I143" t="s">
        <v>13861</v>
      </c>
      <c r="J143" s="26" t="s">
        <v>13784</v>
      </c>
      <c r="K143" t="s">
        <v>7939</v>
      </c>
      <c r="L143" t="s">
        <v>13815</v>
      </c>
      <c r="M143" t="s">
        <v>25</v>
      </c>
      <c r="N143" t="s">
        <v>13816</v>
      </c>
      <c r="S143" t="s">
        <v>7939</v>
      </c>
      <c r="T143" t="s">
        <v>13815</v>
      </c>
      <c r="U143" t="s">
        <v>4559</v>
      </c>
      <c r="V143" t="s">
        <v>13842</v>
      </c>
      <c r="W143" t="s">
        <v>4727</v>
      </c>
    </row>
    <row r="144" spans="1:23">
      <c r="A144" t="s">
        <v>13719</v>
      </c>
      <c r="B144" t="s">
        <v>13719</v>
      </c>
      <c r="C144" t="s">
        <v>13760</v>
      </c>
      <c r="D144" t="s">
        <v>10680</v>
      </c>
      <c r="E144" t="s">
        <v>13740</v>
      </c>
      <c r="F144" t="s">
        <v>10681</v>
      </c>
      <c r="G144" t="s">
        <v>13744</v>
      </c>
      <c r="H144" t="s">
        <v>10704</v>
      </c>
      <c r="I144" t="s">
        <v>13861</v>
      </c>
      <c r="J144" s="26" t="s">
        <v>13785</v>
      </c>
      <c r="S144" t="s">
        <v>7939</v>
      </c>
      <c r="T144" t="s">
        <v>13843</v>
      </c>
      <c r="U144" t="s">
        <v>4559</v>
      </c>
      <c r="V144" t="s">
        <v>13844</v>
      </c>
      <c r="W144" t="s">
        <v>4727</v>
      </c>
    </row>
    <row r="145" spans="1:23">
      <c r="A145" t="s">
        <v>13720</v>
      </c>
      <c r="B145" t="s">
        <v>13720</v>
      </c>
      <c r="C145" t="s">
        <v>13769</v>
      </c>
      <c r="D145" t="s">
        <v>10680</v>
      </c>
      <c r="E145" t="s">
        <v>13740</v>
      </c>
      <c r="F145" t="s">
        <v>10681</v>
      </c>
      <c r="G145" t="s">
        <v>13744</v>
      </c>
      <c r="H145" t="s">
        <v>10704</v>
      </c>
      <c r="I145" t="s">
        <v>13861</v>
      </c>
      <c r="J145" s="26" t="s">
        <v>13786</v>
      </c>
      <c r="K145" t="s">
        <v>7939</v>
      </c>
      <c r="L145" t="s">
        <v>13817</v>
      </c>
      <c r="M145" t="s">
        <v>25</v>
      </c>
      <c r="N145" t="s">
        <v>13818</v>
      </c>
      <c r="O145" t="s">
        <v>7939</v>
      </c>
      <c r="P145" t="s">
        <v>13819</v>
      </c>
      <c r="Q145" t="s">
        <v>25</v>
      </c>
      <c r="R145" t="s">
        <v>13820</v>
      </c>
      <c r="S145" t="s">
        <v>7939</v>
      </c>
      <c r="T145" t="s">
        <v>13845</v>
      </c>
      <c r="U145" t="s">
        <v>4559</v>
      </c>
      <c r="V145" t="s">
        <v>13846</v>
      </c>
      <c r="W145" t="s">
        <v>4727</v>
      </c>
    </row>
    <row r="146" spans="1:23">
      <c r="A146" t="s">
        <v>13721</v>
      </c>
      <c r="B146" t="s">
        <v>13721</v>
      </c>
      <c r="C146" t="s">
        <v>13752</v>
      </c>
      <c r="D146" t="s">
        <v>10680</v>
      </c>
      <c r="E146" t="s">
        <v>13741</v>
      </c>
      <c r="F146" t="s">
        <v>10681</v>
      </c>
      <c r="G146" t="s">
        <v>13745</v>
      </c>
      <c r="H146" t="s">
        <v>10704</v>
      </c>
      <c r="I146" t="s">
        <v>13862</v>
      </c>
      <c r="J146" s="26" t="s">
        <v>13787</v>
      </c>
      <c r="K146" t="s">
        <v>7939</v>
      </c>
      <c r="L146" t="s">
        <v>13823</v>
      </c>
      <c r="M146" t="s">
        <v>25</v>
      </c>
      <c r="N146" t="s">
        <v>13824</v>
      </c>
      <c r="S146" t="s">
        <v>7939</v>
      </c>
      <c r="T146" t="s">
        <v>13823</v>
      </c>
      <c r="U146" t="s">
        <v>4559</v>
      </c>
      <c r="V146" t="s">
        <v>13847</v>
      </c>
      <c r="W146" t="s">
        <v>4727</v>
      </c>
    </row>
    <row r="147" spans="1:23">
      <c r="A147" t="s">
        <v>13722</v>
      </c>
      <c r="B147" t="s">
        <v>13722</v>
      </c>
      <c r="C147" t="s">
        <v>13761</v>
      </c>
      <c r="D147" t="s">
        <v>10680</v>
      </c>
      <c r="E147" t="s">
        <v>13741</v>
      </c>
      <c r="F147" t="s">
        <v>10681</v>
      </c>
      <c r="G147" t="s">
        <v>13745</v>
      </c>
      <c r="H147" t="s">
        <v>10704</v>
      </c>
      <c r="I147" t="s">
        <v>13862</v>
      </c>
      <c r="J147" s="26" t="s">
        <v>13788</v>
      </c>
      <c r="S147" t="s">
        <v>7939</v>
      </c>
      <c r="T147" t="s">
        <v>13848</v>
      </c>
      <c r="U147" t="s">
        <v>4559</v>
      </c>
      <c r="V147" t="s">
        <v>13849</v>
      </c>
      <c r="W147" t="s">
        <v>4727</v>
      </c>
    </row>
    <row r="148" spans="1:23">
      <c r="A148" t="s">
        <v>13723</v>
      </c>
      <c r="B148" t="s">
        <v>13723</v>
      </c>
      <c r="C148" t="s">
        <v>13770</v>
      </c>
      <c r="D148" t="s">
        <v>10680</v>
      </c>
      <c r="E148" t="s">
        <v>13741</v>
      </c>
      <c r="F148" t="s">
        <v>10681</v>
      </c>
      <c r="G148" t="s">
        <v>13745</v>
      </c>
      <c r="H148" t="s">
        <v>10704</v>
      </c>
      <c r="I148" t="s">
        <v>13862</v>
      </c>
      <c r="J148" s="26" t="s">
        <v>13789</v>
      </c>
      <c r="K148" t="s">
        <v>7939</v>
      </c>
      <c r="L148" t="s">
        <v>13825</v>
      </c>
      <c r="M148" t="s">
        <v>25</v>
      </c>
      <c r="N148" t="s">
        <v>13826</v>
      </c>
      <c r="O148" t="s">
        <v>7939</v>
      </c>
      <c r="P148" t="s">
        <v>13827</v>
      </c>
      <c r="Q148" t="s">
        <v>25</v>
      </c>
      <c r="R148" t="s">
        <v>13828</v>
      </c>
      <c r="S148" t="s">
        <v>7939</v>
      </c>
      <c r="T148" t="s">
        <v>13825</v>
      </c>
      <c r="U148" t="s">
        <v>4559</v>
      </c>
      <c r="V148" t="s">
        <v>13850</v>
      </c>
      <c r="W148" t="s">
        <v>4727</v>
      </c>
    </row>
    <row r="149" spans="1:23">
      <c r="A149" t="s">
        <v>13709</v>
      </c>
      <c r="B149" t="s">
        <v>13709</v>
      </c>
      <c r="C149" t="s">
        <v>13753</v>
      </c>
      <c r="D149" t="s">
        <v>10680</v>
      </c>
      <c r="E149" t="s">
        <v>7947</v>
      </c>
      <c r="F149" t="s">
        <v>10681</v>
      </c>
      <c r="G149" t="s">
        <v>13736</v>
      </c>
      <c r="H149" t="s">
        <v>6243</v>
      </c>
      <c r="I149" t="s">
        <v>13859</v>
      </c>
      <c r="J149" s="26" t="s">
        <v>13776</v>
      </c>
      <c r="S149" t="s">
        <v>7939</v>
      </c>
      <c r="T149" t="s">
        <v>13851</v>
      </c>
      <c r="U149" t="s">
        <v>4559</v>
      </c>
      <c r="V149" t="s">
        <v>13852</v>
      </c>
      <c r="W149" t="s">
        <v>4727</v>
      </c>
    </row>
    <row r="150" spans="1:23">
      <c r="A150" t="s">
        <v>13710</v>
      </c>
      <c r="B150" t="s">
        <v>13710</v>
      </c>
      <c r="C150" t="s">
        <v>13762</v>
      </c>
      <c r="D150" t="s">
        <v>10680</v>
      </c>
      <c r="E150" t="s">
        <v>7947</v>
      </c>
      <c r="F150" t="s">
        <v>10681</v>
      </c>
      <c r="G150" t="s">
        <v>13736</v>
      </c>
      <c r="H150" t="s">
        <v>6243</v>
      </c>
      <c r="I150" t="s">
        <v>13859</v>
      </c>
      <c r="J150" s="26" t="s">
        <v>13777</v>
      </c>
      <c r="S150" t="s">
        <v>7939</v>
      </c>
      <c r="T150" t="s">
        <v>13853</v>
      </c>
      <c r="U150" t="s">
        <v>4559</v>
      </c>
      <c r="V150" t="s">
        <v>13854</v>
      </c>
      <c r="W150" t="s">
        <v>4727</v>
      </c>
    </row>
    <row r="151" spans="1:23">
      <c r="A151" t="s">
        <v>13711</v>
      </c>
      <c r="B151" t="s">
        <v>13711</v>
      </c>
      <c r="C151" t="s">
        <v>13771</v>
      </c>
      <c r="D151" t="s">
        <v>10680</v>
      </c>
      <c r="E151" t="s">
        <v>7947</v>
      </c>
      <c r="F151" t="s">
        <v>10681</v>
      </c>
      <c r="G151" t="s">
        <v>13736</v>
      </c>
      <c r="H151" t="s">
        <v>6243</v>
      </c>
      <c r="I151" t="s">
        <v>13859</v>
      </c>
      <c r="J151" s="26" t="s">
        <v>13778</v>
      </c>
      <c r="K151" t="s">
        <v>7939</v>
      </c>
      <c r="L151" t="s">
        <v>13797</v>
      </c>
      <c r="M151" t="s">
        <v>25</v>
      </c>
      <c r="N151" t="s">
        <v>13798</v>
      </c>
      <c r="S151" t="s">
        <v>7939</v>
      </c>
      <c r="T151" t="s">
        <v>13797</v>
      </c>
      <c r="U151" t="s">
        <v>4559</v>
      </c>
      <c r="V151" t="s">
        <v>13855</v>
      </c>
      <c r="W151" t="s">
        <v>4727</v>
      </c>
    </row>
    <row r="152" spans="1:23">
      <c r="A152" t="s">
        <v>13724</v>
      </c>
      <c r="B152" t="s">
        <v>13724</v>
      </c>
      <c r="C152" t="s">
        <v>13754</v>
      </c>
      <c r="D152" t="s">
        <v>10680</v>
      </c>
      <c r="E152" t="s">
        <v>13746</v>
      </c>
      <c r="F152" t="s">
        <v>10681</v>
      </c>
      <c r="G152" t="s">
        <v>13747</v>
      </c>
      <c r="H152" t="s">
        <v>10705</v>
      </c>
      <c r="I152" t="s">
        <v>13865</v>
      </c>
      <c r="J152" s="26" t="s">
        <v>13781</v>
      </c>
      <c r="W152" t="s">
        <v>4727</v>
      </c>
    </row>
    <row r="153" spans="1:23">
      <c r="A153" t="s">
        <v>13725</v>
      </c>
      <c r="B153" t="s">
        <v>13725</v>
      </c>
      <c r="C153" t="s">
        <v>13763</v>
      </c>
      <c r="D153" t="s">
        <v>10680</v>
      </c>
      <c r="E153" t="s">
        <v>13746</v>
      </c>
      <c r="F153" t="s">
        <v>10681</v>
      </c>
      <c r="G153" t="s">
        <v>13747</v>
      </c>
      <c r="H153" t="s">
        <v>10705</v>
      </c>
      <c r="I153" t="s">
        <v>13865</v>
      </c>
      <c r="J153" s="26" t="s">
        <v>13782</v>
      </c>
      <c r="W153" t="s">
        <v>4727</v>
      </c>
    </row>
    <row r="154" spans="1:23">
      <c r="A154" t="s">
        <v>13726</v>
      </c>
      <c r="B154" t="s">
        <v>13726</v>
      </c>
      <c r="C154" t="s">
        <v>13772</v>
      </c>
      <c r="D154" t="s">
        <v>10680</v>
      </c>
      <c r="E154" t="s">
        <v>13746</v>
      </c>
      <c r="F154" t="s">
        <v>10681</v>
      </c>
      <c r="G154" t="s">
        <v>13747</v>
      </c>
      <c r="H154" t="s">
        <v>10705</v>
      </c>
      <c r="I154" t="s">
        <v>13865</v>
      </c>
      <c r="J154" s="26" t="s">
        <v>13783</v>
      </c>
      <c r="S154" t="s">
        <v>7939</v>
      </c>
      <c r="T154" t="s">
        <v>13856</v>
      </c>
      <c r="U154" t="s">
        <v>4559</v>
      </c>
      <c r="V154" t="s">
        <v>13857</v>
      </c>
      <c r="W154" t="s">
        <v>4727</v>
      </c>
    </row>
    <row r="155" spans="1:23">
      <c r="A155" t="s">
        <v>13730</v>
      </c>
      <c r="B155" t="s">
        <v>13730</v>
      </c>
      <c r="C155" t="s">
        <v>13755</v>
      </c>
      <c r="D155" t="s">
        <v>10680</v>
      </c>
      <c r="E155" t="s">
        <v>13733</v>
      </c>
      <c r="F155" t="s">
        <v>10681</v>
      </c>
      <c r="G155" t="s">
        <v>13737</v>
      </c>
      <c r="H155" t="s">
        <v>10705</v>
      </c>
      <c r="I155" t="s">
        <v>13863</v>
      </c>
      <c r="J155" s="26" t="s">
        <v>13784</v>
      </c>
      <c r="W155" t="s">
        <v>4727</v>
      </c>
    </row>
    <row r="156" spans="1:23">
      <c r="A156" t="s">
        <v>13731</v>
      </c>
      <c r="B156" t="s">
        <v>13731</v>
      </c>
      <c r="C156" t="s">
        <v>13764</v>
      </c>
      <c r="D156" t="s">
        <v>10680</v>
      </c>
      <c r="E156" t="s">
        <v>13733</v>
      </c>
      <c r="F156" t="s">
        <v>10681</v>
      </c>
      <c r="G156" t="s">
        <v>13737</v>
      </c>
      <c r="H156" t="s">
        <v>10705</v>
      </c>
      <c r="I156" t="s">
        <v>13863</v>
      </c>
      <c r="J156" s="26" t="s">
        <v>13785</v>
      </c>
      <c r="W156" t="s">
        <v>4727</v>
      </c>
    </row>
    <row r="157" spans="1:23">
      <c r="A157" t="s">
        <v>13732</v>
      </c>
      <c r="B157" t="s">
        <v>13732</v>
      </c>
      <c r="C157" t="s">
        <v>13773</v>
      </c>
      <c r="D157" t="s">
        <v>10680</v>
      </c>
      <c r="E157" t="s">
        <v>13733</v>
      </c>
      <c r="F157" t="s">
        <v>10681</v>
      </c>
      <c r="G157" t="s">
        <v>13737</v>
      </c>
      <c r="H157" t="s">
        <v>10705</v>
      </c>
      <c r="I157" t="s">
        <v>13863</v>
      </c>
      <c r="J157" s="26" t="s">
        <v>13786</v>
      </c>
      <c r="K157" t="s">
        <v>7939</v>
      </c>
      <c r="L157" t="s">
        <v>13821</v>
      </c>
      <c r="M157" t="s">
        <v>25</v>
      </c>
      <c r="N157" t="s">
        <v>13822</v>
      </c>
      <c r="S157" t="s">
        <v>7939</v>
      </c>
      <c r="T157" t="s">
        <v>13821</v>
      </c>
      <c r="U157" t="s">
        <v>4559</v>
      </c>
      <c r="V157" t="s">
        <v>13858</v>
      </c>
      <c r="W157" t="s">
        <v>4727</v>
      </c>
    </row>
    <row r="158" spans="1:23">
      <c r="A158" t="s">
        <v>13727</v>
      </c>
      <c r="B158" t="s">
        <v>13727</v>
      </c>
      <c r="C158" t="s">
        <v>13756</v>
      </c>
      <c r="D158" t="s">
        <v>10680</v>
      </c>
      <c r="E158" t="s">
        <v>13734</v>
      </c>
      <c r="F158" t="s">
        <v>10681</v>
      </c>
      <c r="G158" t="s">
        <v>13738</v>
      </c>
      <c r="H158" t="s">
        <v>10705</v>
      </c>
      <c r="I158" t="s">
        <v>13864</v>
      </c>
      <c r="J158" s="26" t="s">
        <v>13790</v>
      </c>
      <c r="W158" t="s">
        <v>4727</v>
      </c>
    </row>
    <row r="159" spans="1:23">
      <c r="A159" t="s">
        <v>13728</v>
      </c>
      <c r="B159" t="s">
        <v>13728</v>
      </c>
      <c r="C159" t="s">
        <v>13765</v>
      </c>
      <c r="D159" t="s">
        <v>10680</v>
      </c>
      <c r="E159" t="s">
        <v>13734</v>
      </c>
      <c r="F159" t="s">
        <v>10681</v>
      </c>
      <c r="G159" t="s">
        <v>13738</v>
      </c>
      <c r="H159" t="s">
        <v>10705</v>
      </c>
      <c r="I159" t="s">
        <v>13864</v>
      </c>
      <c r="J159" s="26" t="s">
        <v>13791</v>
      </c>
      <c r="W159" t="s">
        <v>4727</v>
      </c>
    </row>
    <row r="160" spans="1:23">
      <c r="A160" t="s">
        <v>13729</v>
      </c>
      <c r="B160" t="s">
        <v>13729</v>
      </c>
      <c r="C160" t="s">
        <v>13774</v>
      </c>
      <c r="D160" t="s">
        <v>10680</v>
      </c>
      <c r="E160" t="s">
        <v>13734</v>
      </c>
      <c r="F160" t="s">
        <v>10681</v>
      </c>
      <c r="G160" t="s">
        <v>13738</v>
      </c>
      <c r="H160" t="s">
        <v>10705</v>
      </c>
      <c r="I160" t="s">
        <v>13864</v>
      </c>
      <c r="J160" s="26" t="s">
        <v>13792</v>
      </c>
      <c r="W160" t="s">
        <v>4727</v>
      </c>
    </row>
    <row r="161" spans="1:23">
      <c r="A161" t="s">
        <v>13903</v>
      </c>
      <c r="B161" t="s">
        <v>13903</v>
      </c>
      <c r="C161" t="s">
        <v>13904</v>
      </c>
      <c r="D161" t="s">
        <v>6341</v>
      </c>
      <c r="E161" t="s">
        <v>8089</v>
      </c>
      <c r="F161" t="s">
        <v>2655</v>
      </c>
      <c r="G161" t="s">
        <v>13905</v>
      </c>
      <c r="H161" t="s">
        <v>6741</v>
      </c>
      <c r="I161" t="s">
        <v>13906</v>
      </c>
      <c r="J161" t="s">
        <v>13907</v>
      </c>
      <c r="K161" t="s">
        <v>13908</v>
      </c>
      <c r="L161" t="s">
        <v>13910</v>
      </c>
      <c r="M161" t="s">
        <v>25</v>
      </c>
      <c r="N161" t="s">
        <v>13911</v>
      </c>
      <c r="O161" t="s">
        <v>13908</v>
      </c>
      <c r="P161" t="s">
        <v>13903</v>
      </c>
      <c r="Q161" t="s">
        <v>25</v>
      </c>
      <c r="R161" t="s">
        <v>13909</v>
      </c>
      <c r="S161" t="s">
        <v>6341</v>
      </c>
      <c r="T161" t="s">
        <v>13903</v>
      </c>
      <c r="U161" t="s">
        <v>4559</v>
      </c>
      <c r="V161" t="s">
        <v>13912</v>
      </c>
      <c r="W161" t="s">
        <v>4727</v>
      </c>
    </row>
    <row r="162" spans="1:23">
      <c r="A162" t="s">
        <v>13937</v>
      </c>
      <c r="B162" t="s">
        <v>13937</v>
      </c>
      <c r="C162" t="s">
        <v>13938</v>
      </c>
      <c r="D162" t="s">
        <v>4517</v>
      </c>
      <c r="E162" t="s">
        <v>13939</v>
      </c>
      <c r="F162" t="s">
        <v>2655</v>
      </c>
      <c r="G162" t="s">
        <v>13953</v>
      </c>
      <c r="H162" t="s">
        <v>4376</v>
      </c>
      <c r="I162" t="s">
        <v>13959</v>
      </c>
      <c r="J162" t="s">
        <v>13941</v>
      </c>
      <c r="K162" t="s">
        <v>4517</v>
      </c>
      <c r="L162" t="s">
        <v>13937</v>
      </c>
      <c r="M162" t="s">
        <v>25</v>
      </c>
      <c r="N162" t="s">
        <v>13943</v>
      </c>
      <c r="S162" t="s">
        <v>6665</v>
      </c>
      <c r="T162" t="s">
        <v>13937</v>
      </c>
      <c r="U162" t="s">
        <v>4559</v>
      </c>
      <c r="V162" t="s">
        <v>13945</v>
      </c>
      <c r="W162" t="s">
        <v>4727</v>
      </c>
    </row>
    <row r="163" spans="1:23">
      <c r="A163" t="s">
        <v>13940</v>
      </c>
      <c r="B163" t="s">
        <v>13940</v>
      </c>
      <c r="C163" t="s">
        <v>13938</v>
      </c>
      <c r="D163" t="s">
        <v>4517</v>
      </c>
      <c r="E163" t="s">
        <v>13942</v>
      </c>
      <c r="F163" t="s">
        <v>2655</v>
      </c>
      <c r="G163" t="s">
        <v>13954</v>
      </c>
      <c r="H163" t="s">
        <v>10705</v>
      </c>
      <c r="I163" t="s">
        <v>13960</v>
      </c>
      <c r="J163" t="s">
        <v>13941</v>
      </c>
      <c r="K163" t="s">
        <v>4517</v>
      </c>
      <c r="L163" t="s">
        <v>13940</v>
      </c>
      <c r="M163" t="s">
        <v>25</v>
      </c>
      <c r="N163" t="s">
        <v>13944</v>
      </c>
    </row>
    <row r="164" spans="1:23">
      <c r="A164" t="s">
        <v>13947</v>
      </c>
      <c r="B164" t="s">
        <v>13947</v>
      </c>
      <c r="C164" t="s">
        <v>13949</v>
      </c>
      <c r="D164" t="s">
        <v>4517</v>
      </c>
      <c r="E164" t="s">
        <v>13939</v>
      </c>
      <c r="F164" t="s">
        <v>2655</v>
      </c>
      <c r="G164" t="s">
        <v>13955</v>
      </c>
      <c r="H164" t="s">
        <v>4376</v>
      </c>
      <c r="I164" t="s">
        <v>13959</v>
      </c>
      <c r="J164" t="s">
        <v>13946</v>
      </c>
      <c r="K164" t="s">
        <v>4517</v>
      </c>
      <c r="L164" t="s">
        <v>13947</v>
      </c>
      <c r="M164" t="s">
        <v>25</v>
      </c>
      <c r="N164" t="s">
        <v>13950</v>
      </c>
      <c r="S164" t="s">
        <v>6665</v>
      </c>
      <c r="T164" t="s">
        <v>13947</v>
      </c>
      <c r="U164" t="s">
        <v>4559</v>
      </c>
      <c r="V164" t="s">
        <v>13952</v>
      </c>
      <c r="W164" t="s">
        <v>4727</v>
      </c>
    </row>
    <row r="165" spans="1:23">
      <c r="A165" t="s">
        <v>13948</v>
      </c>
      <c r="B165" t="s">
        <v>13948</v>
      </c>
      <c r="C165" t="s">
        <v>13949</v>
      </c>
      <c r="D165" t="s">
        <v>4517</v>
      </c>
      <c r="E165" t="s">
        <v>13942</v>
      </c>
      <c r="F165" t="s">
        <v>2655</v>
      </c>
      <c r="G165" t="s">
        <v>13956</v>
      </c>
      <c r="H165" t="s">
        <v>10705</v>
      </c>
      <c r="I165" t="s">
        <v>13960</v>
      </c>
      <c r="J165" t="s">
        <v>13946</v>
      </c>
      <c r="K165" t="s">
        <v>4517</v>
      </c>
      <c r="L165" t="s">
        <v>13948</v>
      </c>
      <c r="M165" t="s">
        <v>25</v>
      </c>
      <c r="N165" t="s">
        <v>13951</v>
      </c>
    </row>
    <row r="166" spans="1:23">
      <c r="A166" t="s">
        <v>14042</v>
      </c>
      <c r="B166" t="s">
        <v>14042</v>
      </c>
      <c r="C166" t="s">
        <v>14044</v>
      </c>
      <c r="D166" t="s">
        <v>4517</v>
      </c>
      <c r="E166" t="s">
        <v>14045</v>
      </c>
      <c r="F166" t="s">
        <v>2655</v>
      </c>
      <c r="G166" t="s">
        <v>14042</v>
      </c>
      <c r="H166" t="s">
        <v>4377</v>
      </c>
      <c r="I166" t="s">
        <v>14058</v>
      </c>
      <c r="J166" t="s">
        <v>14046</v>
      </c>
      <c r="K166" t="s">
        <v>4517</v>
      </c>
      <c r="L166" t="s">
        <v>14047</v>
      </c>
      <c r="M166" t="s">
        <v>25</v>
      </c>
      <c r="N166" t="s">
        <v>14048</v>
      </c>
      <c r="O166" t="s">
        <v>4517</v>
      </c>
      <c r="P166" t="s">
        <v>14049</v>
      </c>
      <c r="Q166" t="s">
        <v>25</v>
      </c>
      <c r="R166" t="s">
        <v>14050</v>
      </c>
      <c r="S166" t="s">
        <v>6665</v>
      </c>
      <c r="T166" t="s">
        <v>14047</v>
      </c>
      <c r="U166" t="s">
        <v>4559</v>
      </c>
      <c r="V166" t="s">
        <v>14051</v>
      </c>
      <c r="W166" t="s">
        <v>4727</v>
      </c>
    </row>
    <row r="167" spans="1:23">
      <c r="A167" t="s">
        <v>14043</v>
      </c>
      <c r="B167" t="s">
        <v>14043</v>
      </c>
      <c r="C167" t="s">
        <v>14044</v>
      </c>
      <c r="D167" t="s">
        <v>4517</v>
      </c>
      <c r="E167" t="s">
        <v>6248</v>
      </c>
      <c r="F167" t="s">
        <v>2655</v>
      </c>
      <c r="G167" t="s">
        <v>14043</v>
      </c>
      <c r="H167" t="s">
        <v>6243</v>
      </c>
      <c r="I167" t="s">
        <v>14057</v>
      </c>
      <c r="J167" t="s">
        <v>14046</v>
      </c>
      <c r="K167" t="s">
        <v>4517</v>
      </c>
      <c r="L167" t="s">
        <v>14052</v>
      </c>
      <c r="M167" t="s">
        <v>25</v>
      </c>
      <c r="N167" t="s">
        <v>14053</v>
      </c>
      <c r="O167" t="s">
        <v>4517</v>
      </c>
      <c r="P167" t="s">
        <v>14054</v>
      </c>
      <c r="Q167" t="s">
        <v>25</v>
      </c>
      <c r="R167" t="s">
        <v>14055</v>
      </c>
      <c r="S167" t="s">
        <v>6665</v>
      </c>
      <c r="T167" t="s">
        <v>14052</v>
      </c>
      <c r="U167" t="s">
        <v>4559</v>
      </c>
      <c r="V167" t="s">
        <v>14056</v>
      </c>
      <c r="W167" t="s">
        <v>4727</v>
      </c>
    </row>
    <row r="168" spans="1:23">
      <c r="A168" t="s">
        <v>14126</v>
      </c>
      <c r="B168" t="s">
        <v>14126</v>
      </c>
      <c r="C168" t="s">
        <v>14127</v>
      </c>
      <c r="D168" t="s">
        <v>4517</v>
      </c>
      <c r="E168" t="s">
        <v>14128</v>
      </c>
      <c r="F168" t="s">
        <v>2655</v>
      </c>
      <c r="G168" t="s">
        <v>14126</v>
      </c>
      <c r="H168" t="s">
        <v>6243</v>
      </c>
      <c r="I168" t="s">
        <v>14133</v>
      </c>
      <c r="J168" t="s">
        <v>14129</v>
      </c>
      <c r="K168" t="s">
        <v>4517</v>
      </c>
      <c r="L168" t="s">
        <v>14130</v>
      </c>
      <c r="M168" t="s">
        <v>25</v>
      </c>
      <c r="N168" t="s">
        <v>14131</v>
      </c>
      <c r="S168" t="s">
        <v>6665</v>
      </c>
      <c r="T168" t="s">
        <v>14130</v>
      </c>
      <c r="U168" t="s">
        <v>4559</v>
      </c>
      <c r="V168" t="s">
        <v>14132</v>
      </c>
      <c r="W168" t="s">
        <v>4727</v>
      </c>
    </row>
    <row r="169" spans="1:23">
      <c r="A169" t="s">
        <v>14149</v>
      </c>
      <c r="B169" t="s">
        <v>14149</v>
      </c>
      <c r="C169" t="s">
        <v>14166</v>
      </c>
      <c r="D169" t="s">
        <v>4517</v>
      </c>
      <c r="E169" t="s">
        <v>4553</v>
      </c>
      <c r="F169" t="s">
        <v>2655</v>
      </c>
      <c r="G169" t="s">
        <v>14148</v>
      </c>
      <c r="H169" t="s">
        <v>4376</v>
      </c>
      <c r="I169" t="s">
        <v>4799</v>
      </c>
      <c r="J169" t="s">
        <v>14165</v>
      </c>
      <c r="K169" t="s">
        <v>4517</v>
      </c>
      <c r="L169" t="s">
        <v>14171</v>
      </c>
      <c r="M169" t="s">
        <v>25</v>
      </c>
      <c r="N169" t="s">
        <v>14172</v>
      </c>
      <c r="O169" t="s">
        <v>4517</v>
      </c>
      <c r="P169" t="s">
        <v>14173</v>
      </c>
      <c r="Q169" t="s">
        <v>25</v>
      </c>
      <c r="R169" t="s">
        <v>14174</v>
      </c>
      <c r="S169" t="s">
        <v>6665</v>
      </c>
      <c r="T169" t="s">
        <v>14171</v>
      </c>
      <c r="U169" t="s">
        <v>4559</v>
      </c>
      <c r="V169" t="s">
        <v>14175</v>
      </c>
      <c r="W169" t="s">
        <v>4727</v>
      </c>
    </row>
    <row r="170" spans="1:23">
      <c r="A170" t="s">
        <v>14156</v>
      </c>
      <c r="B170" t="s">
        <v>14156</v>
      </c>
      <c r="C170" t="s">
        <v>14166</v>
      </c>
      <c r="D170" t="s">
        <v>4517</v>
      </c>
      <c r="E170" t="s">
        <v>4553</v>
      </c>
      <c r="F170" t="s">
        <v>2655</v>
      </c>
      <c r="G170" t="s">
        <v>14148</v>
      </c>
      <c r="H170" t="s">
        <v>4376</v>
      </c>
      <c r="I170" t="s">
        <v>4799</v>
      </c>
      <c r="J170" t="s">
        <v>14165</v>
      </c>
      <c r="K170" t="s">
        <v>4517</v>
      </c>
      <c r="L170" t="s">
        <v>14176</v>
      </c>
      <c r="M170" t="s">
        <v>25</v>
      </c>
      <c r="N170" t="s">
        <v>14177</v>
      </c>
      <c r="O170" t="s">
        <v>4517</v>
      </c>
      <c r="P170" t="s">
        <v>14178</v>
      </c>
      <c r="Q170" t="s">
        <v>25</v>
      </c>
      <c r="R170" t="s">
        <v>14179</v>
      </c>
      <c r="S170" t="s">
        <v>6665</v>
      </c>
      <c r="T170" t="s">
        <v>14176</v>
      </c>
      <c r="U170" t="s">
        <v>4559</v>
      </c>
      <c r="V170" t="s">
        <v>14180</v>
      </c>
      <c r="W170" t="s">
        <v>4727</v>
      </c>
    </row>
    <row r="171" spans="1:23">
      <c r="A171" t="s">
        <v>14150</v>
      </c>
      <c r="B171" t="s">
        <v>14150</v>
      </c>
      <c r="C171" t="s">
        <v>14167</v>
      </c>
      <c r="D171" t="s">
        <v>4517</v>
      </c>
      <c r="E171" t="s">
        <v>4553</v>
      </c>
      <c r="F171" t="s">
        <v>2655</v>
      </c>
      <c r="G171" t="s">
        <v>14148</v>
      </c>
      <c r="H171" t="s">
        <v>4376</v>
      </c>
      <c r="I171" t="s">
        <v>4799</v>
      </c>
      <c r="J171" t="s">
        <v>14165</v>
      </c>
      <c r="K171" t="s">
        <v>4517</v>
      </c>
      <c r="L171" t="s">
        <v>14181</v>
      </c>
      <c r="M171" t="s">
        <v>25</v>
      </c>
      <c r="N171" t="s">
        <v>14182</v>
      </c>
      <c r="O171" t="s">
        <v>4517</v>
      </c>
      <c r="P171" t="s">
        <v>14183</v>
      </c>
      <c r="Q171" t="s">
        <v>25</v>
      </c>
      <c r="R171" t="s">
        <v>14184</v>
      </c>
      <c r="S171" t="s">
        <v>6665</v>
      </c>
      <c r="T171" t="s">
        <v>14181</v>
      </c>
      <c r="U171" t="s">
        <v>4559</v>
      </c>
      <c r="V171" t="s">
        <v>14185</v>
      </c>
      <c r="W171" t="s">
        <v>4727</v>
      </c>
    </row>
    <row r="172" spans="1:23">
      <c r="A172" t="s">
        <v>14157</v>
      </c>
      <c r="B172" t="s">
        <v>14157</v>
      </c>
      <c r="C172" t="s">
        <v>14167</v>
      </c>
      <c r="D172" t="s">
        <v>4517</v>
      </c>
      <c r="E172" t="s">
        <v>4553</v>
      </c>
      <c r="F172" t="s">
        <v>2655</v>
      </c>
      <c r="G172" t="s">
        <v>14148</v>
      </c>
      <c r="H172" t="s">
        <v>4376</v>
      </c>
      <c r="I172" t="s">
        <v>4799</v>
      </c>
      <c r="J172" t="s">
        <v>14165</v>
      </c>
      <c r="K172" t="s">
        <v>4517</v>
      </c>
      <c r="L172" t="s">
        <v>14186</v>
      </c>
      <c r="M172" t="s">
        <v>25</v>
      </c>
      <c r="N172" t="s">
        <v>14187</v>
      </c>
      <c r="O172" t="s">
        <v>4517</v>
      </c>
      <c r="P172" t="s">
        <v>14188</v>
      </c>
      <c r="Q172" t="s">
        <v>25</v>
      </c>
      <c r="R172" t="s">
        <v>14189</v>
      </c>
      <c r="S172" t="s">
        <v>6665</v>
      </c>
      <c r="T172" t="s">
        <v>14186</v>
      </c>
      <c r="U172" t="s">
        <v>4559</v>
      </c>
      <c r="V172" t="s">
        <v>14190</v>
      </c>
      <c r="W172" t="s">
        <v>4727</v>
      </c>
    </row>
    <row r="173" spans="1:23">
      <c r="A173" t="s">
        <v>14151</v>
      </c>
      <c r="B173" t="s">
        <v>14151</v>
      </c>
      <c r="C173" t="s">
        <v>14168</v>
      </c>
      <c r="D173" t="s">
        <v>4517</v>
      </c>
      <c r="E173" t="s">
        <v>4553</v>
      </c>
      <c r="F173" t="s">
        <v>2655</v>
      </c>
      <c r="G173" t="s">
        <v>14148</v>
      </c>
      <c r="H173" t="s">
        <v>4376</v>
      </c>
      <c r="I173" t="s">
        <v>4799</v>
      </c>
      <c r="J173" t="s">
        <v>14165</v>
      </c>
      <c r="K173" t="s">
        <v>4517</v>
      </c>
      <c r="L173" t="s">
        <v>14191</v>
      </c>
      <c r="M173" t="s">
        <v>25</v>
      </c>
      <c r="N173" t="s">
        <v>14192</v>
      </c>
      <c r="O173" t="s">
        <v>4517</v>
      </c>
      <c r="P173" t="s">
        <v>14193</v>
      </c>
      <c r="Q173" t="s">
        <v>25</v>
      </c>
      <c r="R173" t="s">
        <v>14194</v>
      </c>
      <c r="S173" t="s">
        <v>6665</v>
      </c>
      <c r="T173" t="s">
        <v>14191</v>
      </c>
      <c r="U173" t="s">
        <v>4559</v>
      </c>
      <c r="V173" t="s">
        <v>14195</v>
      </c>
      <c r="W173" t="s">
        <v>4727</v>
      </c>
    </row>
    <row r="174" spans="1:23">
      <c r="A174" t="s">
        <v>14158</v>
      </c>
      <c r="B174" t="s">
        <v>14158</v>
      </c>
      <c r="C174" t="s">
        <v>14168</v>
      </c>
      <c r="D174" t="s">
        <v>4517</v>
      </c>
      <c r="E174" t="s">
        <v>4553</v>
      </c>
      <c r="F174" t="s">
        <v>2655</v>
      </c>
      <c r="G174" t="s">
        <v>14148</v>
      </c>
      <c r="H174" t="s">
        <v>4376</v>
      </c>
      <c r="I174" t="s">
        <v>4799</v>
      </c>
      <c r="J174" t="s">
        <v>14165</v>
      </c>
      <c r="K174" t="s">
        <v>4517</v>
      </c>
      <c r="L174" t="s">
        <v>14196</v>
      </c>
      <c r="M174" t="s">
        <v>25</v>
      </c>
      <c r="N174" t="s">
        <v>14197</v>
      </c>
      <c r="O174" t="s">
        <v>4517</v>
      </c>
      <c r="P174" t="s">
        <v>14198</v>
      </c>
      <c r="Q174" t="s">
        <v>25</v>
      </c>
      <c r="R174" t="s">
        <v>14199</v>
      </c>
      <c r="S174" t="s">
        <v>6665</v>
      </c>
      <c r="T174" t="s">
        <v>14196</v>
      </c>
      <c r="U174" t="s">
        <v>4559</v>
      </c>
      <c r="V174" t="s">
        <v>14200</v>
      </c>
      <c r="W174" t="s">
        <v>4727</v>
      </c>
    </row>
    <row r="175" spans="1:23">
      <c r="A175" t="s">
        <v>14152</v>
      </c>
      <c r="B175" t="s">
        <v>14152</v>
      </c>
      <c r="C175" t="s">
        <v>14169</v>
      </c>
      <c r="D175" t="s">
        <v>4517</v>
      </c>
      <c r="E175" t="s">
        <v>4553</v>
      </c>
      <c r="F175" t="s">
        <v>2655</v>
      </c>
      <c r="G175" t="s">
        <v>14148</v>
      </c>
      <c r="H175" t="s">
        <v>4376</v>
      </c>
      <c r="I175" t="s">
        <v>4799</v>
      </c>
      <c r="J175" t="s">
        <v>14165</v>
      </c>
      <c r="K175" t="s">
        <v>4517</v>
      </c>
      <c r="L175" t="s">
        <v>14201</v>
      </c>
      <c r="M175" t="s">
        <v>25</v>
      </c>
      <c r="N175" t="s">
        <v>14202</v>
      </c>
      <c r="O175" t="s">
        <v>4517</v>
      </c>
      <c r="P175" t="s">
        <v>14203</v>
      </c>
      <c r="Q175" t="s">
        <v>25</v>
      </c>
      <c r="R175" t="s">
        <v>14204</v>
      </c>
      <c r="S175" t="s">
        <v>6665</v>
      </c>
      <c r="T175" t="s">
        <v>14201</v>
      </c>
      <c r="U175" t="s">
        <v>4559</v>
      </c>
      <c r="V175" t="s">
        <v>14205</v>
      </c>
      <c r="W175" t="s">
        <v>4727</v>
      </c>
    </row>
    <row r="176" spans="1:23">
      <c r="A176" t="s">
        <v>14159</v>
      </c>
      <c r="B176" t="s">
        <v>14159</v>
      </c>
      <c r="C176" t="s">
        <v>14169</v>
      </c>
      <c r="D176" t="s">
        <v>4517</v>
      </c>
      <c r="E176" t="s">
        <v>4553</v>
      </c>
      <c r="F176" t="s">
        <v>2655</v>
      </c>
      <c r="G176" t="s">
        <v>14148</v>
      </c>
      <c r="H176" t="s">
        <v>4376</v>
      </c>
      <c r="I176" t="s">
        <v>4799</v>
      </c>
      <c r="J176" t="s">
        <v>14165</v>
      </c>
      <c r="K176" t="s">
        <v>4517</v>
      </c>
      <c r="L176" t="s">
        <v>14206</v>
      </c>
      <c r="M176" t="s">
        <v>25</v>
      </c>
      <c r="N176" t="s">
        <v>14207</v>
      </c>
      <c r="O176" t="s">
        <v>4517</v>
      </c>
      <c r="P176" t="s">
        <v>14208</v>
      </c>
      <c r="Q176" t="s">
        <v>25</v>
      </c>
      <c r="R176" t="s">
        <v>14209</v>
      </c>
      <c r="S176" t="s">
        <v>6665</v>
      </c>
      <c r="T176" t="s">
        <v>14206</v>
      </c>
      <c r="U176" t="s">
        <v>4559</v>
      </c>
      <c r="V176" t="s">
        <v>14210</v>
      </c>
      <c r="W176" t="s">
        <v>4727</v>
      </c>
    </row>
    <row r="177" spans="1:23">
      <c r="A177" t="s">
        <v>14153</v>
      </c>
      <c r="B177" t="s">
        <v>14153</v>
      </c>
      <c r="C177" t="s">
        <v>14170</v>
      </c>
      <c r="D177" t="s">
        <v>4517</v>
      </c>
      <c r="E177" t="s">
        <v>4553</v>
      </c>
      <c r="F177" t="s">
        <v>2655</v>
      </c>
      <c r="G177" t="s">
        <v>14148</v>
      </c>
      <c r="H177" t="s">
        <v>4376</v>
      </c>
      <c r="I177" t="s">
        <v>4799</v>
      </c>
      <c r="J177" t="s">
        <v>14165</v>
      </c>
      <c r="K177" t="s">
        <v>4517</v>
      </c>
      <c r="L177" t="s">
        <v>14211</v>
      </c>
      <c r="M177" t="s">
        <v>25</v>
      </c>
      <c r="N177" t="s">
        <v>14212</v>
      </c>
      <c r="O177" t="s">
        <v>4517</v>
      </c>
      <c r="P177" t="s">
        <v>14213</v>
      </c>
      <c r="Q177" t="s">
        <v>25</v>
      </c>
      <c r="R177" t="s">
        <v>14214</v>
      </c>
      <c r="S177" t="s">
        <v>6665</v>
      </c>
      <c r="T177" t="s">
        <v>14211</v>
      </c>
      <c r="U177" t="s">
        <v>4559</v>
      </c>
      <c r="V177" t="s">
        <v>14215</v>
      </c>
      <c r="W177" t="s">
        <v>4727</v>
      </c>
    </row>
    <row r="178" spans="1:23">
      <c r="A178" t="s">
        <v>14160</v>
      </c>
      <c r="B178" t="s">
        <v>14160</v>
      </c>
      <c r="C178" t="s">
        <v>14167</v>
      </c>
      <c r="D178" t="s">
        <v>4517</v>
      </c>
      <c r="E178" t="s">
        <v>4553</v>
      </c>
      <c r="F178" t="s">
        <v>2655</v>
      </c>
      <c r="G178" t="s">
        <v>14148</v>
      </c>
      <c r="H178" t="s">
        <v>4376</v>
      </c>
      <c r="I178" t="s">
        <v>4799</v>
      </c>
      <c r="J178" t="s">
        <v>14165</v>
      </c>
      <c r="K178" t="s">
        <v>4517</v>
      </c>
      <c r="L178" t="s">
        <v>14216</v>
      </c>
      <c r="M178" t="s">
        <v>25</v>
      </c>
      <c r="N178" t="s">
        <v>14217</v>
      </c>
      <c r="O178" t="s">
        <v>4517</v>
      </c>
      <c r="P178" t="s">
        <v>14218</v>
      </c>
      <c r="Q178" t="s">
        <v>25</v>
      </c>
      <c r="R178" t="s">
        <v>14219</v>
      </c>
      <c r="S178" t="s">
        <v>6665</v>
      </c>
      <c r="T178" t="s">
        <v>14216</v>
      </c>
      <c r="U178" t="s">
        <v>4559</v>
      </c>
      <c r="V178" t="s">
        <v>14220</v>
      </c>
      <c r="W178" t="s">
        <v>4727</v>
      </c>
    </row>
    <row r="179" spans="1:23">
      <c r="A179" t="s">
        <v>14154</v>
      </c>
      <c r="B179" t="s">
        <v>14154</v>
      </c>
      <c r="C179" t="s">
        <v>14167</v>
      </c>
      <c r="D179" t="s">
        <v>4517</v>
      </c>
      <c r="E179" t="s">
        <v>4553</v>
      </c>
      <c r="F179" t="s">
        <v>2655</v>
      </c>
      <c r="G179" t="s">
        <v>14148</v>
      </c>
      <c r="H179" t="s">
        <v>4376</v>
      </c>
      <c r="I179" t="s">
        <v>4799</v>
      </c>
      <c r="J179" t="s">
        <v>14165</v>
      </c>
      <c r="K179" t="s">
        <v>4517</v>
      </c>
      <c r="L179" t="s">
        <v>14221</v>
      </c>
      <c r="M179" t="s">
        <v>25</v>
      </c>
      <c r="N179" t="s">
        <v>14222</v>
      </c>
      <c r="O179" t="s">
        <v>4517</v>
      </c>
      <c r="P179" t="s">
        <v>14223</v>
      </c>
      <c r="Q179" t="s">
        <v>25</v>
      </c>
      <c r="R179" t="s">
        <v>14224</v>
      </c>
      <c r="S179" t="s">
        <v>6665</v>
      </c>
      <c r="T179" t="s">
        <v>14221</v>
      </c>
      <c r="U179" t="s">
        <v>4559</v>
      </c>
      <c r="V179" t="s">
        <v>14225</v>
      </c>
      <c r="W179" t="s">
        <v>4727</v>
      </c>
    </row>
    <row r="180" spans="1:23">
      <c r="A180" t="s">
        <v>14161</v>
      </c>
      <c r="B180" t="s">
        <v>14161</v>
      </c>
      <c r="C180" t="s">
        <v>14167</v>
      </c>
      <c r="D180" t="s">
        <v>4517</v>
      </c>
      <c r="E180" t="s">
        <v>4553</v>
      </c>
      <c r="F180" t="s">
        <v>2655</v>
      </c>
      <c r="G180" t="s">
        <v>14148</v>
      </c>
      <c r="H180" t="s">
        <v>4376</v>
      </c>
      <c r="I180" t="s">
        <v>4799</v>
      </c>
      <c r="J180" t="s">
        <v>14165</v>
      </c>
      <c r="K180" t="s">
        <v>4517</v>
      </c>
      <c r="L180" t="s">
        <v>14226</v>
      </c>
      <c r="M180" t="s">
        <v>25</v>
      </c>
      <c r="N180" t="s">
        <v>14227</v>
      </c>
      <c r="O180" t="s">
        <v>4517</v>
      </c>
      <c r="P180" t="s">
        <v>14228</v>
      </c>
      <c r="Q180" t="s">
        <v>25</v>
      </c>
      <c r="R180" t="s">
        <v>14229</v>
      </c>
      <c r="S180" t="s">
        <v>6665</v>
      </c>
      <c r="T180" t="s">
        <v>14226</v>
      </c>
      <c r="U180" t="s">
        <v>4559</v>
      </c>
      <c r="V180" t="s">
        <v>14230</v>
      </c>
      <c r="W180" t="s">
        <v>4727</v>
      </c>
    </row>
    <row r="181" spans="1:23">
      <c r="A181" t="s">
        <v>14155</v>
      </c>
      <c r="B181" t="s">
        <v>14155</v>
      </c>
      <c r="C181" t="s">
        <v>14167</v>
      </c>
      <c r="D181" t="s">
        <v>4517</v>
      </c>
      <c r="E181" t="s">
        <v>4553</v>
      </c>
      <c r="F181" t="s">
        <v>2655</v>
      </c>
      <c r="G181" t="s">
        <v>14148</v>
      </c>
      <c r="H181" t="s">
        <v>4376</v>
      </c>
      <c r="I181" t="s">
        <v>4799</v>
      </c>
      <c r="J181" t="s">
        <v>14165</v>
      </c>
      <c r="K181" t="s">
        <v>4517</v>
      </c>
      <c r="L181" t="s">
        <v>14231</v>
      </c>
      <c r="M181" t="s">
        <v>25</v>
      </c>
      <c r="N181" t="s">
        <v>14232</v>
      </c>
      <c r="O181" t="s">
        <v>4517</v>
      </c>
      <c r="P181" t="s">
        <v>14233</v>
      </c>
      <c r="Q181" t="s">
        <v>25</v>
      </c>
      <c r="R181" t="s">
        <v>14234</v>
      </c>
      <c r="S181" t="s">
        <v>6665</v>
      </c>
      <c r="T181" t="s">
        <v>14231</v>
      </c>
      <c r="U181" t="s">
        <v>4559</v>
      </c>
      <c r="V181" t="s">
        <v>14235</v>
      </c>
      <c r="W181" t="s">
        <v>4727</v>
      </c>
    </row>
    <row r="182" spans="1:23">
      <c r="A182" t="s">
        <v>14162</v>
      </c>
      <c r="B182" t="s">
        <v>14162</v>
      </c>
      <c r="C182" t="s">
        <v>14167</v>
      </c>
      <c r="D182" t="s">
        <v>4517</v>
      </c>
      <c r="E182" t="s">
        <v>4553</v>
      </c>
      <c r="F182" t="s">
        <v>2655</v>
      </c>
      <c r="G182" t="s">
        <v>14148</v>
      </c>
      <c r="H182" t="s">
        <v>4376</v>
      </c>
      <c r="I182" t="s">
        <v>4799</v>
      </c>
      <c r="J182" t="s">
        <v>14165</v>
      </c>
      <c r="K182" t="s">
        <v>4517</v>
      </c>
      <c r="L182" t="s">
        <v>14236</v>
      </c>
      <c r="M182" t="s">
        <v>25</v>
      </c>
      <c r="N182" t="s">
        <v>14237</v>
      </c>
      <c r="O182" t="s">
        <v>4517</v>
      </c>
      <c r="P182" t="s">
        <v>14238</v>
      </c>
      <c r="Q182" t="s">
        <v>25</v>
      </c>
      <c r="R182" t="s">
        <v>14239</v>
      </c>
      <c r="S182" t="s">
        <v>6665</v>
      </c>
      <c r="T182" t="s">
        <v>14236</v>
      </c>
      <c r="U182" t="s">
        <v>4559</v>
      </c>
      <c r="V182" t="s">
        <v>14240</v>
      </c>
      <c r="W182" t="s">
        <v>4727</v>
      </c>
    </row>
    <row r="183" spans="1:23">
      <c r="A183" t="s">
        <v>14163</v>
      </c>
      <c r="B183" t="s">
        <v>14163</v>
      </c>
      <c r="C183" t="s">
        <v>14167</v>
      </c>
      <c r="D183" t="s">
        <v>4517</v>
      </c>
      <c r="E183" t="s">
        <v>4553</v>
      </c>
      <c r="F183" t="s">
        <v>2655</v>
      </c>
      <c r="G183" t="s">
        <v>14148</v>
      </c>
      <c r="H183" t="s">
        <v>4376</v>
      </c>
      <c r="I183" t="s">
        <v>4799</v>
      </c>
      <c r="J183" t="s">
        <v>14165</v>
      </c>
      <c r="K183" t="s">
        <v>4517</v>
      </c>
      <c r="L183" t="s">
        <v>14241</v>
      </c>
      <c r="M183" t="s">
        <v>25</v>
      </c>
      <c r="N183" t="s">
        <v>14242</v>
      </c>
      <c r="O183" t="s">
        <v>4517</v>
      </c>
      <c r="P183" t="s">
        <v>14243</v>
      </c>
      <c r="Q183" t="s">
        <v>25</v>
      </c>
      <c r="R183" t="s">
        <v>14244</v>
      </c>
      <c r="S183" t="s">
        <v>6665</v>
      </c>
      <c r="T183" t="s">
        <v>14241</v>
      </c>
      <c r="U183" t="s">
        <v>4559</v>
      </c>
      <c r="V183" t="s">
        <v>14245</v>
      </c>
      <c r="W183" t="s">
        <v>4727</v>
      </c>
    </row>
    <row r="184" spans="1:23">
      <c r="A184" t="s">
        <v>14164</v>
      </c>
      <c r="B184" t="s">
        <v>14164</v>
      </c>
      <c r="C184" t="s">
        <v>14167</v>
      </c>
      <c r="D184" t="s">
        <v>4517</v>
      </c>
      <c r="E184" t="s">
        <v>4553</v>
      </c>
      <c r="F184" t="s">
        <v>2655</v>
      </c>
      <c r="G184" t="s">
        <v>14148</v>
      </c>
      <c r="H184" t="s">
        <v>4376</v>
      </c>
      <c r="I184" t="s">
        <v>4799</v>
      </c>
      <c r="J184" t="s">
        <v>14165</v>
      </c>
      <c r="K184" t="s">
        <v>4517</v>
      </c>
      <c r="L184" t="s">
        <v>14246</v>
      </c>
      <c r="M184" t="s">
        <v>25</v>
      </c>
      <c r="N184" t="s">
        <v>14247</v>
      </c>
      <c r="O184" t="s">
        <v>4517</v>
      </c>
      <c r="P184" t="s">
        <v>14248</v>
      </c>
      <c r="Q184" t="s">
        <v>25</v>
      </c>
      <c r="R184" t="s">
        <v>14249</v>
      </c>
      <c r="S184" t="s">
        <v>6665</v>
      </c>
      <c r="T184" t="s">
        <v>14250</v>
      </c>
      <c r="U184" t="s">
        <v>4559</v>
      </c>
      <c r="V184" t="s">
        <v>14251</v>
      </c>
      <c r="W184" t="s">
        <v>4727</v>
      </c>
    </row>
    <row r="185" spans="1:23">
      <c r="A185" t="s">
        <v>14252</v>
      </c>
      <c r="B185" t="s">
        <v>14252</v>
      </c>
      <c r="C185" t="s">
        <v>14253</v>
      </c>
      <c r="D185" t="s">
        <v>14254</v>
      </c>
      <c r="E185" t="s">
        <v>4372</v>
      </c>
      <c r="F185" t="s">
        <v>2655</v>
      </c>
      <c r="G185" t="s">
        <v>14255</v>
      </c>
      <c r="H185" t="s">
        <v>4376</v>
      </c>
      <c r="I185" t="s">
        <v>4798</v>
      </c>
      <c r="J185" t="s">
        <v>14256</v>
      </c>
      <c r="K185" t="s">
        <v>14257</v>
      </c>
      <c r="L185" t="s">
        <v>14252</v>
      </c>
      <c r="M185" t="s">
        <v>25</v>
      </c>
      <c r="N185" t="s">
        <v>14258</v>
      </c>
      <c r="S185" t="s">
        <v>14259</v>
      </c>
      <c r="T185" t="s">
        <v>14252</v>
      </c>
      <c r="U185" t="s">
        <v>4559</v>
      </c>
      <c r="V185" t="s">
        <v>14260</v>
      </c>
      <c r="W185" t="s">
        <v>4728</v>
      </c>
    </row>
    <row r="186" spans="1:23">
      <c r="A186" t="s">
        <v>14261</v>
      </c>
      <c r="B186" t="s">
        <v>14261</v>
      </c>
      <c r="C186" t="s">
        <v>14262</v>
      </c>
      <c r="D186" t="s">
        <v>14263</v>
      </c>
      <c r="E186" t="s">
        <v>14264</v>
      </c>
      <c r="F186" t="s">
        <v>2655</v>
      </c>
      <c r="G186" t="s">
        <v>14293</v>
      </c>
      <c r="J186" t="s">
        <v>14265</v>
      </c>
      <c r="S186" t="s">
        <v>14266</v>
      </c>
      <c r="T186" t="s">
        <v>14261</v>
      </c>
      <c r="U186" t="s">
        <v>4559</v>
      </c>
      <c r="V186" t="s">
        <v>14267</v>
      </c>
      <c r="W186" t="s">
        <v>4728</v>
      </c>
    </row>
    <row r="187" spans="1:23">
      <c r="A187" t="s">
        <v>14268</v>
      </c>
      <c r="B187" t="s">
        <v>14268</v>
      </c>
      <c r="C187" t="s">
        <v>14294</v>
      </c>
      <c r="D187" t="s">
        <v>14270</v>
      </c>
      <c r="E187" t="s">
        <v>14264</v>
      </c>
      <c r="F187" t="s">
        <v>2655</v>
      </c>
      <c r="G187" t="s">
        <v>14292</v>
      </c>
      <c r="J187" t="s">
        <v>14269</v>
      </c>
      <c r="S187" t="s">
        <v>14270</v>
      </c>
      <c r="T187" t="s">
        <v>14268</v>
      </c>
      <c r="U187" t="s">
        <v>4559</v>
      </c>
      <c r="V187" t="s">
        <v>14271</v>
      </c>
      <c r="W187" t="s">
        <v>4728</v>
      </c>
    </row>
    <row r="188" spans="1:23">
      <c r="A188" t="s">
        <v>14272</v>
      </c>
      <c r="B188" t="s">
        <v>14272</v>
      </c>
      <c r="C188" t="s">
        <v>14290</v>
      </c>
      <c r="D188" t="s">
        <v>14277</v>
      </c>
      <c r="E188" t="s">
        <v>14273</v>
      </c>
      <c r="F188" t="s">
        <v>2655</v>
      </c>
      <c r="G188" t="s">
        <v>14289</v>
      </c>
      <c r="H188" t="s">
        <v>4376</v>
      </c>
      <c r="I188" t="s">
        <v>12564</v>
      </c>
      <c r="J188" t="s">
        <v>14274</v>
      </c>
      <c r="S188" t="s">
        <v>14275</v>
      </c>
      <c r="T188" t="s">
        <v>14272</v>
      </c>
      <c r="U188" t="s">
        <v>4559</v>
      </c>
      <c r="V188" t="s">
        <v>14276</v>
      </c>
      <c r="W188" t="s">
        <v>4728</v>
      </c>
    </row>
    <row r="189" spans="1:23">
      <c r="A189" t="s">
        <v>14278</v>
      </c>
      <c r="B189" t="s">
        <v>14278</v>
      </c>
      <c r="C189" t="s">
        <v>14291</v>
      </c>
      <c r="D189" t="s">
        <v>14277</v>
      </c>
      <c r="E189" t="s">
        <v>14273</v>
      </c>
      <c r="F189" t="s">
        <v>2655</v>
      </c>
      <c r="G189" t="s">
        <v>14289</v>
      </c>
      <c r="H189" t="s">
        <v>4376</v>
      </c>
      <c r="I189" t="s">
        <v>12564</v>
      </c>
      <c r="J189" t="s">
        <v>14279</v>
      </c>
      <c r="S189" t="s">
        <v>14275</v>
      </c>
      <c r="T189" t="s">
        <v>14278</v>
      </c>
      <c r="U189" t="s">
        <v>4559</v>
      </c>
      <c r="V189" t="s">
        <v>14280</v>
      </c>
      <c r="W189" t="s">
        <v>4728</v>
      </c>
    </row>
    <row r="190" spans="1:23">
      <c r="A190" t="s">
        <v>14281</v>
      </c>
      <c r="B190" t="s">
        <v>14281</v>
      </c>
      <c r="C190" t="s">
        <v>14288</v>
      </c>
      <c r="D190" t="s">
        <v>10680</v>
      </c>
      <c r="E190" t="s">
        <v>14282</v>
      </c>
      <c r="F190" t="s">
        <v>2655</v>
      </c>
      <c r="G190" t="s">
        <v>14287</v>
      </c>
      <c r="H190" t="s">
        <v>6704</v>
      </c>
      <c r="I190" t="s">
        <v>6973</v>
      </c>
      <c r="J190" t="s">
        <v>14283</v>
      </c>
      <c r="K190" t="s">
        <v>7939</v>
      </c>
      <c r="L190" t="s">
        <v>14281</v>
      </c>
      <c r="M190" t="s">
        <v>25</v>
      </c>
      <c r="N190" t="s">
        <v>14284</v>
      </c>
      <c r="S190" t="s">
        <v>14285</v>
      </c>
      <c r="T190" t="s">
        <v>14281</v>
      </c>
      <c r="U190" t="s">
        <v>4559</v>
      </c>
      <c r="V190" t="s">
        <v>14286</v>
      </c>
      <c r="W190" t="s">
        <v>4728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12868</v>
      </c>
      <c r="D2" t="s">
        <v>4310</v>
      </c>
      <c r="F2" t="s">
        <v>11253</v>
      </c>
      <c r="G2" t="s">
        <v>6441</v>
      </c>
      <c r="H2" t="s">
        <v>4314</v>
      </c>
      <c r="I2" t="s">
        <v>12869</v>
      </c>
    </row>
    <row r="3" spans="1:23">
      <c r="A3" t="s">
        <v>12822</v>
      </c>
      <c r="B3" t="s">
        <v>12822</v>
      </c>
      <c r="C3" t="s">
        <v>12823</v>
      </c>
      <c r="D3" t="s">
        <v>4310</v>
      </c>
      <c r="F3" t="s">
        <v>11253</v>
      </c>
      <c r="G3" t="s">
        <v>12821</v>
      </c>
      <c r="H3" t="s">
        <v>4314</v>
      </c>
      <c r="I3" t="s">
        <v>12824</v>
      </c>
    </row>
    <row r="4" spans="1:23">
      <c r="A4" t="s">
        <v>12828</v>
      </c>
      <c r="B4" t="s">
        <v>12825</v>
      </c>
      <c r="C4" t="s">
        <v>12827</v>
      </c>
      <c r="D4" t="s">
        <v>4310</v>
      </c>
      <c r="F4" t="s">
        <v>11253</v>
      </c>
      <c r="G4" t="s">
        <v>12826</v>
      </c>
      <c r="H4" t="s">
        <v>4314</v>
      </c>
      <c r="I4" t="s">
        <v>12829</v>
      </c>
    </row>
    <row r="5" spans="1:23">
      <c r="A5" t="s">
        <v>12830</v>
      </c>
      <c r="B5" t="s">
        <v>12825</v>
      </c>
      <c r="C5" t="s">
        <v>12832</v>
      </c>
      <c r="D5" t="s">
        <v>4310</v>
      </c>
      <c r="F5" t="s">
        <v>11253</v>
      </c>
      <c r="G5" t="s">
        <v>12826</v>
      </c>
      <c r="H5" t="s">
        <v>4314</v>
      </c>
      <c r="I5" t="s">
        <v>12834</v>
      </c>
    </row>
    <row r="6" spans="1:23">
      <c r="A6" t="s">
        <v>12831</v>
      </c>
      <c r="B6" t="s">
        <v>12825</v>
      </c>
      <c r="C6" t="s">
        <v>12833</v>
      </c>
      <c r="D6" t="s">
        <v>4310</v>
      </c>
      <c r="F6" t="s">
        <v>11253</v>
      </c>
      <c r="G6" t="s">
        <v>12826</v>
      </c>
      <c r="H6" t="s">
        <v>4314</v>
      </c>
      <c r="I6" t="s">
        <v>12835</v>
      </c>
    </row>
    <row r="7" spans="1:23">
      <c r="A7" t="s">
        <v>12836</v>
      </c>
      <c r="B7" t="s">
        <v>12825</v>
      </c>
      <c r="C7" t="s">
        <v>12837</v>
      </c>
      <c r="D7" t="s">
        <v>4310</v>
      </c>
      <c r="F7" t="s">
        <v>11253</v>
      </c>
      <c r="G7" t="s">
        <v>12826</v>
      </c>
      <c r="H7" t="s">
        <v>4314</v>
      </c>
      <c r="I7" t="s">
        <v>12838</v>
      </c>
    </row>
    <row r="8" spans="1:23">
      <c r="A8" t="s">
        <v>12839</v>
      </c>
      <c r="B8" t="s">
        <v>12825</v>
      </c>
      <c r="C8" t="s">
        <v>12840</v>
      </c>
      <c r="D8" t="s">
        <v>4310</v>
      </c>
      <c r="F8" t="s">
        <v>11253</v>
      </c>
      <c r="G8" t="s">
        <v>12826</v>
      </c>
      <c r="H8" t="s">
        <v>4314</v>
      </c>
      <c r="I8" t="s">
        <v>12841</v>
      </c>
    </row>
    <row r="9" spans="1:23">
      <c r="A9" t="s">
        <v>12842</v>
      </c>
      <c r="B9" t="s">
        <v>12825</v>
      </c>
      <c r="C9" t="s">
        <v>12843</v>
      </c>
      <c r="D9" t="s">
        <v>4310</v>
      </c>
      <c r="F9" t="s">
        <v>11253</v>
      </c>
      <c r="G9" t="s">
        <v>12826</v>
      </c>
      <c r="H9" t="s">
        <v>4314</v>
      </c>
      <c r="I9" t="s">
        <v>12844</v>
      </c>
    </row>
    <row r="10" spans="1:23">
      <c r="A10" t="s">
        <v>12845</v>
      </c>
      <c r="B10" t="s">
        <v>12825</v>
      </c>
      <c r="C10" t="s">
        <v>12846</v>
      </c>
      <c r="D10" t="s">
        <v>4310</v>
      </c>
      <c r="F10" t="s">
        <v>11253</v>
      </c>
      <c r="G10" t="s">
        <v>12826</v>
      </c>
      <c r="H10" t="s">
        <v>4314</v>
      </c>
      <c r="I10" t="s">
        <v>12847</v>
      </c>
    </row>
    <row r="11" spans="1:23">
      <c r="A11" t="s">
        <v>12848</v>
      </c>
      <c r="B11" t="s">
        <v>12825</v>
      </c>
      <c r="C11" t="s">
        <v>12849</v>
      </c>
      <c r="D11" t="s">
        <v>4310</v>
      </c>
      <c r="F11" t="s">
        <v>11253</v>
      </c>
      <c r="G11" t="s">
        <v>12826</v>
      </c>
      <c r="H11" t="s">
        <v>4314</v>
      </c>
      <c r="I11" t="s">
        <v>12850</v>
      </c>
    </row>
    <row r="12" spans="1:23">
      <c r="A12" t="s">
        <v>12851</v>
      </c>
      <c r="B12" t="s">
        <v>12825</v>
      </c>
      <c r="C12" t="s">
        <v>12852</v>
      </c>
      <c r="D12" t="s">
        <v>4310</v>
      </c>
      <c r="F12" t="s">
        <v>11253</v>
      </c>
      <c r="G12" t="s">
        <v>12826</v>
      </c>
      <c r="H12" t="s">
        <v>4314</v>
      </c>
      <c r="I12" t="s">
        <v>12853</v>
      </c>
    </row>
    <row r="13" spans="1:23">
      <c r="A13" t="s">
        <v>12854</v>
      </c>
      <c r="B13" t="s">
        <v>12825</v>
      </c>
      <c r="C13" t="s">
        <v>12855</v>
      </c>
      <c r="D13" t="s">
        <v>4310</v>
      </c>
      <c r="F13" t="s">
        <v>11253</v>
      </c>
      <c r="G13" t="s">
        <v>12826</v>
      </c>
      <c r="H13" t="s">
        <v>4314</v>
      </c>
      <c r="I13" t="s">
        <v>12856</v>
      </c>
    </row>
    <row r="14" spans="1:23">
      <c r="A14" t="s">
        <v>12857</v>
      </c>
      <c r="B14" t="s">
        <v>12825</v>
      </c>
      <c r="C14" t="s">
        <v>12858</v>
      </c>
      <c r="D14" t="s">
        <v>4310</v>
      </c>
      <c r="F14" t="s">
        <v>11253</v>
      </c>
      <c r="G14" t="s">
        <v>12826</v>
      </c>
      <c r="H14" t="s">
        <v>4314</v>
      </c>
      <c r="I14" t="s">
        <v>12859</v>
      </c>
    </row>
    <row r="15" spans="1:23">
      <c r="A15" t="s">
        <v>12860</v>
      </c>
      <c r="B15" t="s">
        <v>12825</v>
      </c>
      <c r="C15" t="s">
        <v>12861</v>
      </c>
      <c r="D15" t="s">
        <v>4310</v>
      </c>
      <c r="F15" t="s">
        <v>11253</v>
      </c>
      <c r="G15" t="s">
        <v>12826</v>
      </c>
      <c r="H15" t="s">
        <v>4314</v>
      </c>
      <c r="I15" t="s">
        <v>12862</v>
      </c>
    </row>
    <row r="16" spans="1:23">
      <c r="A16" t="s">
        <v>12864</v>
      </c>
      <c r="B16" t="s">
        <v>12863</v>
      </c>
      <c r="C16" t="s">
        <v>12865</v>
      </c>
      <c r="D16" t="s">
        <v>4310</v>
      </c>
      <c r="F16" t="s">
        <v>11253</v>
      </c>
      <c r="G16" t="s">
        <v>12867</v>
      </c>
      <c r="H16" t="s">
        <v>4314</v>
      </c>
      <c r="I16" t="s">
        <v>12866</v>
      </c>
    </row>
    <row r="17" spans="1:9">
      <c r="A17" t="s">
        <v>12870</v>
      </c>
      <c r="B17" t="s">
        <v>12871</v>
      </c>
      <c r="C17" t="s">
        <v>12872</v>
      </c>
      <c r="D17" t="s">
        <v>4310</v>
      </c>
      <c r="F17" t="s">
        <v>11253</v>
      </c>
      <c r="G17" t="s">
        <v>12873</v>
      </c>
      <c r="H17" t="s">
        <v>4314</v>
      </c>
      <c r="I17" t="s">
        <v>12935</v>
      </c>
    </row>
    <row r="18" spans="1:9">
      <c r="A18" t="s">
        <v>12874</v>
      </c>
      <c r="B18" t="s">
        <v>12871</v>
      </c>
      <c r="C18" t="s">
        <v>12881</v>
      </c>
      <c r="D18" t="s">
        <v>4310</v>
      </c>
      <c r="F18" t="s">
        <v>11253</v>
      </c>
      <c r="G18" t="s">
        <v>12873</v>
      </c>
      <c r="H18" t="s">
        <v>4314</v>
      </c>
      <c r="I18" t="s">
        <v>12938</v>
      </c>
    </row>
    <row r="19" spans="1:9">
      <c r="A19" t="s">
        <v>12875</v>
      </c>
      <c r="B19" t="s">
        <v>12871</v>
      </c>
      <c r="C19" t="s">
        <v>12876</v>
      </c>
      <c r="D19" t="s">
        <v>4310</v>
      </c>
      <c r="F19" t="s">
        <v>11253</v>
      </c>
      <c r="G19" t="s">
        <v>12873</v>
      </c>
      <c r="H19" t="s">
        <v>4314</v>
      </c>
      <c r="I19" t="s">
        <v>12936</v>
      </c>
    </row>
    <row r="20" spans="1:9">
      <c r="A20" t="s">
        <v>12877</v>
      </c>
      <c r="B20" t="s">
        <v>12871</v>
      </c>
      <c r="C20" t="s">
        <v>12882</v>
      </c>
      <c r="D20" t="s">
        <v>4310</v>
      </c>
      <c r="F20" t="s">
        <v>11253</v>
      </c>
      <c r="G20" t="s">
        <v>12873</v>
      </c>
      <c r="H20" t="s">
        <v>4314</v>
      </c>
      <c r="I20" t="s">
        <v>12939</v>
      </c>
    </row>
    <row r="21" spans="1:9">
      <c r="A21" t="s">
        <v>12878</v>
      </c>
      <c r="B21" t="s">
        <v>12871</v>
      </c>
      <c r="C21" t="s">
        <v>12879</v>
      </c>
      <c r="D21" t="s">
        <v>4310</v>
      </c>
      <c r="F21" t="s">
        <v>11253</v>
      </c>
      <c r="G21" t="s">
        <v>12873</v>
      </c>
      <c r="H21" t="s">
        <v>4314</v>
      </c>
      <c r="I21" t="s">
        <v>12937</v>
      </c>
    </row>
    <row r="22" spans="1:9">
      <c r="A22" t="s">
        <v>12880</v>
      </c>
      <c r="B22" t="s">
        <v>12871</v>
      </c>
      <c r="C22" t="s">
        <v>12883</v>
      </c>
      <c r="D22" t="s">
        <v>4310</v>
      </c>
      <c r="F22" t="s">
        <v>11253</v>
      </c>
      <c r="G22" t="s">
        <v>12873</v>
      </c>
      <c r="H22" t="s">
        <v>4314</v>
      </c>
      <c r="I22" t="s">
        <v>12940</v>
      </c>
    </row>
    <row r="23" spans="1:9">
      <c r="A23" t="s">
        <v>12884</v>
      </c>
      <c r="B23" t="s">
        <v>12885</v>
      </c>
      <c r="C23" t="s">
        <v>12886</v>
      </c>
      <c r="D23" t="s">
        <v>4310</v>
      </c>
      <c r="F23" t="s">
        <v>11253</v>
      </c>
      <c r="G23" t="s">
        <v>12887</v>
      </c>
      <c r="H23" t="s">
        <v>4314</v>
      </c>
      <c r="I23" t="s">
        <v>12888</v>
      </c>
    </row>
    <row r="24" spans="1:9">
      <c r="A24" t="s">
        <v>12889</v>
      </c>
      <c r="B24" t="s">
        <v>12885</v>
      </c>
      <c r="C24" t="s">
        <v>12890</v>
      </c>
      <c r="D24" t="s">
        <v>4310</v>
      </c>
      <c r="F24" t="s">
        <v>11253</v>
      </c>
      <c r="G24" t="s">
        <v>12887</v>
      </c>
      <c r="H24" t="s">
        <v>4314</v>
      </c>
      <c r="I24" t="s">
        <v>12891</v>
      </c>
    </row>
    <row r="25" spans="1:9">
      <c r="A25" t="s">
        <v>12892</v>
      </c>
      <c r="B25" t="s">
        <v>12885</v>
      </c>
      <c r="C25" t="s">
        <v>12893</v>
      </c>
      <c r="D25" t="s">
        <v>4310</v>
      </c>
      <c r="F25" t="s">
        <v>11253</v>
      </c>
      <c r="G25" t="s">
        <v>12887</v>
      </c>
      <c r="H25" t="s">
        <v>4314</v>
      </c>
      <c r="I25" t="s">
        <v>12894</v>
      </c>
    </row>
    <row r="26" spans="1:9">
      <c r="A26" t="s">
        <v>12895</v>
      </c>
      <c r="B26" t="s">
        <v>12885</v>
      </c>
      <c r="C26" t="s">
        <v>12896</v>
      </c>
      <c r="D26" t="s">
        <v>4310</v>
      </c>
      <c r="F26" t="s">
        <v>11253</v>
      </c>
      <c r="G26" t="s">
        <v>12887</v>
      </c>
      <c r="H26" t="s">
        <v>4314</v>
      </c>
      <c r="I26" t="s">
        <v>12897</v>
      </c>
    </row>
    <row r="27" spans="1:9">
      <c r="A27" t="s">
        <v>12898</v>
      </c>
      <c r="B27" t="s">
        <v>12885</v>
      </c>
      <c r="C27" t="s">
        <v>12899</v>
      </c>
      <c r="D27" t="s">
        <v>4310</v>
      </c>
      <c r="F27" t="s">
        <v>11253</v>
      </c>
      <c r="G27" t="s">
        <v>12887</v>
      </c>
      <c r="H27" t="s">
        <v>4314</v>
      </c>
      <c r="I27" t="s">
        <v>12900</v>
      </c>
    </row>
    <row r="28" spans="1:9">
      <c r="A28" t="s">
        <v>12901</v>
      </c>
      <c r="B28" t="s">
        <v>12902</v>
      </c>
      <c r="C28" t="s">
        <v>12903</v>
      </c>
      <c r="D28" t="s">
        <v>4310</v>
      </c>
      <c r="F28" t="s">
        <v>11253</v>
      </c>
      <c r="G28" t="s">
        <v>12887</v>
      </c>
      <c r="H28" t="s">
        <v>4314</v>
      </c>
      <c r="I28" t="s">
        <v>12904</v>
      </c>
    </row>
    <row r="29" spans="1:9">
      <c r="A29" t="s">
        <v>12908</v>
      </c>
      <c r="B29" t="s">
        <v>12902</v>
      </c>
      <c r="C29" t="s">
        <v>12906</v>
      </c>
      <c r="D29" t="s">
        <v>4310</v>
      </c>
      <c r="F29" t="s">
        <v>11253</v>
      </c>
      <c r="G29" t="s">
        <v>12887</v>
      </c>
      <c r="H29" t="s">
        <v>4314</v>
      </c>
      <c r="I29" t="s">
        <v>12907</v>
      </c>
    </row>
    <row r="30" spans="1:9">
      <c r="A30" t="s">
        <v>12905</v>
      </c>
      <c r="B30" t="s">
        <v>12902</v>
      </c>
      <c r="C30" t="s">
        <v>12909</v>
      </c>
      <c r="D30" t="s">
        <v>4310</v>
      </c>
      <c r="F30" t="s">
        <v>11253</v>
      </c>
      <c r="G30" t="s">
        <v>12887</v>
      </c>
      <c r="H30" t="s">
        <v>4314</v>
      </c>
      <c r="I30" t="s">
        <v>12910</v>
      </c>
    </row>
    <row r="31" spans="1:9">
      <c r="A31" t="s">
        <v>13618</v>
      </c>
      <c r="B31" t="s">
        <v>13619</v>
      </c>
      <c r="C31" t="s">
        <v>13620</v>
      </c>
      <c r="D31" t="s">
        <v>4310</v>
      </c>
      <c r="F31" t="s">
        <v>11253</v>
      </c>
      <c r="G31" t="s">
        <v>12887</v>
      </c>
      <c r="H31" t="s">
        <v>4314</v>
      </c>
      <c r="I31" t="s">
        <v>13621</v>
      </c>
    </row>
    <row r="32" spans="1:9">
      <c r="A32" t="s">
        <v>13622</v>
      </c>
      <c r="B32" t="s">
        <v>13619</v>
      </c>
      <c r="C32" t="s">
        <v>13623</v>
      </c>
      <c r="D32" t="s">
        <v>4310</v>
      </c>
      <c r="F32" t="s">
        <v>11253</v>
      </c>
      <c r="G32" t="s">
        <v>12887</v>
      </c>
      <c r="H32" t="s">
        <v>4314</v>
      </c>
      <c r="I32" t="s">
        <v>13624</v>
      </c>
    </row>
    <row r="33" spans="1:9">
      <c r="A33" t="s">
        <v>13625</v>
      </c>
      <c r="B33" t="s">
        <v>13619</v>
      </c>
      <c r="C33" t="s">
        <v>13626</v>
      </c>
      <c r="D33" t="s">
        <v>4310</v>
      </c>
      <c r="F33" t="s">
        <v>11253</v>
      </c>
      <c r="G33" t="s">
        <v>12887</v>
      </c>
      <c r="H33" t="s">
        <v>4314</v>
      </c>
      <c r="I33" t="s">
        <v>13627</v>
      </c>
    </row>
    <row r="34" spans="1:9">
      <c r="A34" t="s">
        <v>13628</v>
      </c>
      <c r="B34" t="s">
        <v>13619</v>
      </c>
      <c r="C34" t="s">
        <v>13629</v>
      </c>
      <c r="D34" t="s">
        <v>4310</v>
      </c>
      <c r="F34" t="s">
        <v>11253</v>
      </c>
      <c r="G34" t="s">
        <v>12887</v>
      </c>
      <c r="H34" t="s">
        <v>4314</v>
      </c>
      <c r="I34" t="s">
        <v>13630</v>
      </c>
    </row>
    <row r="35" spans="1:9">
      <c r="A35" t="s">
        <v>13631</v>
      </c>
      <c r="B35" t="s">
        <v>13619</v>
      </c>
      <c r="C35" t="s">
        <v>13632</v>
      </c>
      <c r="D35" t="s">
        <v>4310</v>
      </c>
      <c r="F35" t="s">
        <v>11253</v>
      </c>
      <c r="G35" t="s">
        <v>12887</v>
      </c>
      <c r="H35" t="s">
        <v>4314</v>
      </c>
      <c r="I35" t="s">
        <v>13633</v>
      </c>
    </row>
    <row r="36" spans="1:9">
      <c r="A36" t="s">
        <v>13634</v>
      </c>
      <c r="B36" t="s">
        <v>13619</v>
      </c>
      <c r="C36" t="s">
        <v>13635</v>
      </c>
      <c r="D36" t="s">
        <v>4310</v>
      </c>
      <c r="F36" t="s">
        <v>11253</v>
      </c>
      <c r="G36" t="s">
        <v>12887</v>
      </c>
      <c r="H36" t="s">
        <v>4314</v>
      </c>
      <c r="I36" t="s">
        <v>13636</v>
      </c>
    </row>
    <row r="37" spans="1:9">
      <c r="A37" t="s">
        <v>13866</v>
      </c>
      <c r="B37" t="s">
        <v>13867</v>
      </c>
      <c r="C37" t="s">
        <v>13879</v>
      </c>
      <c r="D37" t="s">
        <v>4310</v>
      </c>
      <c r="F37" t="s">
        <v>11253</v>
      </c>
      <c r="G37" t="s">
        <v>12887</v>
      </c>
      <c r="H37" t="s">
        <v>4314</v>
      </c>
      <c r="I37" t="s">
        <v>13873</v>
      </c>
    </row>
    <row r="38" spans="1:9">
      <c r="A38" t="s">
        <v>13885</v>
      </c>
      <c r="B38" t="s">
        <v>13867</v>
      </c>
      <c r="C38" t="s">
        <v>13891</v>
      </c>
      <c r="D38" t="s">
        <v>4310</v>
      </c>
      <c r="F38" t="s">
        <v>11253</v>
      </c>
      <c r="G38" t="s">
        <v>12887</v>
      </c>
      <c r="H38" t="s">
        <v>4314</v>
      </c>
      <c r="I38" t="s">
        <v>13897</v>
      </c>
    </row>
    <row r="39" spans="1:9">
      <c r="A39" t="s">
        <v>13868</v>
      </c>
      <c r="B39" t="s">
        <v>13867</v>
      </c>
      <c r="C39" t="s">
        <v>13880</v>
      </c>
      <c r="D39" t="s">
        <v>4310</v>
      </c>
      <c r="F39" t="s">
        <v>11253</v>
      </c>
      <c r="G39" t="s">
        <v>12887</v>
      </c>
      <c r="H39" t="s">
        <v>4314</v>
      </c>
      <c r="I39" t="s">
        <v>13874</v>
      </c>
    </row>
    <row r="40" spans="1:9">
      <c r="A40" t="s">
        <v>13886</v>
      </c>
      <c r="B40" t="s">
        <v>13867</v>
      </c>
      <c r="C40" t="s">
        <v>13892</v>
      </c>
      <c r="D40" t="s">
        <v>4310</v>
      </c>
      <c r="F40" t="s">
        <v>11253</v>
      </c>
      <c r="G40" t="s">
        <v>12887</v>
      </c>
      <c r="H40" t="s">
        <v>4314</v>
      </c>
      <c r="I40" t="s">
        <v>13898</v>
      </c>
    </row>
    <row r="41" spans="1:9">
      <c r="A41" t="s">
        <v>13869</v>
      </c>
      <c r="B41" t="s">
        <v>13867</v>
      </c>
      <c r="C41" t="s">
        <v>13881</v>
      </c>
      <c r="D41" t="s">
        <v>4310</v>
      </c>
      <c r="F41" t="s">
        <v>11253</v>
      </c>
      <c r="G41" t="s">
        <v>12887</v>
      </c>
      <c r="H41" t="s">
        <v>4314</v>
      </c>
      <c r="I41" t="s">
        <v>13875</v>
      </c>
    </row>
    <row r="42" spans="1:9">
      <c r="A42" t="s">
        <v>13887</v>
      </c>
      <c r="B42" t="s">
        <v>13867</v>
      </c>
      <c r="C42" t="s">
        <v>13893</v>
      </c>
      <c r="D42" t="s">
        <v>4310</v>
      </c>
      <c r="F42" t="s">
        <v>11253</v>
      </c>
      <c r="G42" t="s">
        <v>12887</v>
      </c>
      <c r="H42" t="s">
        <v>4314</v>
      </c>
      <c r="I42" t="s">
        <v>13899</v>
      </c>
    </row>
    <row r="43" spans="1:9">
      <c r="A43" t="s">
        <v>13870</v>
      </c>
      <c r="B43" t="s">
        <v>13867</v>
      </c>
      <c r="C43" t="s">
        <v>13882</v>
      </c>
      <c r="D43" t="s">
        <v>4310</v>
      </c>
      <c r="F43" t="s">
        <v>11253</v>
      </c>
      <c r="G43" t="s">
        <v>12887</v>
      </c>
      <c r="H43" t="s">
        <v>4314</v>
      </c>
      <c r="I43" t="s">
        <v>13876</v>
      </c>
    </row>
    <row r="44" spans="1:9">
      <c r="A44" t="s">
        <v>13888</v>
      </c>
      <c r="B44" t="s">
        <v>13867</v>
      </c>
      <c r="C44" t="s">
        <v>13894</v>
      </c>
      <c r="D44" t="s">
        <v>4310</v>
      </c>
      <c r="F44" t="s">
        <v>11253</v>
      </c>
      <c r="G44" t="s">
        <v>12887</v>
      </c>
      <c r="H44" t="s">
        <v>4314</v>
      </c>
      <c r="I44" t="s">
        <v>13900</v>
      </c>
    </row>
    <row r="45" spans="1:9">
      <c r="A45" t="s">
        <v>13871</v>
      </c>
      <c r="B45" t="s">
        <v>13867</v>
      </c>
      <c r="C45" t="s">
        <v>13883</v>
      </c>
      <c r="D45" t="s">
        <v>4310</v>
      </c>
      <c r="F45" t="s">
        <v>11253</v>
      </c>
      <c r="G45" t="s">
        <v>12887</v>
      </c>
      <c r="H45" t="s">
        <v>4314</v>
      </c>
      <c r="I45" t="s">
        <v>13877</v>
      </c>
    </row>
    <row r="46" spans="1:9">
      <c r="A46" t="s">
        <v>13889</v>
      </c>
      <c r="B46" t="s">
        <v>13867</v>
      </c>
      <c r="C46" t="s">
        <v>13895</v>
      </c>
      <c r="D46" t="s">
        <v>4310</v>
      </c>
      <c r="F46" t="s">
        <v>11253</v>
      </c>
      <c r="G46" t="s">
        <v>12887</v>
      </c>
      <c r="H46" t="s">
        <v>4314</v>
      </c>
      <c r="I46" t="s">
        <v>13901</v>
      </c>
    </row>
    <row r="47" spans="1:9">
      <c r="A47" t="s">
        <v>13872</v>
      </c>
      <c r="B47" t="s">
        <v>13867</v>
      </c>
      <c r="C47" t="s">
        <v>13884</v>
      </c>
      <c r="D47" t="s">
        <v>4310</v>
      </c>
      <c r="F47" t="s">
        <v>11253</v>
      </c>
      <c r="G47" t="s">
        <v>12887</v>
      </c>
      <c r="H47" t="s">
        <v>4314</v>
      </c>
      <c r="I47" t="s">
        <v>13878</v>
      </c>
    </row>
    <row r="48" spans="1:9">
      <c r="A48" t="s">
        <v>13890</v>
      </c>
      <c r="B48" t="s">
        <v>13867</v>
      </c>
      <c r="C48" t="s">
        <v>13896</v>
      </c>
      <c r="D48" t="s">
        <v>4310</v>
      </c>
      <c r="F48" t="s">
        <v>11253</v>
      </c>
      <c r="G48" t="s">
        <v>12887</v>
      </c>
      <c r="H48" t="s">
        <v>4314</v>
      </c>
      <c r="I48" t="s">
        <v>13902</v>
      </c>
    </row>
    <row r="49" spans="1:9">
      <c r="A49" t="s">
        <v>14112</v>
      </c>
      <c r="B49" t="s">
        <v>12912</v>
      </c>
      <c r="C49" t="s">
        <v>14113</v>
      </c>
      <c r="D49" t="s">
        <v>4310</v>
      </c>
      <c r="F49" t="s">
        <v>11253</v>
      </c>
      <c r="G49" t="s">
        <v>12887</v>
      </c>
      <c r="H49" t="s">
        <v>4314</v>
      </c>
      <c r="I49" t="s">
        <v>14114</v>
      </c>
    </row>
    <row r="50" spans="1:9">
      <c r="A50" t="s">
        <v>14118</v>
      </c>
      <c r="B50" t="s">
        <v>12912</v>
      </c>
      <c r="C50" t="s">
        <v>14119</v>
      </c>
      <c r="D50" t="s">
        <v>4310</v>
      </c>
      <c r="F50" t="s">
        <v>11253</v>
      </c>
      <c r="G50" t="s">
        <v>12887</v>
      </c>
      <c r="H50" t="s">
        <v>4314</v>
      </c>
      <c r="I50" t="s">
        <v>14120</v>
      </c>
    </row>
    <row r="51" spans="1:9">
      <c r="A51" t="s">
        <v>14115</v>
      </c>
      <c r="B51" t="s">
        <v>12912</v>
      </c>
      <c r="C51" t="s">
        <v>14116</v>
      </c>
      <c r="D51" t="s">
        <v>4310</v>
      </c>
      <c r="F51" t="s">
        <v>11253</v>
      </c>
      <c r="G51" t="s">
        <v>12887</v>
      </c>
      <c r="H51" t="s">
        <v>4314</v>
      </c>
      <c r="I51" t="s">
        <v>14117</v>
      </c>
    </row>
    <row r="52" spans="1:9">
      <c r="A52" t="s">
        <v>12911</v>
      </c>
      <c r="B52" t="s">
        <v>12912</v>
      </c>
      <c r="C52" t="s">
        <v>12913</v>
      </c>
      <c r="D52" t="s">
        <v>4310</v>
      </c>
      <c r="F52" t="s">
        <v>11253</v>
      </c>
      <c r="G52" t="s">
        <v>12887</v>
      </c>
      <c r="H52" t="s">
        <v>4314</v>
      </c>
      <c r="I52" t="s">
        <v>12914</v>
      </c>
    </row>
    <row r="53" spans="1:9">
      <c r="A53" t="s">
        <v>12915</v>
      </c>
      <c r="B53" t="s">
        <v>12912</v>
      </c>
      <c r="C53" t="s">
        <v>12916</v>
      </c>
      <c r="D53" t="s">
        <v>4310</v>
      </c>
      <c r="F53" t="s">
        <v>11253</v>
      </c>
      <c r="G53" t="s">
        <v>12887</v>
      </c>
      <c r="H53" t="s">
        <v>4314</v>
      </c>
      <c r="I53" t="s">
        <v>12917</v>
      </c>
    </row>
    <row r="54" spans="1:9">
      <c r="A54" t="s">
        <v>12918</v>
      </c>
      <c r="B54" t="s">
        <v>12912</v>
      </c>
      <c r="C54" t="s">
        <v>12919</v>
      </c>
      <c r="D54" t="s">
        <v>4310</v>
      </c>
      <c r="F54" t="s">
        <v>11253</v>
      </c>
      <c r="G54" t="s">
        <v>12887</v>
      </c>
      <c r="H54" t="s">
        <v>4314</v>
      </c>
      <c r="I54" t="s">
        <v>12920</v>
      </c>
    </row>
    <row r="55" spans="1:9">
      <c r="A55" t="s">
        <v>12921</v>
      </c>
      <c r="B55" t="s">
        <v>12912</v>
      </c>
      <c r="C55" t="s">
        <v>12922</v>
      </c>
      <c r="D55" t="s">
        <v>4310</v>
      </c>
      <c r="F55" t="s">
        <v>11253</v>
      </c>
      <c r="G55" t="s">
        <v>12887</v>
      </c>
      <c r="H55" t="s">
        <v>4314</v>
      </c>
      <c r="I55" t="s">
        <v>12923</v>
      </c>
    </row>
    <row r="56" spans="1:9">
      <c r="A56" t="s">
        <v>12924</v>
      </c>
      <c r="B56" t="s">
        <v>12912</v>
      </c>
      <c r="C56" t="s">
        <v>12925</v>
      </c>
      <c r="D56" t="s">
        <v>4310</v>
      </c>
      <c r="F56" t="s">
        <v>11253</v>
      </c>
      <c r="G56" t="s">
        <v>12887</v>
      </c>
      <c r="H56" t="s">
        <v>4314</v>
      </c>
      <c r="I56" t="s">
        <v>12926</v>
      </c>
    </row>
    <row r="57" spans="1:9">
      <c r="A57" t="s">
        <v>13485</v>
      </c>
      <c r="B57" t="s">
        <v>13476</v>
      </c>
      <c r="C57" t="s">
        <v>13487</v>
      </c>
      <c r="D57" t="s">
        <v>4310</v>
      </c>
      <c r="F57" t="s">
        <v>11253</v>
      </c>
      <c r="G57" t="s">
        <v>13497</v>
      </c>
      <c r="H57" t="s">
        <v>4314</v>
      </c>
      <c r="I57" t="s">
        <v>13486</v>
      </c>
    </row>
    <row r="58" spans="1:9">
      <c r="A58" t="s">
        <v>13475</v>
      </c>
      <c r="B58" t="s">
        <v>13476</v>
      </c>
      <c r="C58" t="s">
        <v>13488</v>
      </c>
      <c r="D58" t="s">
        <v>4310</v>
      </c>
      <c r="F58" t="s">
        <v>11253</v>
      </c>
      <c r="G58" t="s">
        <v>13497</v>
      </c>
      <c r="H58" t="s">
        <v>4314</v>
      </c>
      <c r="I58" t="s">
        <v>13466</v>
      </c>
    </row>
    <row r="59" spans="1:9">
      <c r="A59" t="s">
        <v>13477</v>
      </c>
      <c r="B59" t="s">
        <v>13476</v>
      </c>
      <c r="C59" t="s">
        <v>13489</v>
      </c>
      <c r="D59" t="s">
        <v>4310</v>
      </c>
      <c r="F59" t="s">
        <v>11253</v>
      </c>
      <c r="G59" t="s">
        <v>13497</v>
      </c>
      <c r="H59" t="s">
        <v>4314</v>
      </c>
      <c r="I59" t="s">
        <v>13467</v>
      </c>
    </row>
    <row r="60" spans="1:9">
      <c r="A60" t="s">
        <v>13478</v>
      </c>
      <c r="B60" t="s">
        <v>13476</v>
      </c>
      <c r="C60" t="s">
        <v>13490</v>
      </c>
      <c r="D60" t="s">
        <v>4310</v>
      </c>
      <c r="F60" t="s">
        <v>11253</v>
      </c>
      <c r="G60" t="s">
        <v>13497</v>
      </c>
      <c r="H60" t="s">
        <v>4314</v>
      </c>
      <c r="I60" t="s">
        <v>13468</v>
      </c>
    </row>
    <row r="61" spans="1:9">
      <c r="A61" t="s">
        <v>13479</v>
      </c>
      <c r="B61" t="s">
        <v>13476</v>
      </c>
      <c r="C61" t="s">
        <v>13491</v>
      </c>
      <c r="D61" t="s">
        <v>4310</v>
      </c>
      <c r="F61" t="s">
        <v>11253</v>
      </c>
      <c r="G61" t="s">
        <v>13497</v>
      </c>
      <c r="H61" t="s">
        <v>4314</v>
      </c>
      <c r="I61" t="s">
        <v>13469</v>
      </c>
    </row>
    <row r="62" spans="1:9">
      <c r="A62" t="s">
        <v>13480</v>
      </c>
      <c r="B62" t="s">
        <v>13476</v>
      </c>
      <c r="C62" t="s">
        <v>13492</v>
      </c>
      <c r="D62" t="s">
        <v>4310</v>
      </c>
      <c r="F62" t="s">
        <v>11253</v>
      </c>
      <c r="G62" t="s">
        <v>13497</v>
      </c>
      <c r="H62" t="s">
        <v>4314</v>
      </c>
      <c r="I62" t="s">
        <v>13470</v>
      </c>
    </row>
    <row r="63" spans="1:9">
      <c r="A63" t="s">
        <v>13481</v>
      </c>
      <c r="B63" t="s">
        <v>13476</v>
      </c>
      <c r="C63" t="s">
        <v>13493</v>
      </c>
      <c r="D63" t="s">
        <v>4310</v>
      </c>
      <c r="F63" t="s">
        <v>11253</v>
      </c>
      <c r="G63" t="s">
        <v>13497</v>
      </c>
      <c r="H63" t="s">
        <v>4314</v>
      </c>
      <c r="I63" t="s">
        <v>13471</v>
      </c>
    </row>
    <row r="64" spans="1:9">
      <c r="A64" t="s">
        <v>13482</v>
      </c>
      <c r="B64" t="s">
        <v>13476</v>
      </c>
      <c r="C64" t="s">
        <v>13494</v>
      </c>
      <c r="D64" t="s">
        <v>4310</v>
      </c>
      <c r="F64" t="s">
        <v>11253</v>
      </c>
      <c r="G64" t="s">
        <v>13497</v>
      </c>
      <c r="H64" t="s">
        <v>4314</v>
      </c>
      <c r="I64" t="s">
        <v>13472</v>
      </c>
    </row>
    <row r="65" spans="1:23">
      <c r="A65" t="s">
        <v>13483</v>
      </c>
      <c r="B65" t="s">
        <v>13476</v>
      </c>
      <c r="C65" t="s">
        <v>13495</v>
      </c>
      <c r="D65" t="s">
        <v>4310</v>
      </c>
      <c r="F65" t="s">
        <v>11253</v>
      </c>
      <c r="G65" t="s">
        <v>13497</v>
      </c>
      <c r="H65" t="s">
        <v>4314</v>
      </c>
      <c r="I65" t="s">
        <v>13473</v>
      </c>
    </row>
    <row r="66" spans="1:23">
      <c r="A66" t="s">
        <v>13484</v>
      </c>
      <c r="B66" t="s">
        <v>13476</v>
      </c>
      <c r="C66" t="s">
        <v>13496</v>
      </c>
      <c r="D66" t="s">
        <v>4310</v>
      </c>
      <c r="F66" t="s">
        <v>11253</v>
      </c>
      <c r="G66" t="s">
        <v>13497</v>
      </c>
      <c r="H66" t="s">
        <v>4314</v>
      </c>
      <c r="I66" t="s">
        <v>13474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10964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10964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8058</v>
      </c>
      <c r="B95" t="s">
        <v>8058</v>
      </c>
      <c r="C95" t="s">
        <v>8058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8057</v>
      </c>
      <c r="J95" t="s">
        <v>8058</v>
      </c>
      <c r="K95" t="s">
        <v>8059</v>
      </c>
      <c r="L95" t="s">
        <v>8060</v>
      </c>
      <c r="M95" t="s">
        <v>25</v>
      </c>
      <c r="N95" t="s">
        <v>8061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8059</v>
      </c>
      <c r="L96" t="s">
        <v>7836</v>
      </c>
      <c r="M96" t="s">
        <v>25</v>
      </c>
      <c r="N96" t="s">
        <v>7837</v>
      </c>
    </row>
    <row r="97" spans="1:14">
      <c r="A97" t="s">
        <v>7989</v>
      </c>
      <c r="B97" t="s">
        <v>7989</v>
      </c>
      <c r="C97" t="s">
        <v>7989</v>
      </c>
      <c r="D97" t="s">
        <v>4310</v>
      </c>
      <c r="F97" t="str">
        <f>Config!$B$7</f>
        <v>SCH/Connector.SchLib</v>
      </c>
      <c r="G97" t="s">
        <v>7990</v>
      </c>
      <c r="H97" t="s">
        <v>4315</v>
      </c>
      <c r="I97" t="s">
        <v>7989</v>
      </c>
    </row>
    <row r="98" spans="1:14">
      <c r="A98" t="s">
        <v>8009</v>
      </c>
      <c r="B98" t="s">
        <v>8009</v>
      </c>
      <c r="C98" t="s">
        <v>8008</v>
      </c>
      <c r="D98" t="s">
        <v>7999</v>
      </c>
      <c r="F98" t="s">
        <v>8000</v>
      </c>
      <c r="G98" t="s">
        <v>8001</v>
      </c>
      <c r="H98" t="s">
        <v>8002</v>
      </c>
      <c r="I98" t="s">
        <v>8003</v>
      </c>
      <c r="J98" s="26" t="s">
        <v>8004</v>
      </c>
      <c r="K98" t="s">
        <v>8005</v>
      </c>
      <c r="L98" t="s">
        <v>8006</v>
      </c>
      <c r="M98" t="s">
        <v>25</v>
      </c>
      <c r="N98" t="s">
        <v>8007</v>
      </c>
    </row>
    <row r="99" spans="1:14">
      <c r="A99" t="s">
        <v>8010</v>
      </c>
      <c r="B99" t="s">
        <v>8010</v>
      </c>
      <c r="C99" t="s">
        <v>8011</v>
      </c>
      <c r="D99" t="s">
        <v>7999</v>
      </c>
      <c r="F99" t="s">
        <v>8000</v>
      </c>
      <c r="G99" t="s">
        <v>8001</v>
      </c>
      <c r="H99" t="s">
        <v>8002</v>
      </c>
      <c r="I99" t="s">
        <v>8003</v>
      </c>
      <c r="J99" s="26" t="s">
        <v>8004</v>
      </c>
      <c r="K99" t="s">
        <v>8005</v>
      </c>
      <c r="L99" t="s">
        <v>8012</v>
      </c>
      <c r="M99" t="s">
        <v>25</v>
      </c>
      <c r="N99" t="s">
        <v>8013</v>
      </c>
    </row>
    <row r="100" spans="1:14">
      <c r="A100" t="s">
        <v>8032</v>
      </c>
      <c r="B100" t="s">
        <v>8032</v>
      </c>
      <c r="C100" t="s">
        <v>8031</v>
      </c>
      <c r="D100" t="s">
        <v>7999</v>
      </c>
      <c r="F100" t="s">
        <v>8000</v>
      </c>
      <c r="G100" t="s">
        <v>8001</v>
      </c>
      <c r="H100" t="s">
        <v>8002</v>
      </c>
      <c r="I100" t="s">
        <v>8003</v>
      </c>
      <c r="J100" s="26" t="s">
        <v>8004</v>
      </c>
      <c r="K100" t="s">
        <v>8005</v>
      </c>
      <c r="L100" t="s">
        <v>8033</v>
      </c>
      <c r="M100" t="s">
        <v>25</v>
      </c>
      <c r="N100" t="s">
        <v>8034</v>
      </c>
    </row>
    <row r="101" spans="1:14">
      <c r="A101" t="s">
        <v>8014</v>
      </c>
      <c r="B101" t="s">
        <v>8014</v>
      </c>
      <c r="C101" t="s">
        <v>8022</v>
      </c>
      <c r="D101" t="s">
        <v>7999</v>
      </c>
      <c r="F101" t="s">
        <v>8000</v>
      </c>
      <c r="G101" t="s">
        <v>8015</v>
      </c>
      <c r="H101" t="s">
        <v>8002</v>
      </c>
      <c r="I101" t="s">
        <v>8016</v>
      </c>
      <c r="J101" s="26" t="s">
        <v>8017</v>
      </c>
      <c r="K101" t="s">
        <v>8005</v>
      </c>
      <c r="L101" t="s">
        <v>8018</v>
      </c>
      <c r="M101" t="s">
        <v>25</v>
      </c>
      <c r="N101" t="s">
        <v>8019</v>
      </c>
    </row>
    <row r="102" spans="1:14">
      <c r="A102" t="s">
        <v>8014</v>
      </c>
      <c r="B102" t="s">
        <v>8014</v>
      </c>
      <c r="C102" t="s">
        <v>8023</v>
      </c>
      <c r="D102" t="s">
        <v>7999</v>
      </c>
      <c r="F102" t="s">
        <v>8000</v>
      </c>
      <c r="G102" t="s">
        <v>8015</v>
      </c>
      <c r="H102" t="s">
        <v>8002</v>
      </c>
      <c r="I102" t="s">
        <v>8016</v>
      </c>
      <c r="J102" s="26" t="s">
        <v>8017</v>
      </c>
      <c r="K102" t="s">
        <v>8005</v>
      </c>
      <c r="L102" t="s">
        <v>8020</v>
      </c>
      <c r="M102" t="s">
        <v>25</v>
      </c>
      <c r="N102" t="s">
        <v>8021</v>
      </c>
    </row>
    <row r="103" spans="1:14">
      <c r="A103" t="s">
        <v>8024</v>
      </c>
      <c r="B103" t="s">
        <v>8024</v>
      </c>
      <c r="C103" t="s">
        <v>8025</v>
      </c>
      <c r="D103" t="s">
        <v>7999</v>
      </c>
      <c r="F103" t="s">
        <v>8000</v>
      </c>
      <c r="G103" t="s">
        <v>8015</v>
      </c>
      <c r="H103" t="s">
        <v>8002</v>
      </c>
      <c r="I103" t="s">
        <v>8016</v>
      </c>
      <c r="J103" s="26" t="s">
        <v>8017</v>
      </c>
      <c r="K103" t="s">
        <v>8005</v>
      </c>
      <c r="L103" t="s">
        <v>8026</v>
      </c>
      <c r="M103" t="s">
        <v>25</v>
      </c>
      <c r="N103" t="s">
        <v>8027</v>
      </c>
    </row>
    <row r="104" spans="1:14">
      <c r="A104" t="s">
        <v>8024</v>
      </c>
      <c r="B104" t="s">
        <v>8024</v>
      </c>
      <c r="C104" t="s">
        <v>8028</v>
      </c>
      <c r="D104" t="s">
        <v>7999</v>
      </c>
      <c r="F104" t="s">
        <v>8000</v>
      </c>
      <c r="G104" t="s">
        <v>8015</v>
      </c>
      <c r="H104" t="s">
        <v>8002</v>
      </c>
      <c r="I104" t="s">
        <v>8016</v>
      </c>
      <c r="J104" s="26" t="s">
        <v>8017</v>
      </c>
      <c r="K104" t="s">
        <v>8005</v>
      </c>
      <c r="L104" t="s">
        <v>8029</v>
      </c>
      <c r="M104" t="s">
        <v>25</v>
      </c>
      <c r="N104" t="s">
        <v>8030</v>
      </c>
    </row>
    <row r="105" spans="1:14">
      <c r="A105" t="s">
        <v>8464</v>
      </c>
      <c r="B105" t="s">
        <v>8463</v>
      </c>
      <c r="C105" t="s">
        <v>8465</v>
      </c>
      <c r="D105" t="s">
        <v>8466</v>
      </c>
      <c r="F105" t="s">
        <v>8467</v>
      </c>
      <c r="G105" t="s">
        <v>8468</v>
      </c>
      <c r="H105" t="s">
        <v>8469</v>
      </c>
      <c r="I105" t="s">
        <v>8470</v>
      </c>
      <c r="J105" t="s">
        <v>8471</v>
      </c>
      <c r="K105" t="s">
        <v>8466</v>
      </c>
      <c r="L105" t="s">
        <v>8472</v>
      </c>
      <c r="M105" t="s">
        <v>8461</v>
      </c>
      <c r="N105" t="s">
        <v>8473</v>
      </c>
    </row>
    <row r="106" spans="1:14">
      <c r="A106" t="s">
        <v>10965</v>
      </c>
      <c r="B106" t="s">
        <v>10965</v>
      </c>
      <c r="C106" t="s">
        <v>10967</v>
      </c>
      <c r="D106" t="s">
        <v>10969</v>
      </c>
      <c r="F106" t="s">
        <v>4358</v>
      </c>
      <c r="G106" t="s">
        <v>10964</v>
      </c>
      <c r="H106" t="s">
        <v>4359</v>
      </c>
      <c r="I106" t="s">
        <v>10971</v>
      </c>
      <c r="J106" t="s">
        <v>10973</v>
      </c>
      <c r="K106" t="s">
        <v>10969</v>
      </c>
      <c r="L106" t="s">
        <v>10975</v>
      </c>
      <c r="M106" t="s">
        <v>10974</v>
      </c>
      <c r="N106" s="25" t="s">
        <v>10976</v>
      </c>
    </row>
    <row r="107" spans="1:14">
      <c r="A107" t="s">
        <v>10966</v>
      </c>
      <c r="B107" t="s">
        <v>10965</v>
      </c>
      <c r="C107" t="s">
        <v>10968</v>
      </c>
      <c r="D107" t="s">
        <v>10969</v>
      </c>
      <c r="F107" t="s">
        <v>4358</v>
      </c>
      <c r="G107" t="s">
        <v>10970</v>
      </c>
      <c r="H107" t="s">
        <v>4359</v>
      </c>
      <c r="I107" t="s">
        <v>10972</v>
      </c>
      <c r="J107" t="s">
        <v>10973</v>
      </c>
      <c r="K107" t="s">
        <v>10969</v>
      </c>
      <c r="L107" t="s">
        <v>10975</v>
      </c>
      <c r="M107" t="s">
        <v>10974</v>
      </c>
      <c r="N107" s="25" t="s">
        <v>10976</v>
      </c>
    </row>
    <row r="108" spans="1:14">
      <c r="A108" t="s">
        <v>11187</v>
      </c>
      <c r="B108" t="s">
        <v>11187</v>
      </c>
      <c r="C108" t="s">
        <v>11192</v>
      </c>
      <c r="D108" t="s">
        <v>8005</v>
      </c>
      <c r="F108" t="s">
        <v>8000</v>
      </c>
      <c r="G108" t="s">
        <v>8015</v>
      </c>
      <c r="H108" t="s">
        <v>8002</v>
      </c>
      <c r="I108" t="s">
        <v>11186</v>
      </c>
      <c r="J108" t="s">
        <v>11191</v>
      </c>
      <c r="K108" t="s">
        <v>8005</v>
      </c>
      <c r="L108" t="s">
        <v>11187</v>
      </c>
      <c r="M108" t="s">
        <v>25</v>
      </c>
      <c r="N108" t="s">
        <v>11189</v>
      </c>
    </row>
    <row r="109" spans="1:14">
      <c r="A109" t="s">
        <v>11188</v>
      </c>
      <c r="B109" t="s">
        <v>11188</v>
      </c>
      <c r="C109" t="s">
        <v>11193</v>
      </c>
      <c r="D109" t="s">
        <v>8005</v>
      </c>
      <c r="F109" t="s">
        <v>8000</v>
      </c>
      <c r="G109" t="s">
        <v>8015</v>
      </c>
      <c r="H109" t="s">
        <v>8002</v>
      </c>
      <c r="I109" t="s">
        <v>11186</v>
      </c>
      <c r="J109" t="s">
        <v>11191</v>
      </c>
      <c r="K109" t="s">
        <v>8005</v>
      </c>
      <c r="L109" t="s">
        <v>11188</v>
      </c>
      <c r="M109" t="s">
        <v>25</v>
      </c>
      <c r="N109" t="s">
        <v>11190</v>
      </c>
    </row>
    <row r="110" spans="1:14">
      <c r="A110" t="s">
        <v>11194</v>
      </c>
      <c r="B110" t="s">
        <v>11194</v>
      </c>
      <c r="C110" t="s">
        <v>11202</v>
      </c>
      <c r="D110" t="s">
        <v>8005</v>
      </c>
      <c r="F110" t="s">
        <v>8000</v>
      </c>
      <c r="G110" t="s">
        <v>8015</v>
      </c>
      <c r="H110" t="s">
        <v>8002</v>
      </c>
      <c r="I110" t="s">
        <v>11211</v>
      </c>
      <c r="J110" t="s">
        <v>11210</v>
      </c>
      <c r="K110" t="s">
        <v>8005</v>
      </c>
      <c r="L110" t="s">
        <v>11194</v>
      </c>
      <c r="M110" t="s">
        <v>25</v>
      </c>
      <c r="N110" t="s">
        <v>11212</v>
      </c>
    </row>
    <row r="111" spans="1:14">
      <c r="A111" t="s">
        <v>11195</v>
      </c>
      <c r="B111" t="s">
        <v>11195</v>
      </c>
      <c r="C111" t="s">
        <v>11203</v>
      </c>
      <c r="D111" t="s">
        <v>8005</v>
      </c>
      <c r="F111" t="s">
        <v>8000</v>
      </c>
      <c r="G111" t="s">
        <v>8015</v>
      </c>
      <c r="H111" t="s">
        <v>8002</v>
      </c>
      <c r="I111" t="s">
        <v>11211</v>
      </c>
      <c r="J111" t="s">
        <v>11210</v>
      </c>
      <c r="K111" t="s">
        <v>8005</v>
      </c>
      <c r="L111" t="s">
        <v>11195</v>
      </c>
      <c r="M111" t="s">
        <v>25</v>
      </c>
      <c r="N111" t="s">
        <v>11213</v>
      </c>
    </row>
    <row r="112" spans="1:14">
      <c r="A112" t="s">
        <v>11196</v>
      </c>
      <c r="B112" t="s">
        <v>11196</v>
      </c>
      <c r="C112" t="s">
        <v>11204</v>
      </c>
      <c r="D112" t="s">
        <v>8005</v>
      </c>
      <c r="F112" t="s">
        <v>8000</v>
      </c>
      <c r="G112" t="s">
        <v>8015</v>
      </c>
      <c r="H112" t="s">
        <v>8002</v>
      </c>
      <c r="I112" t="s">
        <v>11211</v>
      </c>
      <c r="J112" t="s">
        <v>11210</v>
      </c>
      <c r="K112" t="s">
        <v>8005</v>
      </c>
      <c r="L112" t="s">
        <v>11196</v>
      </c>
      <c r="M112" t="s">
        <v>25</v>
      </c>
      <c r="N112" t="s">
        <v>11214</v>
      </c>
    </row>
    <row r="113" spans="1:18">
      <c r="A113" t="s">
        <v>11197</v>
      </c>
      <c r="B113" t="s">
        <v>11197</v>
      </c>
      <c r="C113" t="s">
        <v>11205</v>
      </c>
      <c r="D113" t="s">
        <v>8005</v>
      </c>
      <c r="F113" t="s">
        <v>8000</v>
      </c>
      <c r="G113" t="s">
        <v>8015</v>
      </c>
      <c r="H113" t="s">
        <v>8002</v>
      </c>
      <c r="I113" t="s">
        <v>11211</v>
      </c>
      <c r="J113" t="s">
        <v>11210</v>
      </c>
      <c r="K113" t="s">
        <v>8005</v>
      </c>
      <c r="L113" t="s">
        <v>11197</v>
      </c>
      <c r="M113" t="s">
        <v>25</v>
      </c>
      <c r="N113" t="s">
        <v>11215</v>
      </c>
    </row>
    <row r="114" spans="1:18">
      <c r="A114" t="s">
        <v>11198</v>
      </c>
      <c r="B114" t="s">
        <v>11198</v>
      </c>
      <c r="C114" t="s">
        <v>11206</v>
      </c>
      <c r="D114" t="s">
        <v>8005</v>
      </c>
      <c r="F114" t="s">
        <v>8000</v>
      </c>
      <c r="G114" t="s">
        <v>8015</v>
      </c>
      <c r="H114" t="s">
        <v>8002</v>
      </c>
      <c r="I114" t="s">
        <v>11211</v>
      </c>
      <c r="J114" t="s">
        <v>11210</v>
      </c>
      <c r="K114" t="s">
        <v>8005</v>
      </c>
      <c r="L114" t="s">
        <v>11198</v>
      </c>
      <c r="M114" t="s">
        <v>25</v>
      </c>
      <c r="N114" t="s">
        <v>11216</v>
      </c>
    </row>
    <row r="115" spans="1:18">
      <c r="A115" t="s">
        <v>11199</v>
      </c>
      <c r="B115" t="s">
        <v>11199</v>
      </c>
      <c r="C115" t="s">
        <v>11207</v>
      </c>
      <c r="D115" t="s">
        <v>8005</v>
      </c>
      <c r="F115" t="s">
        <v>8000</v>
      </c>
      <c r="G115" t="s">
        <v>8015</v>
      </c>
      <c r="H115" t="s">
        <v>8002</v>
      </c>
      <c r="I115" t="s">
        <v>11211</v>
      </c>
      <c r="J115" t="s">
        <v>11210</v>
      </c>
      <c r="K115" t="s">
        <v>8005</v>
      </c>
      <c r="L115" t="s">
        <v>11199</v>
      </c>
      <c r="M115" t="s">
        <v>25</v>
      </c>
      <c r="N115" t="s">
        <v>11217</v>
      </c>
    </row>
    <row r="116" spans="1:18">
      <c r="A116" t="s">
        <v>11200</v>
      </c>
      <c r="B116" t="s">
        <v>11200</v>
      </c>
      <c r="C116" t="s">
        <v>11208</v>
      </c>
      <c r="D116" t="s">
        <v>8005</v>
      </c>
      <c r="F116" t="s">
        <v>8000</v>
      </c>
      <c r="G116" t="s">
        <v>8015</v>
      </c>
      <c r="H116" t="s">
        <v>8002</v>
      </c>
      <c r="I116" t="s">
        <v>11211</v>
      </c>
      <c r="J116" t="s">
        <v>11210</v>
      </c>
      <c r="K116" t="s">
        <v>8005</v>
      </c>
      <c r="L116" t="s">
        <v>11200</v>
      </c>
      <c r="M116" t="s">
        <v>25</v>
      </c>
      <c r="N116" t="s">
        <v>11218</v>
      </c>
    </row>
    <row r="117" spans="1:18">
      <c r="A117" t="s">
        <v>11201</v>
      </c>
      <c r="B117" t="s">
        <v>11201</v>
      </c>
      <c r="C117" t="s">
        <v>11209</v>
      </c>
      <c r="D117" t="s">
        <v>8005</v>
      </c>
      <c r="F117" t="s">
        <v>8000</v>
      </c>
      <c r="G117" t="s">
        <v>8015</v>
      </c>
      <c r="H117" t="s">
        <v>8002</v>
      </c>
      <c r="I117" t="s">
        <v>11211</v>
      </c>
      <c r="J117" t="s">
        <v>11210</v>
      </c>
      <c r="K117" t="s">
        <v>8005</v>
      </c>
      <c r="L117" t="s">
        <v>11201</v>
      </c>
      <c r="M117" t="s">
        <v>25</v>
      </c>
      <c r="N117" t="s">
        <v>11219</v>
      </c>
    </row>
    <row r="118" spans="1:18">
      <c r="A118" t="s">
        <v>11225</v>
      </c>
      <c r="B118" t="s">
        <v>11225</v>
      </c>
      <c r="C118" t="s">
        <v>11232</v>
      </c>
      <c r="D118" t="s">
        <v>4546</v>
      </c>
      <c r="F118" t="s">
        <v>8467</v>
      </c>
      <c r="G118" t="s">
        <v>11231</v>
      </c>
      <c r="H118" t="str">
        <f>_xlfn.CONCAT(PrivateLibraryPath,"PCB/Bourns.PcbLib")</f>
        <v>../altium_lib_private/PCB/Bourns.PcbLib</v>
      </c>
      <c r="I118" t="s">
        <v>11229</v>
      </c>
      <c r="J118" t="s">
        <v>11220</v>
      </c>
      <c r="K118" t="s">
        <v>4546</v>
      </c>
      <c r="L118" t="s">
        <v>11225</v>
      </c>
      <c r="M118" t="s">
        <v>25</v>
      </c>
      <c r="N118" t="s">
        <v>11221</v>
      </c>
    </row>
    <row r="119" spans="1:18">
      <c r="A119" t="s">
        <v>11226</v>
      </c>
      <c r="B119" t="s">
        <v>11226</v>
      </c>
      <c r="C119" t="s">
        <v>11232</v>
      </c>
      <c r="D119" t="s">
        <v>4546</v>
      </c>
      <c r="F119" t="s">
        <v>8467</v>
      </c>
      <c r="G119" t="s">
        <v>11231</v>
      </c>
      <c r="H119" t="str">
        <f>_xlfn.CONCAT(PrivateLibraryPath,"PCB/Bourns.PcbLib")</f>
        <v>../altium_lib_private/PCB/Bourns.PcbLib</v>
      </c>
      <c r="I119" t="s">
        <v>11230</v>
      </c>
      <c r="J119" t="s">
        <v>11220</v>
      </c>
      <c r="K119" t="s">
        <v>4546</v>
      </c>
      <c r="L119" t="s">
        <v>11226</v>
      </c>
      <c r="M119" t="s">
        <v>25</v>
      </c>
      <c r="N119" t="s">
        <v>11222</v>
      </c>
    </row>
    <row r="120" spans="1:18">
      <c r="A120" t="s">
        <v>11227</v>
      </c>
      <c r="B120" t="s">
        <v>11227</v>
      </c>
      <c r="C120" t="s">
        <v>11232</v>
      </c>
      <c r="D120" t="s">
        <v>4546</v>
      </c>
      <c r="F120" t="s">
        <v>8467</v>
      </c>
      <c r="G120" t="s">
        <v>11231</v>
      </c>
      <c r="H120" t="str">
        <f>_xlfn.CONCAT(PrivateLibraryPath,"PCB/Bourns.PcbLib")</f>
        <v>../altium_lib_private/PCB/Bourns.PcbLib</v>
      </c>
      <c r="I120" t="s">
        <v>11230</v>
      </c>
      <c r="J120" t="s">
        <v>11220</v>
      </c>
      <c r="K120" t="s">
        <v>4546</v>
      </c>
      <c r="L120" t="s">
        <v>11227</v>
      </c>
      <c r="M120" t="s">
        <v>25</v>
      </c>
      <c r="N120" t="s">
        <v>11223</v>
      </c>
    </row>
    <row r="121" spans="1:18">
      <c r="A121" t="s">
        <v>11228</v>
      </c>
      <c r="B121" t="s">
        <v>11228</v>
      </c>
      <c r="C121" t="s">
        <v>11232</v>
      </c>
      <c r="D121" t="s">
        <v>4546</v>
      </c>
      <c r="F121" t="s">
        <v>8467</v>
      </c>
      <c r="G121" t="s">
        <v>11231</v>
      </c>
      <c r="H121" t="str">
        <f>_xlfn.CONCAT(PrivateLibraryPath,"PCB/Bourns.PcbLib")</f>
        <v>../altium_lib_private/PCB/Bourns.PcbLib</v>
      </c>
      <c r="I121" t="s">
        <v>11229</v>
      </c>
      <c r="J121" t="s">
        <v>11220</v>
      </c>
      <c r="K121" t="s">
        <v>4546</v>
      </c>
      <c r="L121" t="s">
        <v>11228</v>
      </c>
      <c r="M121" t="s">
        <v>25</v>
      </c>
      <c r="N121" t="s">
        <v>11224</v>
      </c>
    </row>
    <row r="122" spans="1:18">
      <c r="A122" t="s">
        <v>11248</v>
      </c>
      <c r="B122" t="s">
        <v>11248</v>
      </c>
      <c r="C122" t="s">
        <v>11254</v>
      </c>
      <c r="D122" t="s">
        <v>11250</v>
      </c>
      <c r="F122" t="s">
        <v>11253</v>
      </c>
      <c r="G122" t="s">
        <v>11252</v>
      </c>
      <c r="H122" t="str">
        <f>_xlfn.CONCAT(PrivateLibraryPath,"PCB/Camdenboss.PcbLib")</f>
        <v>../altium_lib_private/PCB/Camdenboss.PcbLib</v>
      </c>
      <c r="I122" t="s">
        <v>11248</v>
      </c>
      <c r="J122" t="s">
        <v>11251</v>
      </c>
      <c r="K122" t="s">
        <v>11250</v>
      </c>
      <c r="L122" t="s">
        <v>11248</v>
      </c>
      <c r="M122" t="s">
        <v>11247</v>
      </c>
      <c r="N122" t="s">
        <v>11249</v>
      </c>
      <c r="O122" t="s">
        <v>11250</v>
      </c>
      <c r="P122" t="s">
        <v>11248</v>
      </c>
      <c r="Q122" t="s">
        <v>12146</v>
      </c>
      <c r="R122">
        <v>2392779</v>
      </c>
    </row>
    <row r="123" spans="1:18">
      <c r="A123" t="s">
        <v>12170</v>
      </c>
      <c r="B123" t="s">
        <v>12170</v>
      </c>
      <c r="C123" t="s">
        <v>12397</v>
      </c>
      <c r="D123" t="s">
        <v>12148</v>
      </c>
      <c r="F123" t="s">
        <v>11253</v>
      </c>
      <c r="G123" t="s">
        <v>6983</v>
      </c>
      <c r="H123" s="39"/>
      <c r="I123" s="39"/>
      <c r="J123" t="s">
        <v>12393</v>
      </c>
      <c r="K123" t="s">
        <v>12149</v>
      </c>
      <c r="L123" t="s">
        <v>12153</v>
      </c>
      <c r="M123" t="s">
        <v>8461</v>
      </c>
      <c r="N123">
        <v>14021770</v>
      </c>
    </row>
    <row r="124" spans="1:18">
      <c r="A124" t="s">
        <v>12171</v>
      </c>
      <c r="B124" t="s">
        <v>12171</v>
      </c>
      <c r="C124" t="s">
        <v>12397</v>
      </c>
      <c r="D124" t="s">
        <v>12148</v>
      </c>
      <c r="F124" t="s">
        <v>11253</v>
      </c>
      <c r="G124" t="s">
        <v>6983</v>
      </c>
      <c r="H124" s="39"/>
      <c r="I124" s="39"/>
      <c r="J124" t="s">
        <v>12393</v>
      </c>
      <c r="K124" t="s">
        <v>12149</v>
      </c>
      <c r="L124" t="s">
        <v>12154</v>
      </c>
      <c r="M124" t="s">
        <v>8461</v>
      </c>
      <c r="N124">
        <v>14021767</v>
      </c>
    </row>
    <row r="125" spans="1:18">
      <c r="A125" t="s">
        <v>12147</v>
      </c>
      <c r="B125" t="s">
        <v>12147</v>
      </c>
      <c r="C125" t="s">
        <v>12397</v>
      </c>
      <c r="D125" t="s">
        <v>12148</v>
      </c>
      <c r="F125" t="s">
        <v>11253</v>
      </c>
      <c r="G125" t="s">
        <v>6983</v>
      </c>
      <c r="H125" s="39"/>
      <c r="I125" s="39"/>
      <c r="J125" t="s">
        <v>12393</v>
      </c>
      <c r="K125" t="s">
        <v>12149</v>
      </c>
      <c r="L125" t="s">
        <v>12152</v>
      </c>
      <c r="M125" t="s">
        <v>8461</v>
      </c>
      <c r="N125">
        <v>14021765</v>
      </c>
    </row>
    <row r="126" spans="1:18">
      <c r="A126" t="s">
        <v>12172</v>
      </c>
      <c r="B126" t="s">
        <v>12172</v>
      </c>
      <c r="C126" t="s">
        <v>12397</v>
      </c>
      <c r="D126" t="s">
        <v>12148</v>
      </c>
      <c r="F126" t="s">
        <v>11253</v>
      </c>
      <c r="G126" t="s">
        <v>6983</v>
      </c>
      <c r="H126" s="39"/>
      <c r="I126" s="39"/>
      <c r="J126" t="s">
        <v>12393</v>
      </c>
      <c r="K126" t="s">
        <v>12149</v>
      </c>
      <c r="L126" t="s">
        <v>12155</v>
      </c>
      <c r="M126" t="s">
        <v>8461</v>
      </c>
      <c r="N126">
        <v>14021766</v>
      </c>
    </row>
    <row r="127" spans="1:18">
      <c r="A127" t="s">
        <v>12173</v>
      </c>
      <c r="B127" t="s">
        <v>12173</v>
      </c>
      <c r="C127" t="s">
        <v>12397</v>
      </c>
      <c r="D127" t="s">
        <v>12148</v>
      </c>
      <c r="F127" t="s">
        <v>11253</v>
      </c>
      <c r="G127" t="s">
        <v>6983</v>
      </c>
      <c r="H127" s="39"/>
      <c r="I127" s="39"/>
      <c r="J127" t="s">
        <v>12393</v>
      </c>
      <c r="K127" t="s">
        <v>12149</v>
      </c>
      <c r="L127" t="s">
        <v>12156</v>
      </c>
      <c r="M127" t="s">
        <v>8461</v>
      </c>
      <c r="N127">
        <v>14021768</v>
      </c>
    </row>
    <row r="128" spans="1:18">
      <c r="A128" t="s">
        <v>12174</v>
      </c>
      <c r="B128" t="s">
        <v>12174</v>
      </c>
      <c r="C128" t="s">
        <v>12397</v>
      </c>
      <c r="D128" t="s">
        <v>12148</v>
      </c>
      <c r="F128" t="s">
        <v>11253</v>
      </c>
      <c r="G128" t="s">
        <v>6983</v>
      </c>
      <c r="H128" s="39"/>
      <c r="I128" s="39"/>
      <c r="J128" t="s">
        <v>12393</v>
      </c>
      <c r="K128" t="s">
        <v>12149</v>
      </c>
      <c r="L128" t="s">
        <v>12157</v>
      </c>
      <c r="M128" t="s">
        <v>8461</v>
      </c>
      <c r="N128">
        <v>14021769</v>
      </c>
    </row>
    <row r="129" spans="1:14">
      <c r="A129" t="s">
        <v>12175</v>
      </c>
      <c r="B129" t="s">
        <v>12175</v>
      </c>
      <c r="C129" t="s">
        <v>12397</v>
      </c>
      <c r="D129" t="s">
        <v>12148</v>
      </c>
      <c r="F129" t="s">
        <v>11253</v>
      </c>
      <c r="G129" t="s">
        <v>6983</v>
      </c>
      <c r="H129" s="39"/>
      <c r="I129" s="39"/>
      <c r="J129" t="s">
        <v>12393</v>
      </c>
      <c r="K129" t="s">
        <v>12149</v>
      </c>
      <c r="L129" t="s">
        <v>12158</v>
      </c>
      <c r="M129" t="s">
        <v>8461</v>
      </c>
      <c r="N129">
        <v>30136205</v>
      </c>
    </row>
    <row r="130" spans="1:14">
      <c r="A130" t="s">
        <v>12176</v>
      </c>
      <c r="B130" t="s">
        <v>12176</v>
      </c>
      <c r="C130" t="s">
        <v>12397</v>
      </c>
      <c r="D130" t="s">
        <v>12148</v>
      </c>
      <c r="F130" t="s">
        <v>11253</v>
      </c>
      <c r="G130" t="s">
        <v>6983</v>
      </c>
      <c r="H130" s="39"/>
      <c r="I130" s="39"/>
      <c r="J130" t="s">
        <v>12393</v>
      </c>
      <c r="K130" t="s">
        <v>12149</v>
      </c>
      <c r="L130" t="s">
        <v>12159</v>
      </c>
      <c r="M130" t="s">
        <v>8461</v>
      </c>
      <c r="N130">
        <v>14022426</v>
      </c>
    </row>
    <row r="131" spans="1:14">
      <c r="A131" t="s">
        <v>12177</v>
      </c>
      <c r="B131" t="s">
        <v>12177</v>
      </c>
      <c r="C131" t="s">
        <v>12397</v>
      </c>
      <c r="D131" t="s">
        <v>12148</v>
      </c>
      <c r="F131" t="s">
        <v>11253</v>
      </c>
      <c r="G131" t="s">
        <v>6983</v>
      </c>
      <c r="H131" s="39"/>
      <c r="I131" s="39"/>
      <c r="J131" t="s">
        <v>12393</v>
      </c>
      <c r="K131" t="s">
        <v>12149</v>
      </c>
      <c r="L131" t="s">
        <v>12160</v>
      </c>
      <c r="M131" t="s">
        <v>8461</v>
      </c>
      <c r="N131">
        <v>14022425</v>
      </c>
    </row>
    <row r="132" spans="1:14">
      <c r="A132" t="s">
        <v>12178</v>
      </c>
      <c r="B132" t="s">
        <v>12178</v>
      </c>
      <c r="C132" t="s">
        <v>12397</v>
      </c>
      <c r="D132" t="s">
        <v>12148</v>
      </c>
      <c r="F132" t="s">
        <v>11253</v>
      </c>
      <c r="G132" t="s">
        <v>6983</v>
      </c>
      <c r="H132" s="39"/>
      <c r="I132" s="39"/>
      <c r="J132" t="s">
        <v>12393</v>
      </c>
      <c r="K132" t="s">
        <v>12149</v>
      </c>
      <c r="L132" t="s">
        <v>12161</v>
      </c>
      <c r="M132" t="s">
        <v>8461</v>
      </c>
      <c r="N132">
        <v>14021772</v>
      </c>
    </row>
    <row r="133" spans="1:14">
      <c r="A133" t="s">
        <v>12179</v>
      </c>
      <c r="B133" t="s">
        <v>12179</v>
      </c>
      <c r="C133" t="s">
        <v>12398</v>
      </c>
      <c r="D133" t="s">
        <v>12148</v>
      </c>
      <c r="F133" t="s">
        <v>11253</v>
      </c>
      <c r="G133" t="s">
        <v>6983</v>
      </c>
      <c r="H133" s="39"/>
      <c r="I133" s="39"/>
      <c r="J133" t="s">
        <v>12394</v>
      </c>
      <c r="K133" t="s">
        <v>12149</v>
      </c>
      <c r="L133" t="s">
        <v>12162</v>
      </c>
      <c r="M133" t="s">
        <v>8461</v>
      </c>
      <c r="N133">
        <v>30136216</v>
      </c>
    </row>
    <row r="134" spans="1:14">
      <c r="A134" t="s">
        <v>12180</v>
      </c>
      <c r="B134" t="s">
        <v>12180</v>
      </c>
      <c r="C134" t="s">
        <v>12398</v>
      </c>
      <c r="D134" t="s">
        <v>12148</v>
      </c>
      <c r="F134" t="s">
        <v>11253</v>
      </c>
      <c r="G134" t="s">
        <v>6983</v>
      </c>
      <c r="H134" s="39"/>
      <c r="I134" s="39"/>
      <c r="J134" t="s">
        <v>12394</v>
      </c>
      <c r="K134" t="s">
        <v>12149</v>
      </c>
      <c r="L134" t="s">
        <v>12163</v>
      </c>
      <c r="M134" t="s">
        <v>8461</v>
      </c>
      <c r="N134">
        <v>30136217</v>
      </c>
    </row>
    <row r="135" spans="1:14">
      <c r="A135" t="s">
        <v>12151</v>
      </c>
      <c r="B135" t="s">
        <v>12151</v>
      </c>
      <c r="C135" t="s">
        <v>12398</v>
      </c>
      <c r="D135" t="s">
        <v>12148</v>
      </c>
      <c r="F135" t="s">
        <v>11253</v>
      </c>
      <c r="G135" t="s">
        <v>6983</v>
      </c>
      <c r="H135" s="39"/>
      <c r="I135" s="39"/>
      <c r="J135" t="s">
        <v>12394</v>
      </c>
      <c r="K135" t="s">
        <v>12149</v>
      </c>
      <c r="L135" t="s">
        <v>12150</v>
      </c>
      <c r="M135" t="s">
        <v>8461</v>
      </c>
      <c r="N135">
        <v>30136218</v>
      </c>
    </row>
    <row r="136" spans="1:14">
      <c r="A136" t="s">
        <v>12181</v>
      </c>
      <c r="B136" t="s">
        <v>12181</v>
      </c>
      <c r="C136" t="s">
        <v>12398</v>
      </c>
      <c r="D136" t="s">
        <v>12148</v>
      </c>
      <c r="F136" t="s">
        <v>11253</v>
      </c>
      <c r="G136" t="s">
        <v>6983</v>
      </c>
      <c r="H136" s="39"/>
      <c r="I136" s="39"/>
      <c r="J136" t="s">
        <v>12394</v>
      </c>
      <c r="K136" t="s">
        <v>12149</v>
      </c>
      <c r="L136" t="s">
        <v>12164</v>
      </c>
      <c r="M136" t="s">
        <v>8461</v>
      </c>
      <c r="N136">
        <v>30136219</v>
      </c>
    </row>
    <row r="137" spans="1:14">
      <c r="A137" t="s">
        <v>12182</v>
      </c>
      <c r="B137" t="s">
        <v>12182</v>
      </c>
      <c r="C137" t="s">
        <v>12398</v>
      </c>
      <c r="D137" t="s">
        <v>12148</v>
      </c>
      <c r="F137" t="s">
        <v>11253</v>
      </c>
      <c r="G137" t="s">
        <v>6983</v>
      </c>
      <c r="H137" s="39"/>
      <c r="I137" s="39"/>
      <c r="J137" t="s">
        <v>12394</v>
      </c>
      <c r="K137" t="s">
        <v>12149</v>
      </c>
      <c r="L137" t="s">
        <v>12165</v>
      </c>
      <c r="M137" t="s">
        <v>8461</v>
      </c>
      <c r="N137">
        <v>30136220</v>
      </c>
    </row>
    <row r="138" spans="1:14">
      <c r="A138" t="s">
        <v>12183</v>
      </c>
      <c r="B138" t="s">
        <v>12183</v>
      </c>
      <c r="C138" t="s">
        <v>12398</v>
      </c>
      <c r="D138" t="s">
        <v>12148</v>
      </c>
      <c r="F138" t="s">
        <v>11253</v>
      </c>
      <c r="G138" t="s">
        <v>6983</v>
      </c>
      <c r="H138" s="39"/>
      <c r="I138" s="39"/>
      <c r="J138" t="s">
        <v>12394</v>
      </c>
      <c r="K138" t="s">
        <v>12149</v>
      </c>
      <c r="L138" t="s">
        <v>12166</v>
      </c>
      <c r="M138" t="s">
        <v>8461</v>
      </c>
      <c r="N138">
        <v>30136221</v>
      </c>
    </row>
    <row r="139" spans="1:14">
      <c r="A139" t="s">
        <v>12184</v>
      </c>
      <c r="B139" t="s">
        <v>12184</v>
      </c>
      <c r="C139" t="s">
        <v>12398</v>
      </c>
      <c r="D139" t="s">
        <v>12148</v>
      </c>
      <c r="F139" t="s">
        <v>11253</v>
      </c>
      <c r="G139" t="s">
        <v>6983</v>
      </c>
      <c r="H139" s="39"/>
      <c r="I139" s="39"/>
      <c r="J139" t="s">
        <v>12394</v>
      </c>
      <c r="K139" t="s">
        <v>12149</v>
      </c>
      <c r="L139" t="s">
        <v>12167</v>
      </c>
      <c r="M139" t="s">
        <v>8461</v>
      </c>
      <c r="N139">
        <v>30136222</v>
      </c>
    </row>
    <row r="140" spans="1:14">
      <c r="A140" t="s">
        <v>12185</v>
      </c>
      <c r="B140" t="s">
        <v>12185</v>
      </c>
      <c r="C140" t="s">
        <v>12398</v>
      </c>
      <c r="D140" t="s">
        <v>12148</v>
      </c>
      <c r="F140" t="s">
        <v>11253</v>
      </c>
      <c r="G140" t="s">
        <v>6983</v>
      </c>
      <c r="H140" s="39"/>
      <c r="I140" s="39"/>
      <c r="J140" t="s">
        <v>12394</v>
      </c>
      <c r="K140" t="s">
        <v>12149</v>
      </c>
      <c r="L140" t="s">
        <v>12168</v>
      </c>
      <c r="M140" t="s">
        <v>8461</v>
      </c>
      <c r="N140">
        <v>30136223</v>
      </c>
    </row>
    <row r="141" spans="1:14">
      <c r="A141" t="s">
        <v>12186</v>
      </c>
      <c r="B141" t="s">
        <v>12186</v>
      </c>
      <c r="C141" t="s">
        <v>12398</v>
      </c>
      <c r="D141" t="s">
        <v>12148</v>
      </c>
      <c r="F141" t="s">
        <v>11253</v>
      </c>
      <c r="G141" t="s">
        <v>6983</v>
      </c>
      <c r="H141" s="39"/>
      <c r="I141" s="39"/>
      <c r="J141" t="s">
        <v>12394</v>
      </c>
      <c r="K141" t="s">
        <v>12149</v>
      </c>
      <c r="L141" t="s">
        <v>12169</v>
      </c>
      <c r="M141" t="s">
        <v>8461</v>
      </c>
      <c r="N141">
        <v>30136224</v>
      </c>
    </row>
    <row r="142" spans="1:14">
      <c r="A142" t="s">
        <v>12187</v>
      </c>
      <c r="B142" t="s">
        <v>12187</v>
      </c>
      <c r="C142" t="s">
        <v>12398</v>
      </c>
      <c r="D142" t="s">
        <v>12148</v>
      </c>
      <c r="F142" t="s">
        <v>11253</v>
      </c>
      <c r="G142" t="s">
        <v>6983</v>
      </c>
      <c r="H142" s="39"/>
      <c r="I142" s="39"/>
      <c r="J142" t="s">
        <v>12394</v>
      </c>
      <c r="K142" t="s">
        <v>12149</v>
      </c>
      <c r="L142" t="s">
        <v>12454</v>
      </c>
    </row>
    <row r="143" spans="1:14">
      <c r="A143" t="s">
        <v>12327</v>
      </c>
      <c r="B143" t="s">
        <v>12327</v>
      </c>
      <c r="C143" t="s">
        <v>12399</v>
      </c>
      <c r="D143" t="s">
        <v>12148</v>
      </c>
      <c r="F143" t="s">
        <v>11253</v>
      </c>
      <c r="G143" t="s">
        <v>7005</v>
      </c>
      <c r="H143" s="39"/>
      <c r="I143" s="39"/>
      <c r="J143" t="s">
        <v>12395</v>
      </c>
      <c r="K143" t="s">
        <v>12149</v>
      </c>
      <c r="L143" t="s">
        <v>12335</v>
      </c>
    </row>
    <row r="144" spans="1:14">
      <c r="A144" t="s">
        <v>12328</v>
      </c>
      <c r="B144" t="s">
        <v>12328</v>
      </c>
      <c r="C144" t="s">
        <v>12399</v>
      </c>
      <c r="D144" t="s">
        <v>12148</v>
      </c>
      <c r="F144" t="s">
        <v>11253</v>
      </c>
      <c r="G144" t="s">
        <v>7005</v>
      </c>
      <c r="H144" s="39"/>
      <c r="I144" s="39"/>
      <c r="J144" t="s">
        <v>12395</v>
      </c>
      <c r="K144" t="s">
        <v>12149</v>
      </c>
      <c r="L144" t="s">
        <v>12336</v>
      </c>
      <c r="M144" t="s">
        <v>8461</v>
      </c>
      <c r="N144">
        <v>14021779</v>
      </c>
    </row>
    <row r="145" spans="1:14">
      <c r="A145" t="s">
        <v>12329</v>
      </c>
      <c r="B145" t="s">
        <v>12329</v>
      </c>
      <c r="C145" t="s">
        <v>12399</v>
      </c>
      <c r="D145" t="s">
        <v>12148</v>
      </c>
      <c r="F145" t="s">
        <v>11253</v>
      </c>
      <c r="G145" t="s">
        <v>7005</v>
      </c>
      <c r="H145" s="39"/>
      <c r="I145" s="39"/>
      <c r="J145" t="s">
        <v>12395</v>
      </c>
      <c r="K145" t="s">
        <v>12149</v>
      </c>
      <c r="L145" t="s">
        <v>12337</v>
      </c>
      <c r="M145" t="s">
        <v>8461</v>
      </c>
      <c r="N145">
        <v>14021780</v>
      </c>
    </row>
    <row r="146" spans="1:14">
      <c r="A146" t="s">
        <v>12330</v>
      </c>
      <c r="B146" t="s">
        <v>12330</v>
      </c>
      <c r="C146" t="s">
        <v>12399</v>
      </c>
      <c r="D146" t="s">
        <v>12148</v>
      </c>
      <c r="F146" t="s">
        <v>11253</v>
      </c>
      <c r="G146" t="s">
        <v>7005</v>
      </c>
      <c r="H146" s="39"/>
      <c r="I146" s="39"/>
      <c r="J146" t="s">
        <v>12395</v>
      </c>
      <c r="K146" t="s">
        <v>12149</v>
      </c>
      <c r="L146" t="s">
        <v>12338</v>
      </c>
      <c r="M146" t="s">
        <v>8461</v>
      </c>
      <c r="N146">
        <v>14021781</v>
      </c>
    </row>
    <row r="147" spans="1:14">
      <c r="A147" t="s">
        <v>12331</v>
      </c>
      <c r="B147" t="s">
        <v>12331</v>
      </c>
      <c r="C147" t="s">
        <v>12399</v>
      </c>
      <c r="D147" t="s">
        <v>12148</v>
      </c>
      <c r="F147" t="s">
        <v>11253</v>
      </c>
      <c r="G147" t="s">
        <v>7005</v>
      </c>
      <c r="H147" s="39"/>
      <c r="I147" s="39"/>
      <c r="J147" t="s">
        <v>12395</v>
      </c>
      <c r="K147" t="s">
        <v>12149</v>
      </c>
      <c r="L147" t="s">
        <v>12339</v>
      </c>
    </row>
    <row r="148" spans="1:14">
      <c r="A148" t="s">
        <v>12332</v>
      </c>
      <c r="B148" t="s">
        <v>12332</v>
      </c>
      <c r="C148" t="s">
        <v>12399</v>
      </c>
      <c r="D148" t="s">
        <v>12148</v>
      </c>
      <c r="F148" t="s">
        <v>11253</v>
      </c>
      <c r="G148" t="s">
        <v>7005</v>
      </c>
      <c r="H148" s="39"/>
      <c r="I148" s="39"/>
      <c r="J148" t="s">
        <v>12395</v>
      </c>
      <c r="K148" t="s">
        <v>12149</v>
      </c>
      <c r="L148" t="s">
        <v>12340</v>
      </c>
    </row>
    <row r="149" spans="1:14">
      <c r="A149" t="s">
        <v>12333</v>
      </c>
      <c r="B149" t="s">
        <v>12333</v>
      </c>
      <c r="C149" t="s">
        <v>12399</v>
      </c>
      <c r="D149" t="s">
        <v>12148</v>
      </c>
      <c r="F149" t="s">
        <v>11253</v>
      </c>
      <c r="G149" t="s">
        <v>7005</v>
      </c>
      <c r="H149" s="39"/>
      <c r="I149" s="39"/>
      <c r="J149" t="s">
        <v>12395</v>
      </c>
      <c r="K149" t="s">
        <v>12149</v>
      </c>
      <c r="L149" t="s">
        <v>12341</v>
      </c>
    </row>
    <row r="150" spans="1:14">
      <c r="A150" t="s">
        <v>12334</v>
      </c>
      <c r="B150" t="s">
        <v>12334</v>
      </c>
      <c r="C150" t="s">
        <v>12399</v>
      </c>
      <c r="D150" t="s">
        <v>12148</v>
      </c>
      <c r="F150" t="s">
        <v>11253</v>
      </c>
      <c r="G150" t="s">
        <v>7005</v>
      </c>
      <c r="H150" s="39"/>
      <c r="I150" s="39"/>
      <c r="J150" t="s">
        <v>12395</v>
      </c>
      <c r="K150" t="s">
        <v>12149</v>
      </c>
      <c r="L150" t="s">
        <v>12342</v>
      </c>
    </row>
    <row r="151" spans="1:14">
      <c r="A151" t="s">
        <v>12343</v>
      </c>
      <c r="B151" t="s">
        <v>12343</v>
      </c>
      <c r="C151" t="s">
        <v>12400</v>
      </c>
      <c r="D151" t="s">
        <v>12148</v>
      </c>
      <c r="F151" t="s">
        <v>11253</v>
      </c>
      <c r="G151" t="s">
        <v>6983</v>
      </c>
      <c r="H151" s="39"/>
      <c r="I151" s="39"/>
      <c r="J151" t="s">
        <v>12396</v>
      </c>
      <c r="K151" t="s">
        <v>12149</v>
      </c>
      <c r="L151" t="s">
        <v>12353</v>
      </c>
      <c r="M151" t="s">
        <v>8461</v>
      </c>
      <c r="N151">
        <v>30223684</v>
      </c>
    </row>
    <row r="152" spans="1:14">
      <c r="A152" t="s">
        <v>12344</v>
      </c>
      <c r="B152" t="s">
        <v>12344</v>
      </c>
      <c r="C152" t="s">
        <v>12400</v>
      </c>
      <c r="D152" t="s">
        <v>12148</v>
      </c>
      <c r="F152" t="s">
        <v>11253</v>
      </c>
      <c r="G152" t="s">
        <v>6983</v>
      </c>
      <c r="H152" s="39"/>
      <c r="I152" s="39"/>
      <c r="J152" t="s">
        <v>12396</v>
      </c>
      <c r="K152" t="s">
        <v>12149</v>
      </c>
      <c r="L152" t="s">
        <v>12354</v>
      </c>
      <c r="M152" t="s">
        <v>8461</v>
      </c>
      <c r="N152">
        <v>30136412</v>
      </c>
    </row>
    <row r="153" spans="1:14">
      <c r="A153" t="s">
        <v>12345</v>
      </c>
      <c r="B153" t="s">
        <v>12345</v>
      </c>
      <c r="C153" t="s">
        <v>12400</v>
      </c>
      <c r="D153" t="s">
        <v>12148</v>
      </c>
      <c r="F153" t="s">
        <v>11253</v>
      </c>
      <c r="G153" t="s">
        <v>6983</v>
      </c>
      <c r="H153" s="39"/>
      <c r="I153" s="39"/>
      <c r="J153" t="s">
        <v>12396</v>
      </c>
      <c r="K153" t="s">
        <v>12149</v>
      </c>
      <c r="L153" t="s">
        <v>12355</v>
      </c>
      <c r="M153" t="s">
        <v>8461</v>
      </c>
      <c r="N153">
        <v>30136413</v>
      </c>
    </row>
    <row r="154" spans="1:14">
      <c r="A154" t="s">
        <v>12346</v>
      </c>
      <c r="B154" t="s">
        <v>12346</v>
      </c>
      <c r="C154" t="s">
        <v>12400</v>
      </c>
      <c r="D154" t="s">
        <v>12148</v>
      </c>
      <c r="F154" t="s">
        <v>11253</v>
      </c>
      <c r="G154" t="s">
        <v>6983</v>
      </c>
      <c r="H154" s="39"/>
      <c r="I154" s="39"/>
      <c r="J154" t="s">
        <v>12396</v>
      </c>
      <c r="K154" t="s">
        <v>12149</v>
      </c>
      <c r="L154" t="s">
        <v>12356</v>
      </c>
    </row>
    <row r="155" spans="1:14">
      <c r="A155" t="s">
        <v>12347</v>
      </c>
      <c r="B155" t="s">
        <v>12347</v>
      </c>
      <c r="C155" t="s">
        <v>12400</v>
      </c>
      <c r="D155" t="s">
        <v>12148</v>
      </c>
      <c r="F155" t="s">
        <v>11253</v>
      </c>
      <c r="G155" t="s">
        <v>6983</v>
      </c>
      <c r="H155" s="39"/>
      <c r="I155" s="39"/>
      <c r="J155" t="s">
        <v>12396</v>
      </c>
      <c r="K155" t="s">
        <v>12149</v>
      </c>
      <c r="L155" t="s">
        <v>12357</v>
      </c>
      <c r="M155" t="s">
        <v>8461</v>
      </c>
      <c r="N155">
        <v>30136415</v>
      </c>
    </row>
    <row r="156" spans="1:14">
      <c r="A156" t="s">
        <v>12348</v>
      </c>
      <c r="B156" t="s">
        <v>12348</v>
      </c>
      <c r="C156" t="s">
        <v>12400</v>
      </c>
      <c r="D156" t="s">
        <v>12148</v>
      </c>
      <c r="F156" t="s">
        <v>11253</v>
      </c>
      <c r="G156" t="s">
        <v>6983</v>
      </c>
      <c r="H156" s="39"/>
      <c r="I156" s="39"/>
      <c r="J156" t="s">
        <v>12396</v>
      </c>
      <c r="K156" t="s">
        <v>12149</v>
      </c>
      <c r="L156" t="s">
        <v>12358</v>
      </c>
    </row>
    <row r="157" spans="1:14">
      <c r="A157" t="s">
        <v>12349</v>
      </c>
      <c r="B157" t="s">
        <v>12349</v>
      </c>
      <c r="C157" t="s">
        <v>12400</v>
      </c>
      <c r="D157" t="s">
        <v>12148</v>
      </c>
      <c r="F157" t="s">
        <v>11253</v>
      </c>
      <c r="G157" t="s">
        <v>6983</v>
      </c>
      <c r="H157" s="39"/>
      <c r="I157" s="39"/>
      <c r="J157" t="s">
        <v>12396</v>
      </c>
      <c r="K157" t="s">
        <v>12149</v>
      </c>
      <c r="L157" t="s">
        <v>12359</v>
      </c>
    </row>
    <row r="158" spans="1:14">
      <c r="A158" t="s">
        <v>12350</v>
      </c>
      <c r="B158" t="s">
        <v>12350</v>
      </c>
      <c r="C158" t="s">
        <v>12400</v>
      </c>
      <c r="D158" t="s">
        <v>12148</v>
      </c>
      <c r="F158" t="s">
        <v>11253</v>
      </c>
      <c r="G158" t="s">
        <v>6983</v>
      </c>
      <c r="H158" s="39"/>
      <c r="I158" s="39"/>
      <c r="J158" t="s">
        <v>12396</v>
      </c>
      <c r="K158" t="s">
        <v>12149</v>
      </c>
      <c r="L158" t="s">
        <v>12360</v>
      </c>
      <c r="M158" t="s">
        <v>8461</v>
      </c>
    </row>
    <row r="159" spans="1:14">
      <c r="A159" t="s">
        <v>12351</v>
      </c>
      <c r="B159" t="s">
        <v>12351</v>
      </c>
      <c r="C159" t="s">
        <v>12400</v>
      </c>
      <c r="D159" t="s">
        <v>12148</v>
      </c>
      <c r="F159" t="s">
        <v>11253</v>
      </c>
      <c r="G159" t="s">
        <v>6983</v>
      </c>
      <c r="H159" s="39"/>
      <c r="I159" s="39"/>
      <c r="J159" t="s">
        <v>12396</v>
      </c>
      <c r="K159" t="s">
        <v>12149</v>
      </c>
      <c r="L159" t="s">
        <v>12361</v>
      </c>
      <c r="M159" t="s">
        <v>8461</v>
      </c>
      <c r="N159">
        <v>30223687</v>
      </c>
    </row>
    <row r="160" spans="1:14">
      <c r="A160" t="s">
        <v>12352</v>
      </c>
      <c r="B160" t="s">
        <v>12352</v>
      </c>
      <c r="C160" t="s">
        <v>12400</v>
      </c>
      <c r="D160" t="s">
        <v>12148</v>
      </c>
      <c r="F160" t="s">
        <v>11253</v>
      </c>
      <c r="G160" t="s">
        <v>6983</v>
      </c>
      <c r="H160" s="39"/>
      <c r="I160" s="39"/>
      <c r="J160" t="s">
        <v>12396</v>
      </c>
      <c r="K160" t="s">
        <v>12149</v>
      </c>
      <c r="L160" t="s">
        <v>12362</v>
      </c>
      <c r="M160" t="s">
        <v>8461</v>
      </c>
      <c r="N160">
        <v>30223688</v>
      </c>
    </row>
    <row r="161" spans="1:14">
      <c r="A161" t="s">
        <v>12363</v>
      </c>
      <c r="B161" t="s">
        <v>12363</v>
      </c>
      <c r="C161" t="s">
        <v>12401</v>
      </c>
      <c r="D161" t="s">
        <v>12148</v>
      </c>
      <c r="F161" t="s">
        <v>11253</v>
      </c>
      <c r="G161" t="s">
        <v>6983</v>
      </c>
      <c r="H161" s="39"/>
      <c r="I161" s="39"/>
      <c r="J161" t="s">
        <v>12479</v>
      </c>
      <c r="K161" t="s">
        <v>12149</v>
      </c>
      <c r="L161" t="s">
        <v>12404</v>
      </c>
    </row>
    <row r="162" spans="1:14">
      <c r="A162" t="s">
        <v>12364</v>
      </c>
      <c r="B162" t="s">
        <v>12364</v>
      </c>
      <c r="C162" t="s">
        <v>12401</v>
      </c>
      <c r="D162" t="s">
        <v>12148</v>
      </c>
      <c r="F162" t="s">
        <v>11253</v>
      </c>
      <c r="G162" t="s">
        <v>6983</v>
      </c>
      <c r="H162" s="39"/>
      <c r="I162" s="39"/>
      <c r="J162" t="s">
        <v>12479</v>
      </c>
      <c r="K162" t="s">
        <v>12149</v>
      </c>
      <c r="L162" t="s">
        <v>12405</v>
      </c>
    </row>
    <row r="163" spans="1:14">
      <c r="A163" t="s">
        <v>12365</v>
      </c>
      <c r="B163" t="s">
        <v>12365</v>
      </c>
      <c r="C163" t="s">
        <v>12401</v>
      </c>
      <c r="D163" t="s">
        <v>12148</v>
      </c>
      <c r="F163" t="s">
        <v>11253</v>
      </c>
      <c r="G163" t="s">
        <v>6983</v>
      </c>
      <c r="H163" s="39"/>
      <c r="I163" s="39"/>
      <c r="J163" t="s">
        <v>12479</v>
      </c>
      <c r="K163" t="s">
        <v>12149</v>
      </c>
      <c r="L163" t="s">
        <v>12406</v>
      </c>
    </row>
    <row r="164" spans="1:14">
      <c r="A164" t="s">
        <v>12366</v>
      </c>
      <c r="B164" t="s">
        <v>12366</v>
      </c>
      <c r="C164" t="s">
        <v>12401</v>
      </c>
      <c r="D164" t="s">
        <v>12148</v>
      </c>
      <c r="F164" t="s">
        <v>11253</v>
      </c>
      <c r="G164" t="s">
        <v>6983</v>
      </c>
      <c r="H164" s="39"/>
      <c r="I164" s="39"/>
      <c r="J164" t="s">
        <v>12479</v>
      </c>
      <c r="K164" t="s">
        <v>12149</v>
      </c>
      <c r="L164" t="s">
        <v>12407</v>
      </c>
    </row>
    <row r="165" spans="1:14">
      <c r="A165" t="s">
        <v>12367</v>
      </c>
      <c r="B165" t="s">
        <v>12367</v>
      </c>
      <c r="C165" t="s">
        <v>12401</v>
      </c>
      <c r="D165" t="s">
        <v>12148</v>
      </c>
      <c r="F165" t="s">
        <v>11253</v>
      </c>
      <c r="G165" t="s">
        <v>6983</v>
      </c>
      <c r="H165" s="39"/>
      <c r="I165" s="39"/>
      <c r="J165" t="s">
        <v>12479</v>
      </c>
      <c r="K165" t="s">
        <v>12149</v>
      </c>
      <c r="L165" t="s">
        <v>12408</v>
      </c>
    </row>
    <row r="166" spans="1:14">
      <c r="A166" t="s">
        <v>12368</v>
      </c>
      <c r="B166" t="s">
        <v>12368</v>
      </c>
      <c r="C166" t="s">
        <v>12401</v>
      </c>
      <c r="D166" t="s">
        <v>12148</v>
      </c>
      <c r="F166" t="s">
        <v>11253</v>
      </c>
      <c r="G166" t="s">
        <v>6983</v>
      </c>
      <c r="H166" s="39"/>
      <c r="I166" s="39"/>
      <c r="J166" t="s">
        <v>12479</v>
      </c>
      <c r="K166" t="s">
        <v>12149</v>
      </c>
      <c r="L166" t="s">
        <v>12409</v>
      </c>
    </row>
    <row r="167" spans="1:14">
      <c r="A167" t="s">
        <v>12369</v>
      </c>
      <c r="B167" t="s">
        <v>12369</v>
      </c>
      <c r="C167" t="s">
        <v>12401</v>
      </c>
      <c r="D167" t="s">
        <v>12148</v>
      </c>
      <c r="F167" t="s">
        <v>11253</v>
      </c>
      <c r="G167" t="s">
        <v>6983</v>
      </c>
      <c r="H167" s="39"/>
      <c r="I167" s="39"/>
      <c r="J167" t="s">
        <v>12479</v>
      </c>
      <c r="K167" t="s">
        <v>12149</v>
      </c>
      <c r="L167" t="s">
        <v>12410</v>
      </c>
    </row>
    <row r="168" spans="1:14">
      <c r="A168" t="s">
        <v>12370</v>
      </c>
      <c r="B168" t="s">
        <v>12370</v>
      </c>
      <c r="C168" t="s">
        <v>12401</v>
      </c>
      <c r="D168" t="s">
        <v>12148</v>
      </c>
      <c r="F168" t="s">
        <v>11253</v>
      </c>
      <c r="G168" t="s">
        <v>6983</v>
      </c>
      <c r="H168" s="39"/>
      <c r="I168" s="39"/>
      <c r="J168" t="s">
        <v>12479</v>
      </c>
      <c r="K168" t="s">
        <v>12149</v>
      </c>
      <c r="L168" t="s">
        <v>12411</v>
      </c>
      <c r="M168" t="s">
        <v>8461</v>
      </c>
      <c r="N168">
        <v>30223530</v>
      </c>
    </row>
    <row r="169" spans="1:14">
      <c r="A169" t="s">
        <v>12371</v>
      </c>
      <c r="B169" t="s">
        <v>12371</v>
      </c>
      <c r="C169" t="s">
        <v>12401</v>
      </c>
      <c r="D169" t="s">
        <v>12148</v>
      </c>
      <c r="F169" t="s">
        <v>11253</v>
      </c>
      <c r="G169" t="s">
        <v>6983</v>
      </c>
      <c r="H169" s="39"/>
      <c r="I169" s="39"/>
      <c r="J169" t="s">
        <v>12479</v>
      </c>
      <c r="K169" t="s">
        <v>12149</v>
      </c>
      <c r="L169" t="s">
        <v>12412</v>
      </c>
      <c r="M169" t="s">
        <v>8461</v>
      </c>
      <c r="N169">
        <v>30223531</v>
      </c>
    </row>
    <row r="170" spans="1:14">
      <c r="A170" t="s">
        <v>12372</v>
      </c>
      <c r="B170" t="s">
        <v>12372</v>
      </c>
      <c r="C170" t="s">
        <v>12401</v>
      </c>
      <c r="D170" t="s">
        <v>12148</v>
      </c>
      <c r="F170" t="s">
        <v>11253</v>
      </c>
      <c r="G170" t="s">
        <v>6983</v>
      </c>
      <c r="H170" s="39"/>
      <c r="I170" s="39"/>
      <c r="J170" t="s">
        <v>12479</v>
      </c>
      <c r="K170" t="s">
        <v>12149</v>
      </c>
      <c r="L170" t="s">
        <v>12413</v>
      </c>
      <c r="M170" t="s">
        <v>8461</v>
      </c>
    </row>
    <row r="171" spans="1:14">
      <c r="A171" t="s">
        <v>12373</v>
      </c>
      <c r="B171" t="s">
        <v>12373</v>
      </c>
      <c r="C171" t="s">
        <v>12402</v>
      </c>
      <c r="D171" t="s">
        <v>12148</v>
      </c>
      <c r="F171" t="s">
        <v>11253</v>
      </c>
      <c r="G171" t="s">
        <v>6983</v>
      </c>
      <c r="H171" s="39"/>
      <c r="I171" s="39"/>
      <c r="J171" t="s">
        <v>12480</v>
      </c>
      <c r="K171" t="s">
        <v>12149</v>
      </c>
      <c r="L171" t="s">
        <v>12414</v>
      </c>
      <c r="M171" t="s">
        <v>8461</v>
      </c>
      <c r="N171">
        <v>30136211</v>
      </c>
    </row>
    <row r="172" spans="1:14">
      <c r="A172" t="s">
        <v>12374</v>
      </c>
      <c r="B172" t="s">
        <v>12374</v>
      </c>
      <c r="C172" t="s">
        <v>12402</v>
      </c>
      <c r="D172" t="s">
        <v>12148</v>
      </c>
      <c r="F172" t="s">
        <v>11253</v>
      </c>
      <c r="G172" t="s">
        <v>6983</v>
      </c>
      <c r="H172" s="39"/>
      <c r="I172" s="39"/>
      <c r="J172" t="s">
        <v>12480</v>
      </c>
      <c r="K172" t="s">
        <v>12149</v>
      </c>
      <c r="L172" t="s">
        <v>12415</v>
      </c>
      <c r="M172" t="s">
        <v>8461</v>
      </c>
      <c r="N172">
        <v>14021753</v>
      </c>
    </row>
    <row r="173" spans="1:14">
      <c r="A173" t="s">
        <v>12375</v>
      </c>
      <c r="B173" t="s">
        <v>12375</v>
      </c>
      <c r="C173" t="s">
        <v>12402</v>
      </c>
      <c r="D173" t="s">
        <v>12148</v>
      </c>
      <c r="F173" t="s">
        <v>11253</v>
      </c>
      <c r="G173" t="s">
        <v>6983</v>
      </c>
      <c r="H173" s="39"/>
      <c r="I173" s="39"/>
      <c r="J173" t="s">
        <v>12480</v>
      </c>
      <c r="K173" t="s">
        <v>12149</v>
      </c>
      <c r="L173" t="s">
        <v>12416</v>
      </c>
      <c r="M173" t="s">
        <v>8461</v>
      </c>
      <c r="N173">
        <v>14021754</v>
      </c>
    </row>
    <row r="174" spans="1:14">
      <c r="A174" t="s">
        <v>12376</v>
      </c>
      <c r="B174" t="s">
        <v>12376</v>
      </c>
      <c r="C174" t="s">
        <v>12402</v>
      </c>
      <c r="D174" t="s">
        <v>12148</v>
      </c>
      <c r="F174" t="s">
        <v>11253</v>
      </c>
      <c r="G174" t="s">
        <v>6983</v>
      </c>
      <c r="H174" s="39"/>
      <c r="I174" s="39"/>
      <c r="J174" t="s">
        <v>12480</v>
      </c>
      <c r="K174" t="s">
        <v>12149</v>
      </c>
      <c r="L174" t="s">
        <v>12417</v>
      </c>
      <c r="M174" t="s">
        <v>8461</v>
      </c>
      <c r="N174">
        <v>14021757</v>
      </c>
    </row>
    <row r="175" spans="1:14">
      <c r="A175" t="s">
        <v>12377</v>
      </c>
      <c r="B175" t="s">
        <v>12377</v>
      </c>
      <c r="C175" t="s">
        <v>12402</v>
      </c>
      <c r="D175" t="s">
        <v>12148</v>
      </c>
      <c r="F175" t="s">
        <v>11253</v>
      </c>
      <c r="G175" t="s">
        <v>6983</v>
      </c>
      <c r="H175" s="39"/>
      <c r="I175" s="39"/>
      <c r="J175" t="s">
        <v>12480</v>
      </c>
      <c r="K175" t="s">
        <v>12149</v>
      </c>
      <c r="L175" t="s">
        <v>12418</v>
      </c>
      <c r="M175" t="s">
        <v>8461</v>
      </c>
      <c r="N175">
        <v>14021755</v>
      </c>
    </row>
    <row r="176" spans="1:14">
      <c r="A176" t="s">
        <v>12378</v>
      </c>
      <c r="B176" t="s">
        <v>12378</v>
      </c>
      <c r="C176" t="s">
        <v>12402</v>
      </c>
      <c r="D176" t="s">
        <v>12148</v>
      </c>
      <c r="F176" t="s">
        <v>11253</v>
      </c>
      <c r="G176" t="s">
        <v>6983</v>
      </c>
      <c r="H176" s="39"/>
      <c r="I176" s="39"/>
      <c r="J176" t="s">
        <v>12480</v>
      </c>
      <c r="K176" t="s">
        <v>12149</v>
      </c>
      <c r="L176" t="s">
        <v>12419</v>
      </c>
      <c r="M176" t="s">
        <v>8461</v>
      </c>
      <c r="N176">
        <v>14021756</v>
      </c>
    </row>
    <row r="177" spans="1:14">
      <c r="A177" t="s">
        <v>12379</v>
      </c>
      <c r="B177" t="s">
        <v>12379</v>
      </c>
      <c r="C177" t="s">
        <v>12402</v>
      </c>
      <c r="D177" t="s">
        <v>12148</v>
      </c>
      <c r="F177" t="s">
        <v>11253</v>
      </c>
      <c r="G177" t="s">
        <v>6983</v>
      </c>
      <c r="H177" s="39"/>
      <c r="I177" s="39"/>
      <c r="J177" t="s">
        <v>12480</v>
      </c>
      <c r="K177" t="s">
        <v>12149</v>
      </c>
      <c r="L177" t="s">
        <v>12420</v>
      </c>
    </row>
    <row r="178" spans="1:14">
      <c r="A178" t="s">
        <v>12380</v>
      </c>
      <c r="B178" t="s">
        <v>12380</v>
      </c>
      <c r="C178" t="s">
        <v>12402</v>
      </c>
      <c r="D178" t="s">
        <v>12148</v>
      </c>
      <c r="F178" t="s">
        <v>11253</v>
      </c>
      <c r="G178" t="s">
        <v>6983</v>
      </c>
      <c r="H178" s="39"/>
      <c r="I178" s="39"/>
      <c r="J178" t="s">
        <v>12480</v>
      </c>
      <c r="K178" t="s">
        <v>12149</v>
      </c>
      <c r="L178" t="s">
        <v>12421</v>
      </c>
      <c r="M178" t="s">
        <v>8461</v>
      </c>
      <c r="N178">
        <v>30136213</v>
      </c>
    </row>
    <row r="179" spans="1:14">
      <c r="A179" t="s">
        <v>12381</v>
      </c>
      <c r="B179" t="s">
        <v>12381</v>
      </c>
      <c r="C179" t="s">
        <v>12402</v>
      </c>
      <c r="D179" t="s">
        <v>12148</v>
      </c>
      <c r="F179" t="s">
        <v>11253</v>
      </c>
      <c r="G179" t="s">
        <v>6983</v>
      </c>
      <c r="H179" s="39"/>
      <c r="I179" s="39"/>
      <c r="J179" t="s">
        <v>12480</v>
      </c>
      <c r="K179" t="s">
        <v>12149</v>
      </c>
      <c r="L179" t="s">
        <v>12422</v>
      </c>
    </row>
    <row r="180" spans="1:14">
      <c r="A180" t="s">
        <v>12382</v>
      </c>
      <c r="B180" t="s">
        <v>12382</v>
      </c>
      <c r="C180" t="s">
        <v>12402</v>
      </c>
      <c r="D180" t="s">
        <v>12148</v>
      </c>
      <c r="F180" t="s">
        <v>11253</v>
      </c>
      <c r="G180" t="s">
        <v>6983</v>
      </c>
      <c r="H180" s="39"/>
      <c r="I180" s="39"/>
      <c r="J180" t="s">
        <v>12480</v>
      </c>
      <c r="K180" t="s">
        <v>12149</v>
      </c>
      <c r="L180" t="s">
        <v>12423</v>
      </c>
    </row>
    <row r="181" spans="1:14">
      <c r="A181" t="s">
        <v>12383</v>
      </c>
      <c r="B181" t="s">
        <v>12383</v>
      </c>
      <c r="C181" t="s">
        <v>12403</v>
      </c>
      <c r="D181" t="s">
        <v>12148</v>
      </c>
      <c r="F181" t="s">
        <v>11253</v>
      </c>
      <c r="G181" t="s">
        <v>6983</v>
      </c>
      <c r="H181" s="39"/>
      <c r="I181" s="39"/>
      <c r="J181" t="s">
        <v>12481</v>
      </c>
      <c r="K181" t="s">
        <v>12149</v>
      </c>
      <c r="L181" t="s">
        <v>12424</v>
      </c>
      <c r="M181" t="s">
        <v>8461</v>
      </c>
      <c r="N181">
        <v>14021809</v>
      </c>
    </row>
    <row r="182" spans="1:14">
      <c r="A182" t="s">
        <v>12384</v>
      </c>
      <c r="B182" t="s">
        <v>12384</v>
      </c>
      <c r="C182" t="s">
        <v>12403</v>
      </c>
      <c r="D182" t="s">
        <v>12148</v>
      </c>
      <c r="F182" t="s">
        <v>11253</v>
      </c>
      <c r="G182" t="s">
        <v>6983</v>
      </c>
      <c r="H182" s="39"/>
      <c r="I182" s="39"/>
      <c r="J182" t="s">
        <v>12481</v>
      </c>
      <c r="K182" t="s">
        <v>12149</v>
      </c>
      <c r="L182" t="s">
        <v>12425</v>
      </c>
      <c r="M182" t="s">
        <v>8461</v>
      </c>
      <c r="N182">
        <v>14021804</v>
      </c>
    </row>
    <row r="183" spans="1:14">
      <c r="A183" t="s">
        <v>12385</v>
      </c>
      <c r="B183" t="s">
        <v>12385</v>
      </c>
      <c r="C183" t="s">
        <v>12403</v>
      </c>
      <c r="D183" t="s">
        <v>12148</v>
      </c>
      <c r="F183" t="s">
        <v>11253</v>
      </c>
      <c r="G183" t="s">
        <v>6983</v>
      </c>
      <c r="H183" s="39"/>
      <c r="I183" s="39"/>
      <c r="J183" t="s">
        <v>12481</v>
      </c>
      <c r="K183" t="s">
        <v>12149</v>
      </c>
      <c r="L183" t="s">
        <v>12426</v>
      </c>
      <c r="M183" t="s">
        <v>8461</v>
      </c>
      <c r="N183">
        <v>14021805</v>
      </c>
    </row>
    <row r="184" spans="1:14">
      <c r="A184" t="s">
        <v>12386</v>
      </c>
      <c r="B184" t="s">
        <v>12386</v>
      </c>
      <c r="C184" t="s">
        <v>12403</v>
      </c>
      <c r="D184" t="s">
        <v>12148</v>
      </c>
      <c r="F184" t="s">
        <v>11253</v>
      </c>
      <c r="G184" t="s">
        <v>6983</v>
      </c>
      <c r="H184" s="39"/>
      <c r="I184" s="39"/>
      <c r="J184" t="s">
        <v>12481</v>
      </c>
      <c r="K184" t="s">
        <v>12149</v>
      </c>
      <c r="L184" t="s">
        <v>12427</v>
      </c>
      <c r="M184" t="s">
        <v>8461</v>
      </c>
      <c r="N184">
        <v>14021808</v>
      </c>
    </row>
    <row r="185" spans="1:14">
      <c r="A185" t="s">
        <v>12387</v>
      </c>
      <c r="B185" t="s">
        <v>12387</v>
      </c>
      <c r="C185" t="s">
        <v>12403</v>
      </c>
      <c r="D185" t="s">
        <v>12148</v>
      </c>
      <c r="F185" t="s">
        <v>11253</v>
      </c>
      <c r="G185" t="s">
        <v>6983</v>
      </c>
      <c r="H185" s="39"/>
      <c r="I185" s="39"/>
      <c r="J185" t="s">
        <v>12481</v>
      </c>
      <c r="K185" t="s">
        <v>12149</v>
      </c>
      <c r="L185" t="s">
        <v>12428</v>
      </c>
    </row>
    <row r="186" spans="1:14">
      <c r="A186" t="s">
        <v>12388</v>
      </c>
      <c r="B186" t="s">
        <v>12388</v>
      </c>
      <c r="C186" t="s">
        <v>12403</v>
      </c>
      <c r="D186" t="s">
        <v>12148</v>
      </c>
      <c r="F186" t="s">
        <v>11253</v>
      </c>
      <c r="G186" t="s">
        <v>6983</v>
      </c>
      <c r="H186" s="39"/>
      <c r="I186" s="39"/>
      <c r="J186" t="s">
        <v>12481</v>
      </c>
      <c r="K186" t="s">
        <v>12149</v>
      </c>
      <c r="L186" t="s">
        <v>12429</v>
      </c>
    </row>
    <row r="187" spans="1:14">
      <c r="A187" t="s">
        <v>12389</v>
      </c>
      <c r="B187" t="s">
        <v>12389</v>
      </c>
      <c r="C187" t="s">
        <v>12403</v>
      </c>
      <c r="D187" t="s">
        <v>12148</v>
      </c>
      <c r="F187" t="s">
        <v>11253</v>
      </c>
      <c r="G187" t="s">
        <v>6983</v>
      </c>
      <c r="H187" s="39"/>
      <c r="I187" s="39"/>
      <c r="J187" t="s">
        <v>12481</v>
      </c>
      <c r="K187" t="s">
        <v>12149</v>
      </c>
      <c r="L187" t="s">
        <v>12430</v>
      </c>
    </row>
    <row r="188" spans="1:14">
      <c r="A188" t="s">
        <v>12390</v>
      </c>
      <c r="B188" t="s">
        <v>12390</v>
      </c>
      <c r="C188" t="s">
        <v>12403</v>
      </c>
      <c r="D188" t="s">
        <v>12148</v>
      </c>
      <c r="F188" t="s">
        <v>11253</v>
      </c>
      <c r="G188" t="s">
        <v>6983</v>
      </c>
      <c r="H188" s="39"/>
      <c r="I188" s="39"/>
      <c r="J188" t="s">
        <v>12481</v>
      </c>
      <c r="K188" t="s">
        <v>12149</v>
      </c>
      <c r="L188" t="s">
        <v>12431</v>
      </c>
    </row>
    <row r="189" spans="1:14">
      <c r="A189" t="s">
        <v>12391</v>
      </c>
      <c r="B189" t="s">
        <v>12391</v>
      </c>
      <c r="C189" t="s">
        <v>12403</v>
      </c>
      <c r="D189" t="s">
        <v>12148</v>
      </c>
      <c r="F189" t="s">
        <v>11253</v>
      </c>
      <c r="G189" t="s">
        <v>6983</v>
      </c>
      <c r="H189" s="39"/>
      <c r="I189" s="39"/>
      <c r="J189" t="s">
        <v>12481</v>
      </c>
      <c r="K189" t="s">
        <v>12149</v>
      </c>
      <c r="L189" t="s">
        <v>12432</v>
      </c>
    </row>
    <row r="190" spans="1:14">
      <c r="A190" t="s">
        <v>12392</v>
      </c>
      <c r="B190" t="s">
        <v>12392</v>
      </c>
      <c r="C190" t="s">
        <v>12403</v>
      </c>
      <c r="D190" t="s">
        <v>12148</v>
      </c>
      <c r="F190" t="s">
        <v>11253</v>
      </c>
      <c r="G190" t="s">
        <v>6983</v>
      </c>
      <c r="H190" s="39"/>
      <c r="I190" s="39"/>
      <c r="J190" t="s">
        <v>12481</v>
      </c>
      <c r="K190" t="s">
        <v>12149</v>
      </c>
      <c r="L190" t="s">
        <v>12433</v>
      </c>
    </row>
    <row r="191" spans="1:14">
      <c r="A191" t="s">
        <v>12457</v>
      </c>
      <c r="B191" t="s">
        <v>12457</v>
      </c>
      <c r="C191" t="s">
        <v>12478</v>
      </c>
      <c r="D191" t="s">
        <v>12148</v>
      </c>
      <c r="F191" t="s">
        <v>11253</v>
      </c>
      <c r="G191" t="s">
        <v>6983</v>
      </c>
      <c r="H191" s="39"/>
      <c r="I191" s="39"/>
      <c r="J191" t="s">
        <v>12434</v>
      </c>
      <c r="K191" t="s">
        <v>12149</v>
      </c>
      <c r="L191" t="s">
        <v>12435</v>
      </c>
    </row>
    <row r="192" spans="1:14">
      <c r="A192" t="s">
        <v>12458</v>
      </c>
      <c r="B192" t="s">
        <v>12458</v>
      </c>
      <c r="C192" t="s">
        <v>12478</v>
      </c>
      <c r="D192" t="s">
        <v>12148</v>
      </c>
      <c r="F192" t="s">
        <v>11253</v>
      </c>
      <c r="G192" t="s">
        <v>6983</v>
      </c>
      <c r="H192" s="39"/>
      <c r="I192" s="39"/>
      <c r="J192" t="s">
        <v>12434</v>
      </c>
      <c r="K192" t="s">
        <v>12149</v>
      </c>
      <c r="L192" t="s">
        <v>12436</v>
      </c>
      <c r="M192" t="s">
        <v>8461</v>
      </c>
      <c r="N192">
        <v>30136393</v>
      </c>
    </row>
    <row r="193" spans="1:14">
      <c r="A193" t="s">
        <v>12459</v>
      </c>
      <c r="B193" t="s">
        <v>12459</v>
      </c>
      <c r="C193" t="s">
        <v>12478</v>
      </c>
      <c r="D193" t="s">
        <v>12148</v>
      </c>
      <c r="F193" t="s">
        <v>11253</v>
      </c>
      <c r="G193" t="s">
        <v>6983</v>
      </c>
      <c r="H193" s="39"/>
      <c r="I193" s="39"/>
      <c r="J193" t="s">
        <v>12434</v>
      </c>
      <c r="K193" t="s">
        <v>12149</v>
      </c>
      <c r="L193" t="s">
        <v>12437</v>
      </c>
      <c r="M193" t="s">
        <v>8461</v>
      </c>
      <c r="N193">
        <v>30136394</v>
      </c>
    </row>
    <row r="194" spans="1:14">
      <c r="A194" t="s">
        <v>12460</v>
      </c>
      <c r="B194" t="s">
        <v>12460</v>
      </c>
      <c r="C194" t="s">
        <v>12478</v>
      </c>
      <c r="D194" t="s">
        <v>12148</v>
      </c>
      <c r="F194" t="s">
        <v>11253</v>
      </c>
      <c r="G194" t="s">
        <v>6983</v>
      </c>
      <c r="H194" s="39"/>
      <c r="I194" s="39"/>
      <c r="J194" t="s">
        <v>12434</v>
      </c>
      <c r="K194" t="s">
        <v>12149</v>
      </c>
      <c r="L194" t="s">
        <v>12438</v>
      </c>
      <c r="M194" t="s">
        <v>8461</v>
      </c>
      <c r="N194">
        <v>30136395</v>
      </c>
    </row>
    <row r="195" spans="1:14">
      <c r="A195" t="s">
        <v>12461</v>
      </c>
      <c r="B195" t="s">
        <v>12461</v>
      </c>
      <c r="C195" t="s">
        <v>12478</v>
      </c>
      <c r="D195" t="s">
        <v>12148</v>
      </c>
      <c r="F195" t="s">
        <v>11253</v>
      </c>
      <c r="G195" t="s">
        <v>6983</v>
      </c>
      <c r="H195" s="39"/>
      <c r="I195" s="39"/>
      <c r="J195" t="s">
        <v>12434</v>
      </c>
      <c r="K195" t="s">
        <v>12149</v>
      </c>
      <c r="L195" t="s">
        <v>12439</v>
      </c>
      <c r="M195" t="s">
        <v>8461</v>
      </c>
      <c r="N195">
        <v>30136396</v>
      </c>
    </row>
    <row r="196" spans="1:14">
      <c r="A196" t="s">
        <v>12462</v>
      </c>
      <c r="B196" t="s">
        <v>12462</v>
      </c>
      <c r="C196" t="s">
        <v>12478</v>
      </c>
      <c r="D196" t="s">
        <v>12148</v>
      </c>
      <c r="F196" t="s">
        <v>11253</v>
      </c>
      <c r="G196" t="s">
        <v>6983</v>
      </c>
      <c r="H196" s="39"/>
      <c r="I196" s="39"/>
      <c r="J196" t="s">
        <v>12434</v>
      </c>
      <c r="K196" t="s">
        <v>12149</v>
      </c>
      <c r="L196" t="s">
        <v>12440</v>
      </c>
    </row>
    <row r="197" spans="1:14">
      <c r="A197" t="s">
        <v>12463</v>
      </c>
      <c r="B197" t="s">
        <v>12463</v>
      </c>
      <c r="C197" t="s">
        <v>12478</v>
      </c>
      <c r="D197" t="s">
        <v>12148</v>
      </c>
      <c r="F197" t="s">
        <v>11253</v>
      </c>
      <c r="G197" t="s">
        <v>6983</v>
      </c>
      <c r="H197" s="39"/>
      <c r="I197" s="39"/>
      <c r="J197" t="s">
        <v>12434</v>
      </c>
      <c r="K197" t="s">
        <v>12149</v>
      </c>
      <c r="L197" t="s">
        <v>12441</v>
      </c>
    </row>
    <row r="198" spans="1:14">
      <c r="A198" t="s">
        <v>12464</v>
      </c>
      <c r="B198" t="s">
        <v>12464</v>
      </c>
      <c r="C198" t="s">
        <v>12478</v>
      </c>
      <c r="D198" t="s">
        <v>12148</v>
      </c>
      <c r="F198" t="s">
        <v>11253</v>
      </c>
      <c r="G198" t="s">
        <v>6983</v>
      </c>
      <c r="H198" s="39"/>
      <c r="I198" s="39"/>
      <c r="J198" t="s">
        <v>12434</v>
      </c>
      <c r="K198" t="s">
        <v>12149</v>
      </c>
      <c r="L198" t="s">
        <v>12442</v>
      </c>
      <c r="M198" t="s">
        <v>8461</v>
      </c>
      <c r="N198">
        <v>30136399</v>
      </c>
    </row>
    <row r="199" spans="1:14">
      <c r="A199" t="s">
        <v>12465</v>
      </c>
      <c r="B199" t="s">
        <v>12465</v>
      </c>
      <c r="C199" t="s">
        <v>12478</v>
      </c>
      <c r="D199" t="s">
        <v>12148</v>
      </c>
      <c r="F199" t="s">
        <v>11253</v>
      </c>
      <c r="G199" t="s">
        <v>6983</v>
      </c>
      <c r="H199" s="39"/>
      <c r="I199" s="39"/>
      <c r="J199" t="s">
        <v>12434</v>
      </c>
      <c r="K199" t="s">
        <v>12149</v>
      </c>
      <c r="L199" t="s">
        <v>12443</v>
      </c>
      <c r="M199" t="s">
        <v>8461</v>
      </c>
      <c r="N199">
        <v>30136400</v>
      </c>
    </row>
    <row r="200" spans="1:14">
      <c r="A200" t="s">
        <v>12466</v>
      </c>
      <c r="B200" t="s">
        <v>12466</v>
      </c>
      <c r="C200" t="s">
        <v>12478</v>
      </c>
      <c r="D200" t="s">
        <v>12148</v>
      </c>
      <c r="F200" t="s">
        <v>11253</v>
      </c>
      <c r="G200" t="s">
        <v>6983</v>
      </c>
      <c r="H200" s="39"/>
      <c r="I200" s="39"/>
      <c r="J200" t="s">
        <v>12434</v>
      </c>
      <c r="K200" t="s">
        <v>12149</v>
      </c>
      <c r="L200" t="s">
        <v>12444</v>
      </c>
    </row>
    <row r="201" spans="1:14">
      <c r="A201" t="s">
        <v>12467</v>
      </c>
      <c r="B201" t="s">
        <v>12467</v>
      </c>
      <c r="C201" t="s">
        <v>12468</v>
      </c>
      <c r="D201" t="s">
        <v>12148</v>
      </c>
      <c r="F201" t="s">
        <v>11253</v>
      </c>
      <c r="G201" t="s">
        <v>6983</v>
      </c>
      <c r="H201" s="39"/>
      <c r="I201" s="39"/>
      <c r="J201" t="s">
        <v>12456</v>
      </c>
      <c r="K201" t="s">
        <v>12149</v>
      </c>
      <c r="L201" t="s">
        <v>12445</v>
      </c>
    </row>
    <row r="202" spans="1:14">
      <c r="A202" t="s">
        <v>12469</v>
      </c>
      <c r="B202" t="s">
        <v>12469</v>
      </c>
      <c r="C202" t="s">
        <v>12468</v>
      </c>
      <c r="D202" t="s">
        <v>12148</v>
      </c>
      <c r="F202" t="s">
        <v>11253</v>
      </c>
      <c r="G202" t="s">
        <v>6983</v>
      </c>
      <c r="H202" s="39"/>
      <c r="I202" s="39"/>
      <c r="J202" t="s">
        <v>12456</v>
      </c>
      <c r="K202" t="s">
        <v>12149</v>
      </c>
      <c r="L202" t="s">
        <v>12446</v>
      </c>
      <c r="M202" t="s">
        <v>8461</v>
      </c>
      <c r="N202">
        <v>30136403</v>
      </c>
    </row>
    <row r="203" spans="1:14">
      <c r="A203" t="s">
        <v>12470</v>
      </c>
      <c r="B203" t="s">
        <v>12470</v>
      </c>
      <c r="C203" t="s">
        <v>12468</v>
      </c>
      <c r="D203" t="s">
        <v>12148</v>
      </c>
      <c r="F203" t="s">
        <v>11253</v>
      </c>
      <c r="G203" t="s">
        <v>6983</v>
      </c>
      <c r="H203" s="39"/>
      <c r="I203" s="39"/>
      <c r="J203" t="s">
        <v>12456</v>
      </c>
      <c r="K203" t="s">
        <v>12149</v>
      </c>
      <c r="L203" t="s">
        <v>12447</v>
      </c>
      <c r="M203" t="s">
        <v>8461</v>
      </c>
      <c r="N203">
        <v>30136404</v>
      </c>
    </row>
    <row r="204" spans="1:14">
      <c r="A204" t="s">
        <v>12471</v>
      </c>
      <c r="B204" t="s">
        <v>12471</v>
      </c>
      <c r="C204" t="s">
        <v>12468</v>
      </c>
      <c r="D204" t="s">
        <v>12148</v>
      </c>
      <c r="F204" t="s">
        <v>11253</v>
      </c>
      <c r="G204" t="s">
        <v>6983</v>
      </c>
      <c r="H204" s="39"/>
      <c r="I204" s="39"/>
      <c r="J204" t="s">
        <v>12456</v>
      </c>
      <c r="K204" t="s">
        <v>12149</v>
      </c>
      <c r="L204" t="s">
        <v>12448</v>
      </c>
      <c r="M204" t="s">
        <v>8461</v>
      </c>
      <c r="N204">
        <v>30136405</v>
      </c>
    </row>
    <row r="205" spans="1:14">
      <c r="A205" t="s">
        <v>12472</v>
      </c>
      <c r="B205" t="s">
        <v>12472</v>
      </c>
      <c r="C205" t="s">
        <v>12468</v>
      </c>
      <c r="D205" t="s">
        <v>12148</v>
      </c>
      <c r="F205" t="s">
        <v>11253</v>
      </c>
      <c r="G205" t="s">
        <v>6983</v>
      </c>
      <c r="H205" s="39"/>
      <c r="I205" s="39"/>
      <c r="J205" t="s">
        <v>12456</v>
      </c>
      <c r="K205" t="s">
        <v>12149</v>
      </c>
      <c r="L205" t="s">
        <v>12449</v>
      </c>
    </row>
    <row r="206" spans="1:14">
      <c r="A206" t="s">
        <v>12473</v>
      </c>
      <c r="B206" t="s">
        <v>12473</v>
      </c>
      <c r="C206" t="s">
        <v>12468</v>
      </c>
      <c r="D206" t="s">
        <v>12148</v>
      </c>
      <c r="F206" t="s">
        <v>11253</v>
      </c>
      <c r="G206" t="s">
        <v>6983</v>
      </c>
      <c r="H206" s="39"/>
      <c r="I206" s="39"/>
      <c r="J206" t="s">
        <v>12456</v>
      </c>
      <c r="K206" t="s">
        <v>12149</v>
      </c>
      <c r="L206" t="s">
        <v>12450</v>
      </c>
    </row>
    <row r="207" spans="1:14">
      <c r="A207" t="s">
        <v>12474</v>
      </c>
      <c r="B207" t="s">
        <v>12474</v>
      </c>
      <c r="C207" t="s">
        <v>12468</v>
      </c>
      <c r="D207" t="s">
        <v>12148</v>
      </c>
      <c r="F207" t="s">
        <v>11253</v>
      </c>
      <c r="G207" t="s">
        <v>6983</v>
      </c>
      <c r="H207" s="39"/>
      <c r="I207" s="39"/>
      <c r="J207" t="s">
        <v>12456</v>
      </c>
      <c r="K207" t="s">
        <v>12149</v>
      </c>
      <c r="L207" t="s">
        <v>12451</v>
      </c>
    </row>
    <row r="208" spans="1:14">
      <c r="A208" t="s">
        <v>12475</v>
      </c>
      <c r="B208" t="s">
        <v>12475</v>
      </c>
      <c r="C208" t="s">
        <v>12468</v>
      </c>
      <c r="D208" t="s">
        <v>12148</v>
      </c>
      <c r="F208" t="s">
        <v>11253</v>
      </c>
      <c r="G208" t="s">
        <v>6983</v>
      </c>
      <c r="H208" s="39"/>
      <c r="I208" s="39"/>
      <c r="J208" t="s">
        <v>12456</v>
      </c>
      <c r="K208" t="s">
        <v>12149</v>
      </c>
      <c r="L208" t="s">
        <v>12452</v>
      </c>
      <c r="M208" t="s">
        <v>8461</v>
      </c>
      <c r="N208">
        <v>30136409</v>
      </c>
    </row>
    <row r="209" spans="1:14">
      <c r="A209" t="s">
        <v>12476</v>
      </c>
      <c r="B209" t="s">
        <v>12476</v>
      </c>
      <c r="C209" t="s">
        <v>12468</v>
      </c>
      <c r="D209" t="s">
        <v>12148</v>
      </c>
      <c r="F209" t="s">
        <v>11253</v>
      </c>
      <c r="G209" t="s">
        <v>6983</v>
      </c>
      <c r="H209" s="39"/>
      <c r="I209" s="39"/>
      <c r="J209" t="s">
        <v>12456</v>
      </c>
      <c r="K209" t="s">
        <v>12149</v>
      </c>
      <c r="L209" t="s">
        <v>12453</v>
      </c>
      <c r="M209" t="s">
        <v>8461</v>
      </c>
      <c r="N209">
        <v>30136410</v>
      </c>
    </row>
    <row r="210" spans="1:14">
      <c r="A210" t="s">
        <v>12477</v>
      </c>
      <c r="B210" t="s">
        <v>12477</v>
      </c>
      <c r="C210" t="s">
        <v>12468</v>
      </c>
      <c r="D210" t="s">
        <v>12148</v>
      </c>
      <c r="F210" t="s">
        <v>11253</v>
      </c>
      <c r="G210" t="s">
        <v>6983</v>
      </c>
      <c r="H210" s="39"/>
      <c r="I210" s="39"/>
      <c r="J210" t="s">
        <v>12456</v>
      </c>
      <c r="K210" t="s">
        <v>12149</v>
      </c>
      <c r="L210" t="s">
        <v>12455</v>
      </c>
    </row>
    <row r="211" spans="1:14">
      <c r="A211" t="s">
        <v>12235</v>
      </c>
      <c r="B211" t="s">
        <v>12235</v>
      </c>
      <c r="C211" t="s">
        <v>12236</v>
      </c>
      <c r="D211" t="s">
        <v>12237</v>
      </c>
      <c r="F211" t="s">
        <v>8467</v>
      </c>
      <c r="G211" t="s">
        <v>12238</v>
      </c>
      <c r="H211" t="s">
        <v>8469</v>
      </c>
      <c r="I211" t="s">
        <v>12235</v>
      </c>
      <c r="J211" t="s">
        <v>12239</v>
      </c>
      <c r="K211" t="s">
        <v>12237</v>
      </c>
      <c r="L211" t="s">
        <v>12235</v>
      </c>
      <c r="M211" t="s">
        <v>25</v>
      </c>
      <c r="N211" t="s">
        <v>12240</v>
      </c>
    </row>
    <row r="212" spans="1:14">
      <c r="A212" t="s">
        <v>12256</v>
      </c>
      <c r="B212" t="s">
        <v>12256</v>
      </c>
      <c r="C212" t="s">
        <v>12242</v>
      </c>
      <c r="D212" t="s">
        <v>12255</v>
      </c>
      <c r="F212" t="s">
        <v>8000</v>
      </c>
      <c r="G212" t="s">
        <v>8001</v>
      </c>
      <c r="H212" t="s">
        <v>8002</v>
      </c>
      <c r="I212" t="s">
        <v>12284</v>
      </c>
      <c r="J212" t="s">
        <v>12241</v>
      </c>
      <c r="K212" t="s">
        <v>12255</v>
      </c>
      <c r="L212" t="s">
        <v>12256</v>
      </c>
      <c r="M212" t="s">
        <v>25</v>
      </c>
      <c r="N212" t="s">
        <v>12286</v>
      </c>
    </row>
    <row r="213" spans="1:14">
      <c r="A213" t="s">
        <v>12257</v>
      </c>
      <c r="B213" t="s">
        <v>12257</v>
      </c>
      <c r="C213" t="s">
        <v>12243</v>
      </c>
      <c r="D213" t="s">
        <v>12255</v>
      </c>
      <c r="F213" t="s">
        <v>8000</v>
      </c>
      <c r="G213" t="s">
        <v>12283</v>
      </c>
      <c r="H213" t="s">
        <v>8002</v>
      </c>
      <c r="I213" t="s">
        <v>12285</v>
      </c>
      <c r="J213" t="s">
        <v>12241</v>
      </c>
      <c r="K213" t="s">
        <v>12255</v>
      </c>
      <c r="L213" t="s">
        <v>12257</v>
      </c>
      <c r="M213" t="s">
        <v>25</v>
      </c>
      <c r="N213" t="s">
        <v>12287</v>
      </c>
    </row>
    <row r="214" spans="1:14">
      <c r="A214" t="s">
        <v>12258</v>
      </c>
      <c r="B214" t="s">
        <v>12258</v>
      </c>
      <c r="C214" t="s">
        <v>12244</v>
      </c>
      <c r="D214" t="s">
        <v>12255</v>
      </c>
      <c r="F214" t="s">
        <v>8000</v>
      </c>
      <c r="G214" t="s">
        <v>12283</v>
      </c>
      <c r="H214" t="s">
        <v>8002</v>
      </c>
      <c r="I214" t="s">
        <v>12285</v>
      </c>
      <c r="J214" t="s">
        <v>12241</v>
      </c>
      <c r="K214" t="s">
        <v>12255</v>
      </c>
      <c r="L214" t="s">
        <v>12258</v>
      </c>
      <c r="M214" t="s">
        <v>25</v>
      </c>
      <c r="N214" t="s">
        <v>12288</v>
      </c>
    </row>
    <row r="215" spans="1:14">
      <c r="A215" t="s">
        <v>12259</v>
      </c>
      <c r="B215" t="s">
        <v>12259</v>
      </c>
      <c r="C215" t="s">
        <v>12243</v>
      </c>
      <c r="D215" t="s">
        <v>12255</v>
      </c>
      <c r="F215" t="s">
        <v>8000</v>
      </c>
      <c r="G215" t="s">
        <v>12283</v>
      </c>
      <c r="H215" t="s">
        <v>8002</v>
      </c>
      <c r="I215" t="s">
        <v>12285</v>
      </c>
      <c r="J215" t="s">
        <v>12241</v>
      </c>
      <c r="K215" t="s">
        <v>12255</v>
      </c>
      <c r="L215" t="s">
        <v>12259</v>
      </c>
      <c r="M215" t="s">
        <v>25</v>
      </c>
      <c r="N215" t="s">
        <v>12289</v>
      </c>
    </row>
    <row r="216" spans="1:14">
      <c r="A216" t="s">
        <v>12260</v>
      </c>
      <c r="B216" t="s">
        <v>12260</v>
      </c>
      <c r="C216" t="s">
        <v>12245</v>
      </c>
      <c r="D216" t="s">
        <v>12255</v>
      </c>
      <c r="F216" t="s">
        <v>8000</v>
      </c>
      <c r="G216" t="s">
        <v>12283</v>
      </c>
      <c r="H216" t="s">
        <v>8002</v>
      </c>
      <c r="I216" t="s">
        <v>12285</v>
      </c>
      <c r="J216" t="s">
        <v>12241</v>
      </c>
      <c r="K216" t="s">
        <v>12255</v>
      </c>
      <c r="L216" t="s">
        <v>12260</v>
      </c>
      <c r="M216" t="s">
        <v>25</v>
      </c>
      <c r="N216" t="s">
        <v>12290</v>
      </c>
    </row>
    <row r="217" spans="1:14">
      <c r="A217" t="s">
        <v>12261</v>
      </c>
      <c r="B217" t="s">
        <v>12261</v>
      </c>
      <c r="C217" t="s">
        <v>12246</v>
      </c>
      <c r="D217" t="s">
        <v>12255</v>
      </c>
      <c r="F217" t="s">
        <v>8000</v>
      </c>
      <c r="G217" t="s">
        <v>12283</v>
      </c>
      <c r="H217" t="s">
        <v>8002</v>
      </c>
      <c r="I217" t="s">
        <v>12285</v>
      </c>
      <c r="J217" t="s">
        <v>12241</v>
      </c>
      <c r="K217" t="s">
        <v>12255</v>
      </c>
      <c r="L217" t="s">
        <v>12261</v>
      </c>
      <c r="M217" t="s">
        <v>25</v>
      </c>
      <c r="N217" t="s">
        <v>12291</v>
      </c>
    </row>
    <row r="218" spans="1:14">
      <c r="A218" t="s">
        <v>12262</v>
      </c>
      <c r="B218" t="s">
        <v>12262</v>
      </c>
      <c r="C218" t="s">
        <v>12247</v>
      </c>
      <c r="D218" t="s">
        <v>12255</v>
      </c>
      <c r="F218" t="s">
        <v>8000</v>
      </c>
      <c r="G218" t="s">
        <v>8001</v>
      </c>
      <c r="H218" t="s">
        <v>8002</v>
      </c>
      <c r="I218" t="s">
        <v>12284</v>
      </c>
      <c r="J218" t="s">
        <v>12241</v>
      </c>
      <c r="K218" t="s">
        <v>12255</v>
      </c>
      <c r="L218" t="s">
        <v>12262</v>
      </c>
      <c r="M218" t="s">
        <v>25</v>
      </c>
      <c r="N218" t="s">
        <v>12292</v>
      </c>
    </row>
    <row r="219" spans="1:14">
      <c r="A219" t="s">
        <v>12263</v>
      </c>
      <c r="B219" t="s">
        <v>12263</v>
      </c>
      <c r="C219" t="s">
        <v>12246</v>
      </c>
      <c r="D219" t="s">
        <v>12255</v>
      </c>
      <c r="F219" t="s">
        <v>8000</v>
      </c>
      <c r="G219" t="s">
        <v>12283</v>
      </c>
      <c r="H219" t="s">
        <v>8002</v>
      </c>
      <c r="I219" t="s">
        <v>12285</v>
      </c>
      <c r="J219" t="s">
        <v>12241</v>
      </c>
      <c r="K219" t="s">
        <v>12255</v>
      </c>
      <c r="L219" t="s">
        <v>12263</v>
      </c>
      <c r="M219" t="s">
        <v>25</v>
      </c>
      <c r="N219" t="s">
        <v>12293</v>
      </c>
    </row>
    <row r="220" spans="1:14">
      <c r="A220" t="s">
        <v>12264</v>
      </c>
      <c r="B220" t="s">
        <v>12264</v>
      </c>
      <c r="C220" t="s">
        <v>12245</v>
      </c>
      <c r="D220" t="s">
        <v>12255</v>
      </c>
      <c r="F220" t="s">
        <v>8000</v>
      </c>
      <c r="G220" t="s">
        <v>12283</v>
      </c>
      <c r="H220" t="s">
        <v>8002</v>
      </c>
      <c r="I220" t="s">
        <v>12285</v>
      </c>
      <c r="J220" t="s">
        <v>12241</v>
      </c>
      <c r="K220" t="s">
        <v>12255</v>
      </c>
      <c r="L220" t="s">
        <v>12264</v>
      </c>
      <c r="M220" t="s">
        <v>25</v>
      </c>
      <c r="N220" t="s">
        <v>12294</v>
      </c>
    </row>
    <row r="221" spans="1:14">
      <c r="A221" t="s">
        <v>12265</v>
      </c>
      <c r="B221" t="s">
        <v>12265</v>
      </c>
      <c r="C221" t="s">
        <v>12248</v>
      </c>
      <c r="D221" t="s">
        <v>12255</v>
      </c>
      <c r="F221" t="s">
        <v>8000</v>
      </c>
      <c r="G221" t="s">
        <v>8001</v>
      </c>
      <c r="H221" t="s">
        <v>8002</v>
      </c>
      <c r="I221" t="s">
        <v>12284</v>
      </c>
      <c r="J221" t="s">
        <v>12241</v>
      </c>
      <c r="K221" t="s">
        <v>12255</v>
      </c>
      <c r="L221" t="s">
        <v>12265</v>
      </c>
      <c r="M221" t="s">
        <v>25</v>
      </c>
      <c r="N221" t="s">
        <v>12295</v>
      </c>
    </row>
    <row r="2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v>8000</v>
      </c>
      <c r="G222" t="s">
        <v>8001</v>
      </c>
      <c r="H222" t="s">
        <v>8002</v>
      </c>
      <c r="I222" t="s">
        <v>12284</v>
      </c>
      <c r="J222" t="s">
        <v>12241</v>
      </c>
      <c r="K222" t="s">
        <v>12255</v>
      </c>
      <c r="L222" t="s">
        <v>12266</v>
      </c>
      <c r="M222" t="s">
        <v>25</v>
      </c>
      <c r="N222" t="s">
        <v>12296</v>
      </c>
    </row>
    <row r="223" spans="1:14">
      <c r="A223" t="s">
        <v>12267</v>
      </c>
      <c r="B223" t="s">
        <v>12267</v>
      </c>
      <c r="C223" t="s">
        <v>12248</v>
      </c>
      <c r="D223" t="s">
        <v>12255</v>
      </c>
      <c r="F223" t="s">
        <v>8000</v>
      </c>
      <c r="G223" t="s">
        <v>8001</v>
      </c>
      <c r="H223" t="s">
        <v>8002</v>
      </c>
      <c r="I223" t="s">
        <v>12284</v>
      </c>
      <c r="J223" t="s">
        <v>12241</v>
      </c>
      <c r="K223" t="s">
        <v>12255</v>
      </c>
      <c r="L223" t="s">
        <v>12267</v>
      </c>
      <c r="M223" t="s">
        <v>25</v>
      </c>
      <c r="N223" t="s">
        <v>12297</v>
      </c>
    </row>
    <row r="224" spans="1:14">
      <c r="A224" t="s">
        <v>12268</v>
      </c>
      <c r="B224" t="s">
        <v>12268</v>
      </c>
      <c r="C224" t="s">
        <v>12244</v>
      </c>
      <c r="D224" t="s">
        <v>12255</v>
      </c>
      <c r="F224" t="s">
        <v>8000</v>
      </c>
      <c r="G224" t="s">
        <v>12283</v>
      </c>
      <c r="H224" t="s">
        <v>8002</v>
      </c>
      <c r="I224" t="s">
        <v>12285</v>
      </c>
      <c r="J224" t="s">
        <v>12241</v>
      </c>
      <c r="K224" t="s">
        <v>12255</v>
      </c>
      <c r="L224" t="s">
        <v>12268</v>
      </c>
      <c r="M224" t="s">
        <v>25</v>
      </c>
      <c r="N224" t="s">
        <v>12298</v>
      </c>
    </row>
    <row r="225" spans="1:18">
      <c r="A225" t="s">
        <v>12269</v>
      </c>
      <c r="B225" t="s">
        <v>12269</v>
      </c>
      <c r="C225" t="s">
        <v>12244</v>
      </c>
      <c r="D225" t="s">
        <v>12255</v>
      </c>
      <c r="F225" t="s">
        <v>8000</v>
      </c>
      <c r="G225" t="s">
        <v>12283</v>
      </c>
      <c r="H225" t="s">
        <v>8002</v>
      </c>
      <c r="I225" t="s">
        <v>12285</v>
      </c>
      <c r="J225" t="s">
        <v>12241</v>
      </c>
      <c r="K225" t="s">
        <v>12255</v>
      </c>
      <c r="L225" t="s">
        <v>12269</v>
      </c>
      <c r="M225" t="s">
        <v>25</v>
      </c>
      <c r="N225" t="s">
        <v>12299</v>
      </c>
    </row>
    <row r="226" spans="1:18">
      <c r="A226" t="s">
        <v>12270</v>
      </c>
      <c r="B226" t="s">
        <v>12270</v>
      </c>
      <c r="C226" t="s">
        <v>12242</v>
      </c>
      <c r="D226" t="s">
        <v>12255</v>
      </c>
      <c r="F226" t="s">
        <v>8000</v>
      </c>
      <c r="G226" t="s">
        <v>8001</v>
      </c>
      <c r="H226" t="s">
        <v>8002</v>
      </c>
      <c r="I226" t="s">
        <v>12284</v>
      </c>
      <c r="J226" t="s">
        <v>12241</v>
      </c>
      <c r="K226" t="s">
        <v>12255</v>
      </c>
      <c r="L226" t="s">
        <v>12270</v>
      </c>
      <c r="M226" t="s">
        <v>25</v>
      </c>
      <c r="N226" t="s">
        <v>12300</v>
      </c>
    </row>
    <row r="227" spans="1:18">
      <c r="A227" t="s">
        <v>12271</v>
      </c>
      <c r="B227" t="s">
        <v>12271</v>
      </c>
      <c r="C227" t="s">
        <v>12242</v>
      </c>
      <c r="D227" t="s">
        <v>12255</v>
      </c>
      <c r="F227" t="s">
        <v>8000</v>
      </c>
      <c r="G227" t="s">
        <v>8001</v>
      </c>
      <c r="H227" t="s">
        <v>8002</v>
      </c>
      <c r="I227" t="s">
        <v>12284</v>
      </c>
      <c r="J227" t="s">
        <v>12241</v>
      </c>
      <c r="K227" t="s">
        <v>12255</v>
      </c>
      <c r="L227" t="s">
        <v>12271</v>
      </c>
      <c r="M227" t="s">
        <v>25</v>
      </c>
      <c r="N227" t="s">
        <v>12301</v>
      </c>
    </row>
    <row r="228" spans="1:18">
      <c r="A228" t="s">
        <v>12272</v>
      </c>
      <c r="B228" t="s">
        <v>12272</v>
      </c>
      <c r="C228" t="s">
        <v>12249</v>
      </c>
      <c r="D228" t="s">
        <v>12255</v>
      </c>
      <c r="F228" t="s">
        <v>8000</v>
      </c>
      <c r="G228" t="s">
        <v>8001</v>
      </c>
      <c r="H228" t="s">
        <v>8002</v>
      </c>
      <c r="I228" t="s">
        <v>12284</v>
      </c>
      <c r="J228" t="s">
        <v>12241</v>
      </c>
      <c r="K228" t="s">
        <v>12255</v>
      </c>
      <c r="L228" t="s">
        <v>12272</v>
      </c>
      <c r="M228" t="s">
        <v>25</v>
      </c>
      <c r="N228" t="s">
        <v>12302</v>
      </c>
    </row>
    <row r="229" spans="1:18">
      <c r="A229" t="s">
        <v>12273</v>
      </c>
      <c r="B229" t="s">
        <v>12273</v>
      </c>
      <c r="C229" t="s">
        <v>12246</v>
      </c>
      <c r="D229" t="s">
        <v>12255</v>
      </c>
      <c r="F229" t="s">
        <v>8000</v>
      </c>
      <c r="G229" t="s">
        <v>12283</v>
      </c>
      <c r="H229" t="s">
        <v>8002</v>
      </c>
      <c r="I229" t="s">
        <v>12285</v>
      </c>
      <c r="J229" t="s">
        <v>12241</v>
      </c>
      <c r="K229" t="s">
        <v>12255</v>
      </c>
      <c r="L229" t="s">
        <v>12273</v>
      </c>
      <c r="M229" t="s">
        <v>25</v>
      </c>
      <c r="N229" t="s">
        <v>12303</v>
      </c>
    </row>
    <row r="230" spans="1:18">
      <c r="A230" t="s">
        <v>12274</v>
      </c>
      <c r="B230" t="s">
        <v>12274</v>
      </c>
      <c r="C230" t="s">
        <v>12250</v>
      </c>
      <c r="D230" t="s">
        <v>12255</v>
      </c>
      <c r="F230" t="s">
        <v>8000</v>
      </c>
      <c r="G230" t="s">
        <v>12283</v>
      </c>
      <c r="H230" t="s">
        <v>8002</v>
      </c>
      <c r="I230" t="s">
        <v>12285</v>
      </c>
      <c r="J230" t="s">
        <v>12241</v>
      </c>
      <c r="K230" t="s">
        <v>12255</v>
      </c>
      <c r="L230" t="s">
        <v>12274</v>
      </c>
      <c r="M230" t="s">
        <v>25</v>
      </c>
      <c r="N230" t="s">
        <v>12304</v>
      </c>
    </row>
    <row r="231" spans="1:18">
      <c r="A231" t="s">
        <v>12275</v>
      </c>
      <c r="B231" t="s">
        <v>12275</v>
      </c>
      <c r="C231" t="s">
        <v>12244</v>
      </c>
      <c r="D231" t="s">
        <v>12255</v>
      </c>
      <c r="F231" t="s">
        <v>8000</v>
      </c>
      <c r="G231" t="s">
        <v>12283</v>
      </c>
      <c r="H231" t="s">
        <v>8002</v>
      </c>
      <c r="I231" t="s">
        <v>12285</v>
      </c>
      <c r="J231" t="s">
        <v>12241</v>
      </c>
      <c r="K231" t="s">
        <v>12255</v>
      </c>
      <c r="L231" t="s">
        <v>12275</v>
      </c>
      <c r="M231" t="s">
        <v>25</v>
      </c>
      <c r="N231" t="s">
        <v>12305</v>
      </c>
    </row>
    <row r="232" spans="1:18">
      <c r="A232" t="s">
        <v>12276</v>
      </c>
      <c r="B232" t="s">
        <v>12276</v>
      </c>
      <c r="C232" t="s">
        <v>12249</v>
      </c>
      <c r="D232" t="s">
        <v>12255</v>
      </c>
      <c r="F232" t="s">
        <v>8000</v>
      </c>
      <c r="G232" t="s">
        <v>8001</v>
      </c>
      <c r="H232" t="s">
        <v>8002</v>
      </c>
      <c r="I232" t="s">
        <v>12284</v>
      </c>
      <c r="J232" t="s">
        <v>12241</v>
      </c>
      <c r="K232" t="s">
        <v>12255</v>
      </c>
      <c r="L232" t="s">
        <v>12276</v>
      </c>
      <c r="M232" t="s">
        <v>25</v>
      </c>
      <c r="N232" t="s">
        <v>12306</v>
      </c>
    </row>
    <row r="233" spans="1:18">
      <c r="A233" t="s">
        <v>12277</v>
      </c>
      <c r="B233" t="s">
        <v>12277</v>
      </c>
      <c r="C233" t="s">
        <v>12251</v>
      </c>
      <c r="D233" t="s">
        <v>12255</v>
      </c>
      <c r="F233" t="s">
        <v>8000</v>
      </c>
      <c r="G233" t="s">
        <v>8001</v>
      </c>
      <c r="H233" t="s">
        <v>8002</v>
      </c>
      <c r="I233" t="s">
        <v>12284</v>
      </c>
      <c r="J233" t="s">
        <v>12241</v>
      </c>
      <c r="K233" t="s">
        <v>12255</v>
      </c>
      <c r="L233" t="s">
        <v>12277</v>
      </c>
      <c r="M233" t="s">
        <v>25</v>
      </c>
      <c r="N233" t="s">
        <v>12307</v>
      </c>
    </row>
    <row r="234" spans="1:18">
      <c r="A234" t="s">
        <v>12278</v>
      </c>
      <c r="B234" t="s">
        <v>12278</v>
      </c>
      <c r="C234" t="s">
        <v>12252</v>
      </c>
      <c r="D234" t="s">
        <v>12255</v>
      </c>
      <c r="F234" t="s">
        <v>8000</v>
      </c>
      <c r="G234" t="s">
        <v>12283</v>
      </c>
      <c r="H234" t="s">
        <v>8002</v>
      </c>
      <c r="I234" t="s">
        <v>12285</v>
      </c>
      <c r="J234" t="s">
        <v>12241</v>
      </c>
      <c r="K234" t="s">
        <v>12255</v>
      </c>
      <c r="L234" t="s">
        <v>12278</v>
      </c>
      <c r="M234" t="s">
        <v>25</v>
      </c>
      <c r="N234" t="s">
        <v>12308</v>
      </c>
    </row>
    <row r="235" spans="1:18">
      <c r="A235" t="s">
        <v>12279</v>
      </c>
      <c r="B235" t="s">
        <v>12279</v>
      </c>
      <c r="C235" t="s">
        <v>12248</v>
      </c>
      <c r="D235" t="s">
        <v>12255</v>
      </c>
      <c r="F235" t="s">
        <v>8000</v>
      </c>
      <c r="G235" t="s">
        <v>8001</v>
      </c>
      <c r="H235" t="s">
        <v>8002</v>
      </c>
      <c r="I235" t="s">
        <v>12284</v>
      </c>
      <c r="J235" t="s">
        <v>12241</v>
      </c>
      <c r="K235" t="s">
        <v>12255</v>
      </c>
      <c r="L235" t="s">
        <v>12279</v>
      </c>
      <c r="M235" t="s">
        <v>25</v>
      </c>
      <c r="N235" t="s">
        <v>12309</v>
      </c>
    </row>
    <row r="236" spans="1:18">
      <c r="A236" t="s">
        <v>12280</v>
      </c>
      <c r="B236" t="s">
        <v>12280</v>
      </c>
      <c r="C236" t="s">
        <v>12253</v>
      </c>
      <c r="D236" t="s">
        <v>12255</v>
      </c>
      <c r="F236" t="s">
        <v>8000</v>
      </c>
      <c r="G236" t="s">
        <v>8001</v>
      </c>
      <c r="H236" t="s">
        <v>8002</v>
      </c>
      <c r="I236" t="s">
        <v>12284</v>
      </c>
      <c r="J236" t="s">
        <v>12241</v>
      </c>
      <c r="K236" t="s">
        <v>12255</v>
      </c>
      <c r="L236" t="s">
        <v>12280</v>
      </c>
      <c r="M236" t="s">
        <v>25</v>
      </c>
      <c r="N236" t="s">
        <v>12310</v>
      </c>
    </row>
    <row r="237" spans="1:18">
      <c r="A237" t="s">
        <v>12281</v>
      </c>
      <c r="B237" t="s">
        <v>12281</v>
      </c>
      <c r="C237" t="s">
        <v>12254</v>
      </c>
      <c r="D237" t="s">
        <v>12255</v>
      </c>
      <c r="F237" t="s">
        <v>8000</v>
      </c>
      <c r="G237" t="s">
        <v>12283</v>
      </c>
      <c r="H237" t="s">
        <v>8002</v>
      </c>
      <c r="I237" t="s">
        <v>12285</v>
      </c>
      <c r="J237" t="s">
        <v>12241</v>
      </c>
      <c r="K237" t="s">
        <v>12255</v>
      </c>
      <c r="L237" t="s">
        <v>12281</v>
      </c>
      <c r="M237" t="s">
        <v>25</v>
      </c>
      <c r="N237" t="s">
        <v>12311</v>
      </c>
    </row>
    <row r="238" spans="1:18">
      <c r="A238" t="s">
        <v>12282</v>
      </c>
      <c r="B238" t="s">
        <v>12282</v>
      </c>
      <c r="C238" t="s">
        <v>12247</v>
      </c>
      <c r="D238" t="s">
        <v>12255</v>
      </c>
      <c r="F238" t="s">
        <v>8000</v>
      </c>
      <c r="G238" t="s">
        <v>8001</v>
      </c>
      <c r="H238" t="s">
        <v>8002</v>
      </c>
      <c r="I238" t="s">
        <v>12284</v>
      </c>
      <c r="J238" t="s">
        <v>12241</v>
      </c>
      <c r="K238" t="s">
        <v>12255</v>
      </c>
      <c r="L238" t="s">
        <v>12282</v>
      </c>
      <c r="M238" t="s">
        <v>25</v>
      </c>
      <c r="N238" t="s">
        <v>12312</v>
      </c>
    </row>
    <row r="239" spans="1:18">
      <c r="A239" t="s">
        <v>12580</v>
      </c>
      <c r="B239" t="s">
        <v>12580</v>
      </c>
      <c r="C239" t="s">
        <v>12588</v>
      </c>
      <c r="D239" t="s">
        <v>12589</v>
      </c>
      <c r="F239" t="s">
        <v>8467</v>
      </c>
      <c r="G239" t="s">
        <v>12586</v>
      </c>
      <c r="H239" t="s">
        <v>8469</v>
      </c>
      <c r="I239" t="s">
        <v>12585</v>
      </c>
      <c r="J239" t="s">
        <v>12607</v>
      </c>
      <c r="K239" t="s">
        <v>12589</v>
      </c>
      <c r="L239">
        <v>7346710</v>
      </c>
      <c r="M239" t="s">
        <v>8461</v>
      </c>
      <c r="N239">
        <v>30403424</v>
      </c>
      <c r="O239" t="s">
        <v>12589</v>
      </c>
      <c r="P239">
        <v>7346710</v>
      </c>
      <c r="Q239" t="s">
        <v>11247</v>
      </c>
      <c r="R239">
        <v>7346710</v>
      </c>
    </row>
    <row r="240" spans="1:18">
      <c r="A240" t="s">
        <v>12590</v>
      </c>
      <c r="B240" t="s">
        <v>12590</v>
      </c>
      <c r="C240" t="s">
        <v>12594</v>
      </c>
      <c r="D240" t="s">
        <v>12589</v>
      </c>
      <c r="F240" t="s">
        <v>8467</v>
      </c>
      <c r="G240" t="s">
        <v>12587</v>
      </c>
      <c r="H240" t="s">
        <v>8469</v>
      </c>
      <c r="I240" t="s">
        <v>12600</v>
      </c>
      <c r="J240" t="s">
        <v>12612</v>
      </c>
      <c r="K240" t="s">
        <v>12589</v>
      </c>
      <c r="L240" t="s">
        <v>12611</v>
      </c>
      <c r="M240" t="s">
        <v>11247</v>
      </c>
      <c r="N240" t="s">
        <v>12611</v>
      </c>
    </row>
    <row r="241" spans="1:18">
      <c r="A241" t="s">
        <v>12582</v>
      </c>
      <c r="B241" t="s">
        <v>12582</v>
      </c>
      <c r="C241" t="s">
        <v>12583</v>
      </c>
      <c r="D241" t="s">
        <v>12589</v>
      </c>
      <c r="F241" t="s">
        <v>8467</v>
      </c>
      <c r="G241" t="s">
        <v>12587</v>
      </c>
      <c r="H241" t="s">
        <v>8469</v>
      </c>
      <c r="I241" t="s">
        <v>12601</v>
      </c>
      <c r="J241" t="s">
        <v>12608</v>
      </c>
      <c r="K241" t="s">
        <v>12589</v>
      </c>
      <c r="L241">
        <v>7346704</v>
      </c>
      <c r="M241" t="s">
        <v>8461</v>
      </c>
      <c r="N241">
        <v>30403423</v>
      </c>
      <c r="O241" t="s">
        <v>12589</v>
      </c>
      <c r="P241" t="s">
        <v>12609</v>
      </c>
      <c r="Q241" t="s">
        <v>11247</v>
      </c>
      <c r="R241" t="s">
        <v>12609</v>
      </c>
    </row>
    <row r="242" spans="1:18">
      <c r="A242" t="s">
        <v>12581</v>
      </c>
      <c r="B242" t="s">
        <v>12581</v>
      </c>
      <c r="C242" t="s">
        <v>12584</v>
      </c>
      <c r="D242" t="s">
        <v>12589</v>
      </c>
      <c r="F242" t="s">
        <v>8467</v>
      </c>
      <c r="G242" t="s">
        <v>12587</v>
      </c>
      <c r="H242" t="s">
        <v>8469</v>
      </c>
      <c r="I242" t="s">
        <v>12585</v>
      </c>
      <c r="J242" t="s">
        <v>12615</v>
      </c>
      <c r="K242" t="s">
        <v>12589</v>
      </c>
      <c r="L242">
        <v>7346716</v>
      </c>
      <c r="M242" t="s">
        <v>8461</v>
      </c>
      <c r="N242">
        <v>30395366</v>
      </c>
      <c r="O242" t="s">
        <v>12589</v>
      </c>
      <c r="P242" t="s">
        <v>12610</v>
      </c>
      <c r="Q242" t="s">
        <v>11247</v>
      </c>
      <c r="R242" t="s">
        <v>12610</v>
      </c>
    </row>
    <row r="243" spans="1:18">
      <c r="A243" t="s">
        <v>12591</v>
      </c>
      <c r="B243" t="s">
        <v>12591</v>
      </c>
      <c r="C243" t="s">
        <v>12595</v>
      </c>
      <c r="D243" t="s">
        <v>12589</v>
      </c>
      <c r="F243" t="s">
        <v>8467</v>
      </c>
      <c r="G243" t="s">
        <v>12587</v>
      </c>
      <c r="H243" t="s">
        <v>8469</v>
      </c>
      <c r="I243" t="s">
        <v>12602</v>
      </c>
      <c r="J243" t="s">
        <v>12614</v>
      </c>
      <c r="K243" t="s">
        <v>12589</v>
      </c>
      <c r="L243" t="s">
        <v>12613</v>
      </c>
      <c r="M243" t="s">
        <v>11247</v>
      </c>
      <c r="N243" t="s">
        <v>12613</v>
      </c>
      <c r="O243" t="s">
        <v>12589</v>
      </c>
    </row>
    <row r="244" spans="1:18">
      <c r="A244" t="s">
        <v>12592</v>
      </c>
      <c r="B244" t="s">
        <v>12592</v>
      </c>
      <c r="C244" t="s">
        <v>12596</v>
      </c>
      <c r="D244" t="s">
        <v>12589</v>
      </c>
      <c r="F244" t="s">
        <v>8467</v>
      </c>
      <c r="G244" t="s">
        <v>12587</v>
      </c>
      <c r="H244" t="s">
        <v>8469</v>
      </c>
      <c r="I244" t="s">
        <v>12603</v>
      </c>
      <c r="J244" t="s">
        <v>12617</v>
      </c>
      <c r="K244" t="s">
        <v>12589</v>
      </c>
      <c r="L244" t="s">
        <v>12616</v>
      </c>
      <c r="M244" t="s">
        <v>11247</v>
      </c>
      <c r="N244" t="s">
        <v>12616</v>
      </c>
      <c r="O244" t="s">
        <v>12589</v>
      </c>
      <c r="Q244" t="s">
        <v>11247</v>
      </c>
      <c r="R244" t="s">
        <v>12606</v>
      </c>
    </row>
    <row r="245" spans="1:18">
      <c r="A245" t="s">
        <v>12593</v>
      </c>
      <c r="B245" t="s">
        <v>12593</v>
      </c>
      <c r="C245" t="s">
        <v>12597</v>
      </c>
      <c r="D245" t="s">
        <v>12589</v>
      </c>
      <c r="F245" t="s">
        <v>8467</v>
      </c>
      <c r="G245" t="s">
        <v>12587</v>
      </c>
      <c r="H245" t="s">
        <v>8469</v>
      </c>
      <c r="I245" t="s">
        <v>12604</v>
      </c>
      <c r="J245" t="s">
        <v>12619</v>
      </c>
      <c r="K245" t="s">
        <v>12589</v>
      </c>
      <c r="L245" t="s">
        <v>12618</v>
      </c>
      <c r="M245" t="s">
        <v>11247</v>
      </c>
      <c r="N245" t="s">
        <v>12618</v>
      </c>
      <c r="O245" t="s">
        <v>12589</v>
      </c>
    </row>
    <row r="246" spans="1:18">
      <c r="A246" t="s">
        <v>12598</v>
      </c>
      <c r="B246" t="s">
        <v>12598</v>
      </c>
      <c r="C246" t="s">
        <v>12599</v>
      </c>
      <c r="D246" t="s">
        <v>12589</v>
      </c>
      <c r="F246" t="s">
        <v>8467</v>
      </c>
      <c r="G246" t="s">
        <v>12587</v>
      </c>
      <c r="H246" t="s">
        <v>8469</v>
      </c>
      <c r="I246" t="s">
        <v>12605</v>
      </c>
      <c r="J246" t="s">
        <v>12620</v>
      </c>
      <c r="K246" t="s">
        <v>12589</v>
      </c>
      <c r="L246" t="s">
        <v>12621</v>
      </c>
      <c r="M246" t="s">
        <v>11247</v>
      </c>
      <c r="N246" t="s">
        <v>12621</v>
      </c>
      <c r="O246" t="s">
        <v>12589</v>
      </c>
    </row>
    <row r="247" spans="1:18">
      <c r="A247" t="s">
        <v>12622</v>
      </c>
      <c r="B247" t="s">
        <v>12624</v>
      </c>
      <c r="C247" t="s">
        <v>12636</v>
      </c>
      <c r="F247" t="s">
        <v>8467</v>
      </c>
      <c r="G247" t="s">
        <v>12587</v>
      </c>
      <c r="H247" t="s">
        <v>8469</v>
      </c>
      <c r="I247" t="s">
        <v>12657</v>
      </c>
      <c r="J247" t="s">
        <v>12670</v>
      </c>
      <c r="K247" t="s">
        <v>12255</v>
      </c>
      <c r="L247" t="s">
        <v>12671</v>
      </c>
      <c r="M247" t="s">
        <v>25</v>
      </c>
      <c r="N247" t="s">
        <v>12692</v>
      </c>
    </row>
    <row r="248" spans="1:18">
      <c r="A248" t="s">
        <v>12623</v>
      </c>
      <c r="B248" t="s">
        <v>12624</v>
      </c>
      <c r="C248" t="s">
        <v>12637</v>
      </c>
      <c r="F248" t="s">
        <v>8467</v>
      </c>
      <c r="G248" t="s">
        <v>12587</v>
      </c>
      <c r="H248" t="s">
        <v>8469</v>
      </c>
      <c r="I248" t="s">
        <v>12658</v>
      </c>
      <c r="J248" t="s">
        <v>12670</v>
      </c>
      <c r="K248" t="s">
        <v>12255</v>
      </c>
      <c r="L248" t="s">
        <v>12672</v>
      </c>
      <c r="M248" t="s">
        <v>25</v>
      </c>
      <c r="N248" t="s">
        <v>12693</v>
      </c>
    </row>
    <row r="249" spans="1:18">
      <c r="A249" t="s">
        <v>12625</v>
      </c>
      <c r="B249" t="s">
        <v>12624</v>
      </c>
      <c r="C249" t="s">
        <v>12638</v>
      </c>
      <c r="F249" t="s">
        <v>8467</v>
      </c>
      <c r="G249" t="s">
        <v>12587</v>
      </c>
      <c r="H249" t="s">
        <v>8469</v>
      </c>
      <c r="I249" t="s">
        <v>12661</v>
      </c>
      <c r="J249" t="s">
        <v>12670</v>
      </c>
      <c r="K249" t="s">
        <v>12255</v>
      </c>
      <c r="L249" t="s">
        <v>12673</v>
      </c>
      <c r="M249" t="s">
        <v>25</v>
      </c>
      <c r="N249" t="s">
        <v>12694</v>
      </c>
    </row>
    <row r="250" spans="1:18">
      <c r="A250" t="s">
        <v>12626</v>
      </c>
      <c r="B250" t="s">
        <v>12624</v>
      </c>
      <c r="C250" t="s">
        <v>12639</v>
      </c>
      <c r="F250" t="s">
        <v>8467</v>
      </c>
      <c r="G250" t="s">
        <v>12587</v>
      </c>
      <c r="H250" t="s">
        <v>8469</v>
      </c>
      <c r="I250" t="s">
        <v>12662</v>
      </c>
      <c r="J250" t="s">
        <v>12670</v>
      </c>
      <c r="K250" t="s">
        <v>12255</v>
      </c>
      <c r="L250" t="s">
        <v>12674</v>
      </c>
      <c r="M250" t="s">
        <v>25</v>
      </c>
      <c r="N250" t="s">
        <v>12695</v>
      </c>
    </row>
    <row r="251" spans="1:18">
      <c r="A251" t="s">
        <v>12627</v>
      </c>
      <c r="B251" t="s">
        <v>12624</v>
      </c>
      <c r="C251" t="s">
        <v>12640</v>
      </c>
      <c r="F251" t="s">
        <v>8467</v>
      </c>
      <c r="G251" t="s">
        <v>12587</v>
      </c>
      <c r="H251" t="s">
        <v>8469</v>
      </c>
      <c r="I251" t="s">
        <v>12663</v>
      </c>
      <c r="J251" t="s">
        <v>12670</v>
      </c>
      <c r="K251" t="s">
        <v>12255</v>
      </c>
      <c r="L251" t="s">
        <v>12675</v>
      </c>
      <c r="M251" t="s">
        <v>25</v>
      </c>
      <c r="N251" t="s">
        <v>12696</v>
      </c>
    </row>
    <row r="252" spans="1:18">
      <c r="A252" t="s">
        <v>12628</v>
      </c>
      <c r="B252" t="s">
        <v>12624</v>
      </c>
      <c r="C252" t="s">
        <v>12641</v>
      </c>
      <c r="F252" t="s">
        <v>8467</v>
      </c>
      <c r="G252" t="s">
        <v>12587</v>
      </c>
      <c r="H252" t="s">
        <v>8469</v>
      </c>
      <c r="I252" t="s">
        <v>12664</v>
      </c>
      <c r="J252" t="s">
        <v>12670</v>
      </c>
      <c r="K252" t="s">
        <v>12255</v>
      </c>
      <c r="L252" t="s">
        <v>12676</v>
      </c>
      <c r="M252" t="s">
        <v>25</v>
      </c>
      <c r="N252" t="s">
        <v>12697</v>
      </c>
    </row>
    <row r="253" spans="1:18">
      <c r="A253" t="s">
        <v>12629</v>
      </c>
      <c r="B253" t="s">
        <v>12624</v>
      </c>
      <c r="C253" t="s">
        <v>12642</v>
      </c>
      <c r="F253" t="s">
        <v>8467</v>
      </c>
      <c r="G253" t="s">
        <v>12587</v>
      </c>
      <c r="H253" t="s">
        <v>8469</v>
      </c>
      <c r="I253" t="s">
        <v>12665</v>
      </c>
      <c r="J253" t="s">
        <v>12670</v>
      </c>
      <c r="K253" t="s">
        <v>12255</v>
      </c>
      <c r="L253" t="s">
        <v>12677</v>
      </c>
      <c r="M253" t="s">
        <v>25</v>
      </c>
      <c r="N253" t="s">
        <v>12698</v>
      </c>
    </row>
    <row r="254" spans="1:18">
      <c r="A254" t="s">
        <v>12630</v>
      </c>
      <c r="B254" t="s">
        <v>12624</v>
      </c>
      <c r="C254" t="s">
        <v>12643</v>
      </c>
      <c r="F254" t="s">
        <v>8467</v>
      </c>
      <c r="G254" t="s">
        <v>12587</v>
      </c>
      <c r="H254" t="s">
        <v>8469</v>
      </c>
      <c r="I254" t="s">
        <v>12666</v>
      </c>
      <c r="J254" t="s">
        <v>12670</v>
      </c>
      <c r="K254" t="s">
        <v>12255</v>
      </c>
      <c r="L254" t="s">
        <v>12678</v>
      </c>
      <c r="M254" t="s">
        <v>25</v>
      </c>
      <c r="N254" t="s">
        <v>12699</v>
      </c>
    </row>
    <row r="255" spans="1:18">
      <c r="A255" t="s">
        <v>12631</v>
      </c>
      <c r="B255" t="s">
        <v>12624</v>
      </c>
      <c r="C255" t="s">
        <v>12644</v>
      </c>
      <c r="F255" t="s">
        <v>8467</v>
      </c>
      <c r="G255" t="s">
        <v>12587</v>
      </c>
      <c r="H255" t="s">
        <v>8469</v>
      </c>
      <c r="I255" t="s">
        <v>12667</v>
      </c>
      <c r="J255" t="s">
        <v>12670</v>
      </c>
      <c r="K255" t="s">
        <v>12255</v>
      </c>
      <c r="L255" t="s">
        <v>12679</v>
      </c>
      <c r="M255" t="s">
        <v>25</v>
      </c>
      <c r="N255" t="s">
        <v>12700</v>
      </c>
    </row>
    <row r="256" spans="1:18">
      <c r="A256" t="s">
        <v>12632</v>
      </c>
      <c r="B256" t="s">
        <v>12624</v>
      </c>
      <c r="C256" t="s">
        <v>12645</v>
      </c>
      <c r="F256" t="s">
        <v>8467</v>
      </c>
      <c r="G256" t="s">
        <v>12587</v>
      </c>
      <c r="H256" t="s">
        <v>8469</v>
      </c>
      <c r="I256" t="s">
        <v>12659</v>
      </c>
      <c r="J256" t="s">
        <v>12670</v>
      </c>
      <c r="K256" t="s">
        <v>12255</v>
      </c>
      <c r="L256" t="s">
        <v>12680</v>
      </c>
      <c r="M256" t="s">
        <v>25</v>
      </c>
      <c r="N256" t="s">
        <v>12701</v>
      </c>
    </row>
    <row r="257" spans="1:23">
      <c r="A257" t="s">
        <v>12633</v>
      </c>
      <c r="B257" t="s">
        <v>12624</v>
      </c>
      <c r="C257" t="s">
        <v>12646</v>
      </c>
      <c r="F257" t="s">
        <v>8467</v>
      </c>
      <c r="G257" t="s">
        <v>12587</v>
      </c>
      <c r="H257" t="s">
        <v>8469</v>
      </c>
      <c r="I257" t="s">
        <v>12668</v>
      </c>
      <c r="J257" t="s">
        <v>12670</v>
      </c>
      <c r="K257" t="s">
        <v>12255</v>
      </c>
      <c r="L257" t="s">
        <v>12681</v>
      </c>
      <c r="M257" t="s">
        <v>25</v>
      </c>
      <c r="N257" t="s">
        <v>12702</v>
      </c>
    </row>
    <row r="258" spans="1:23">
      <c r="A258" t="s">
        <v>12634</v>
      </c>
      <c r="B258" t="s">
        <v>12624</v>
      </c>
      <c r="C258" t="s">
        <v>12647</v>
      </c>
      <c r="F258" t="s">
        <v>8467</v>
      </c>
      <c r="G258" t="s">
        <v>12587</v>
      </c>
      <c r="H258" t="s">
        <v>8469</v>
      </c>
      <c r="I258" t="s">
        <v>12660</v>
      </c>
      <c r="J258" t="s">
        <v>12670</v>
      </c>
      <c r="K258" t="s">
        <v>12255</v>
      </c>
      <c r="L258" t="s">
        <v>12682</v>
      </c>
      <c r="M258" t="s">
        <v>25</v>
      </c>
      <c r="N258" t="s">
        <v>12703</v>
      </c>
    </row>
    <row r="259" spans="1:23">
      <c r="A259" t="s">
        <v>12635</v>
      </c>
      <c r="B259" t="s">
        <v>12624</v>
      </c>
      <c r="C259" t="s">
        <v>12648</v>
      </c>
      <c r="F259" t="s">
        <v>8467</v>
      </c>
      <c r="G259" t="s">
        <v>12587</v>
      </c>
      <c r="H259" t="s">
        <v>8469</v>
      </c>
      <c r="I259" t="s">
        <v>12669</v>
      </c>
      <c r="J259" t="s">
        <v>12670</v>
      </c>
      <c r="K259" t="s">
        <v>12255</v>
      </c>
      <c r="L259" t="s">
        <v>12683</v>
      </c>
      <c r="M259" t="s">
        <v>25</v>
      </c>
      <c r="N259" t="s">
        <v>12704</v>
      </c>
    </row>
    <row r="260" spans="1:23">
      <c r="A260" t="s">
        <v>12649</v>
      </c>
      <c r="B260" t="s">
        <v>12624</v>
      </c>
      <c r="C260" t="s">
        <v>12653</v>
      </c>
      <c r="F260" t="s">
        <v>8467</v>
      </c>
      <c r="G260" t="s">
        <v>12587</v>
      </c>
      <c r="H260" t="s">
        <v>8469</v>
      </c>
      <c r="I260" t="s">
        <v>12658</v>
      </c>
      <c r="J260" t="s">
        <v>12670</v>
      </c>
      <c r="K260" t="s">
        <v>12255</v>
      </c>
      <c r="L260" t="s">
        <v>12684</v>
      </c>
      <c r="M260" t="s">
        <v>25</v>
      </c>
      <c r="N260" t="s">
        <v>12688</v>
      </c>
    </row>
    <row r="261" spans="1:23">
      <c r="A261" t="s">
        <v>12650</v>
      </c>
      <c r="B261" t="s">
        <v>12624</v>
      </c>
      <c r="C261" t="s">
        <v>12654</v>
      </c>
      <c r="F261" t="s">
        <v>8467</v>
      </c>
      <c r="G261" t="s">
        <v>12587</v>
      </c>
      <c r="H261" t="s">
        <v>8469</v>
      </c>
      <c r="I261" t="s">
        <v>12664</v>
      </c>
      <c r="J261" t="s">
        <v>12670</v>
      </c>
      <c r="K261" t="s">
        <v>12255</v>
      </c>
      <c r="L261" t="s">
        <v>12685</v>
      </c>
      <c r="M261" t="s">
        <v>25</v>
      </c>
      <c r="N261" t="s">
        <v>12689</v>
      </c>
    </row>
    <row r="262" spans="1:23">
      <c r="A262" t="s">
        <v>12651</v>
      </c>
      <c r="B262" t="s">
        <v>12624</v>
      </c>
      <c r="C262" t="s">
        <v>12655</v>
      </c>
      <c r="F262" t="s">
        <v>8467</v>
      </c>
      <c r="G262" t="s">
        <v>12587</v>
      </c>
      <c r="H262" t="s">
        <v>8469</v>
      </c>
      <c r="I262" t="s">
        <v>12659</v>
      </c>
      <c r="J262" t="s">
        <v>12670</v>
      </c>
      <c r="K262" t="s">
        <v>12255</v>
      </c>
      <c r="L262" t="s">
        <v>12686</v>
      </c>
      <c r="M262" t="s">
        <v>25</v>
      </c>
      <c r="N262" t="s">
        <v>12690</v>
      </c>
    </row>
    <row r="263" spans="1:23">
      <c r="A263" t="s">
        <v>12652</v>
      </c>
      <c r="B263" t="s">
        <v>12624</v>
      </c>
      <c r="C263" t="s">
        <v>12656</v>
      </c>
      <c r="F263" t="s">
        <v>8467</v>
      </c>
      <c r="G263" t="s">
        <v>12587</v>
      </c>
      <c r="H263" t="s">
        <v>8469</v>
      </c>
      <c r="I263" t="s">
        <v>12669</v>
      </c>
      <c r="J263" t="s">
        <v>12670</v>
      </c>
      <c r="K263" t="s">
        <v>12255</v>
      </c>
      <c r="L263" t="s">
        <v>12687</v>
      </c>
      <c r="M263" t="s">
        <v>25</v>
      </c>
      <c r="N263" t="s">
        <v>12691</v>
      </c>
    </row>
    <row r="264" spans="1:23">
      <c r="A264" t="s">
        <v>14317</v>
      </c>
      <c r="B264" t="s">
        <v>14295</v>
      </c>
      <c r="C264" t="s">
        <v>14297</v>
      </c>
      <c r="D264" t="s">
        <v>13039</v>
      </c>
      <c r="E264" t="s">
        <v>14318</v>
      </c>
      <c r="F264" t="s">
        <v>2655</v>
      </c>
      <c r="G264" t="s">
        <v>14306</v>
      </c>
      <c r="H264" t="s">
        <v>13061</v>
      </c>
      <c r="S264" t="s">
        <v>13008</v>
      </c>
      <c r="T264" t="s">
        <v>13007</v>
      </c>
      <c r="U264" t="s">
        <v>4559</v>
      </c>
      <c r="V264" t="s">
        <v>13009</v>
      </c>
      <c r="W264" t="s">
        <v>4727</v>
      </c>
    </row>
    <row r="265" spans="1:23">
      <c r="A265" t="s">
        <v>13374</v>
      </c>
      <c r="B265" t="s">
        <v>14295</v>
      </c>
      <c r="C265" t="s">
        <v>14297</v>
      </c>
      <c r="D265" t="s">
        <v>6223</v>
      </c>
      <c r="E265" t="s">
        <v>13004</v>
      </c>
      <c r="F265" t="s">
        <v>2655</v>
      </c>
      <c r="G265" t="s">
        <v>14306</v>
      </c>
      <c r="H265" t="s">
        <v>13061</v>
      </c>
      <c r="I265" t="s">
        <v>13058</v>
      </c>
      <c r="J265" t="s">
        <v>13005</v>
      </c>
      <c r="K265" t="s">
        <v>6223</v>
      </c>
      <c r="L265">
        <v>830025159</v>
      </c>
      <c r="M265" t="s">
        <v>25</v>
      </c>
      <c r="N265" t="s">
        <v>13006</v>
      </c>
    </row>
    <row r="266" spans="1:23">
      <c r="A266" t="s">
        <v>13036</v>
      </c>
      <c r="B266" t="s">
        <v>13037</v>
      </c>
      <c r="C266" t="s">
        <v>13038</v>
      </c>
      <c r="D266" t="s">
        <v>13039</v>
      </c>
      <c r="F266" t="s">
        <v>2655</v>
      </c>
      <c r="G266" t="s">
        <v>13060</v>
      </c>
      <c r="H266" t="s">
        <v>13061</v>
      </c>
      <c r="I266" t="s">
        <v>13059</v>
      </c>
      <c r="J266" t="s">
        <v>13040</v>
      </c>
      <c r="K266" t="s">
        <v>6223</v>
      </c>
      <c r="L266">
        <v>830053099</v>
      </c>
      <c r="M266" t="s">
        <v>25</v>
      </c>
      <c r="N266" t="s">
        <v>13041</v>
      </c>
      <c r="S266" t="s">
        <v>13043</v>
      </c>
      <c r="T266" t="s">
        <v>13042</v>
      </c>
      <c r="U266" t="s">
        <v>4559</v>
      </c>
      <c r="V266" t="s">
        <v>13044</v>
      </c>
    </row>
    <row r="267" spans="1:23">
      <c r="A267" t="s">
        <v>13035</v>
      </c>
      <c r="B267" t="s">
        <v>13046</v>
      </c>
      <c r="C267" t="s">
        <v>13045</v>
      </c>
      <c r="D267" t="s">
        <v>13047</v>
      </c>
      <c r="F267" t="s">
        <v>11253</v>
      </c>
      <c r="G267" t="s">
        <v>13050</v>
      </c>
      <c r="H267" t="s">
        <v>13056</v>
      </c>
      <c r="I267" t="s">
        <v>13057</v>
      </c>
      <c r="J267" t="s">
        <v>13062</v>
      </c>
      <c r="K267" t="s">
        <v>13047</v>
      </c>
      <c r="L267" t="s">
        <v>13049</v>
      </c>
      <c r="M267" t="s">
        <v>25</v>
      </c>
      <c r="N267" t="s">
        <v>13048</v>
      </c>
      <c r="S267" t="s">
        <v>13052</v>
      </c>
      <c r="T267" t="s">
        <v>13051</v>
      </c>
      <c r="U267" t="s">
        <v>4559</v>
      </c>
      <c r="V267" t="s">
        <v>13053</v>
      </c>
    </row>
    <row r="268" spans="1:23">
      <c r="A268" t="s">
        <v>13063</v>
      </c>
      <c r="B268" t="s">
        <v>13063</v>
      </c>
      <c r="C268" t="s">
        <v>13064</v>
      </c>
      <c r="D268" t="s">
        <v>13039</v>
      </c>
      <c r="F268" t="s">
        <v>4358</v>
      </c>
      <c r="G268" t="s">
        <v>10964</v>
      </c>
      <c r="H268" t="s">
        <v>4359</v>
      </c>
      <c r="I268" t="s">
        <v>13063</v>
      </c>
      <c r="J268" t="s">
        <v>13065</v>
      </c>
      <c r="K268" t="s">
        <v>13066</v>
      </c>
      <c r="L268" t="s">
        <v>13068</v>
      </c>
      <c r="M268" t="s">
        <v>25</v>
      </c>
      <c r="N268" t="s">
        <v>13067</v>
      </c>
      <c r="S268" t="s">
        <v>13069</v>
      </c>
      <c r="T268" t="s">
        <v>13071</v>
      </c>
      <c r="U268" t="s">
        <v>4559</v>
      </c>
      <c r="V268" t="s">
        <v>13070</v>
      </c>
    </row>
    <row r="269" spans="1:23">
      <c r="A269" t="s">
        <v>13332</v>
      </c>
      <c r="B269" t="s">
        <v>13332</v>
      </c>
      <c r="C269" t="s">
        <v>13336</v>
      </c>
      <c r="F269" t="s">
        <v>2655</v>
      </c>
      <c r="G269" t="s">
        <v>13060</v>
      </c>
      <c r="H269" t="s">
        <v>13061</v>
      </c>
      <c r="I269" t="s">
        <v>13338</v>
      </c>
      <c r="J269" t="s">
        <v>13335</v>
      </c>
      <c r="K269" t="s">
        <v>13334</v>
      </c>
      <c r="L269" t="s">
        <v>13333</v>
      </c>
      <c r="M269" t="s">
        <v>25</v>
      </c>
      <c r="N269" t="s">
        <v>13337</v>
      </c>
      <c r="S269" t="s">
        <v>13341</v>
      </c>
      <c r="T269" t="s">
        <v>13340</v>
      </c>
      <c r="U269" t="s">
        <v>4559</v>
      </c>
      <c r="V269" t="s">
        <v>13339</v>
      </c>
    </row>
    <row r="270" spans="1:23">
      <c r="A270" t="s">
        <v>13002</v>
      </c>
      <c r="B270" t="s">
        <v>13003</v>
      </c>
      <c r="C270" t="s">
        <v>14298</v>
      </c>
      <c r="F270" t="s">
        <v>2655</v>
      </c>
      <c r="G270" t="s">
        <v>13365</v>
      </c>
      <c r="H270" t="s">
        <v>13061</v>
      </c>
      <c r="I270" t="s">
        <v>13373</v>
      </c>
      <c r="J270" t="s">
        <v>13372</v>
      </c>
      <c r="K270" t="s">
        <v>13371</v>
      </c>
      <c r="L270" t="s">
        <v>13370</v>
      </c>
      <c r="M270" t="s">
        <v>25</v>
      </c>
      <c r="N270" t="s">
        <v>13369</v>
      </c>
      <c r="S270" t="s">
        <v>13367</v>
      </c>
      <c r="T270" t="s">
        <v>13366</v>
      </c>
      <c r="U270" t="s">
        <v>4559</v>
      </c>
      <c r="V270" t="s">
        <v>13368</v>
      </c>
      <c r="W270" t="s">
        <v>4727</v>
      </c>
    </row>
    <row r="271" spans="1:23">
      <c r="A271" t="s">
        <v>13384</v>
      </c>
      <c r="B271" t="s">
        <v>13383</v>
      </c>
      <c r="C271" t="s">
        <v>13382</v>
      </c>
      <c r="F271" t="s">
        <v>13376</v>
      </c>
      <c r="G271" t="s">
        <v>13375</v>
      </c>
      <c r="H271" t="s">
        <v>13377</v>
      </c>
      <c r="I271" t="s">
        <v>13385</v>
      </c>
      <c r="J271" t="s">
        <v>13381</v>
      </c>
      <c r="S271" t="s">
        <v>13380</v>
      </c>
      <c r="T271" t="s">
        <v>13378</v>
      </c>
      <c r="U271" t="s">
        <v>4559</v>
      </c>
      <c r="V271" t="s">
        <v>13379</v>
      </c>
    </row>
    <row r="272" spans="1:23">
      <c r="A272" t="s">
        <v>14296</v>
      </c>
      <c r="B272" t="s">
        <v>14296</v>
      </c>
      <c r="C272" t="s">
        <v>14311</v>
      </c>
      <c r="D272" t="s">
        <v>14299</v>
      </c>
      <c r="E272" t="s">
        <v>14300</v>
      </c>
      <c r="F272" t="s">
        <v>2655</v>
      </c>
      <c r="G272" t="s">
        <v>13001</v>
      </c>
      <c r="H272" t="s">
        <v>13061</v>
      </c>
      <c r="I272" t="s">
        <v>14307</v>
      </c>
      <c r="J272" t="s">
        <v>14301</v>
      </c>
      <c r="K272" t="s">
        <v>13371</v>
      </c>
      <c r="L272" t="s">
        <v>14302</v>
      </c>
      <c r="M272" t="s">
        <v>25</v>
      </c>
      <c r="N272" t="s">
        <v>14303</v>
      </c>
      <c r="S272" t="s">
        <v>13371</v>
      </c>
      <c r="T272" t="s">
        <v>14304</v>
      </c>
      <c r="U272" t="s">
        <v>4559</v>
      </c>
      <c r="V272" t="s">
        <v>14305</v>
      </c>
      <c r="W272" t="s">
        <v>4728</v>
      </c>
    </row>
    <row r="273" spans="1:23">
      <c r="A273" t="s">
        <v>14309</v>
      </c>
      <c r="B273" t="s">
        <v>14309</v>
      </c>
      <c r="C273" t="s">
        <v>14310</v>
      </c>
      <c r="D273" t="s">
        <v>14312</v>
      </c>
      <c r="E273" t="s">
        <v>14308</v>
      </c>
      <c r="F273" t="s">
        <v>2655</v>
      </c>
      <c r="G273" t="s">
        <v>13001</v>
      </c>
      <c r="H273" t="s">
        <v>13061</v>
      </c>
      <c r="I273" t="s">
        <v>14316</v>
      </c>
      <c r="J273" t="s">
        <v>14313</v>
      </c>
      <c r="S273" t="s">
        <v>14312</v>
      </c>
      <c r="T273" t="s">
        <v>14314</v>
      </c>
      <c r="U273" t="s">
        <v>4559</v>
      </c>
      <c r="V273" t="s">
        <v>14315</v>
      </c>
      <c r="W273" t="s">
        <v>4727</v>
      </c>
    </row>
    <row r="274" spans="1:23">
      <c r="A274" t="s">
        <v>14319</v>
      </c>
      <c r="B274" t="s">
        <v>14319</v>
      </c>
      <c r="C274" t="s">
        <v>14320</v>
      </c>
      <c r="D274" t="s">
        <v>14321</v>
      </c>
      <c r="F274" t="s">
        <v>8000</v>
      </c>
      <c r="G274" t="s">
        <v>8015</v>
      </c>
      <c r="H274" t="s">
        <v>8002</v>
      </c>
      <c r="I274" t="s">
        <v>14325</v>
      </c>
      <c r="J274" t="s">
        <v>14322</v>
      </c>
      <c r="S274" t="s">
        <v>14323</v>
      </c>
      <c r="T274" t="s">
        <v>14319</v>
      </c>
      <c r="U274" t="s">
        <v>4559</v>
      </c>
      <c r="V274" t="s">
        <v>14324</v>
      </c>
      <c r="W274" t="s">
        <v>4727</v>
      </c>
    </row>
    <row r="275" spans="1:23">
      <c r="A275" t="s">
        <v>14326</v>
      </c>
      <c r="B275" t="s">
        <v>14326</v>
      </c>
      <c r="C275" t="s">
        <v>14328</v>
      </c>
      <c r="D275" t="s">
        <v>14330</v>
      </c>
      <c r="F275" t="s">
        <v>8000</v>
      </c>
      <c r="G275" t="s">
        <v>8015</v>
      </c>
      <c r="H275" t="s">
        <v>8002</v>
      </c>
      <c r="I275" t="s">
        <v>14332</v>
      </c>
      <c r="J275" t="s">
        <v>14333</v>
      </c>
      <c r="K275" t="s">
        <v>14334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14335</v>
      </c>
      <c r="U275" t="s">
        <v>4559</v>
      </c>
      <c r="V275" t="s">
        <v>14339</v>
      </c>
      <c r="W275" t="s">
        <v>4727</v>
      </c>
    </row>
    <row r="276" spans="1:23">
      <c r="A276" t="s">
        <v>14327</v>
      </c>
      <c r="B276" t="s">
        <v>14327</v>
      </c>
      <c r="C276" t="s">
        <v>14329</v>
      </c>
      <c r="D276" t="s">
        <v>14330</v>
      </c>
      <c r="F276" t="s">
        <v>8000</v>
      </c>
      <c r="G276" t="s">
        <v>8015</v>
      </c>
      <c r="H276" t="s">
        <v>8002</v>
      </c>
      <c r="I276" t="s">
        <v>14331</v>
      </c>
      <c r="J276" t="s">
        <v>14333</v>
      </c>
      <c r="K276" t="s">
        <v>14334</v>
      </c>
      <c r="L276" t="s">
        <v>14337</v>
      </c>
      <c r="M276" t="s">
        <v>25</v>
      </c>
      <c r="N276" t="s">
        <v>14338</v>
      </c>
      <c r="S276" t="s">
        <v>6989</v>
      </c>
      <c r="T276" t="s">
        <v>14340</v>
      </c>
      <c r="U276" t="s">
        <v>4559</v>
      </c>
      <c r="V276" t="s">
        <v>14341</v>
      </c>
      <c r="W276" t="s">
        <v>4727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2026-01-05T12:24:02Z</dcterms:modified>
</cp:coreProperties>
</file>