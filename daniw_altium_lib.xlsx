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00_GitRepos\altium_lib\"/>
    </mc:Choice>
  </mc:AlternateContent>
  <xr:revisionPtr revIDLastSave="0" documentId="13_ncr:1_{4AC905ED-EFA5-415E-A58F-4C70E90C4EEF}" xr6:coauthVersionLast="47" xr6:coauthVersionMax="47" xr10:uidLastSave="{00000000-0000-0000-0000-000000000000}"/>
  <bookViews>
    <workbookView xWindow="-120" yWindow="-120" windowWidth="38640" windowHeight="21120" activeTab="12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6" i="10" l="1"/>
  <c r="G177" i="8"/>
  <c r="G254" i="8"/>
  <c r="G253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1887" i="7" l="1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8" i="12"/>
  <c r="G677" i="7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87" i="10"/>
  <c r="G186" i="10"/>
  <c r="G185" i="10"/>
  <c r="G184" i="10"/>
  <c r="G183" i="10"/>
  <c r="G182" i="10"/>
  <c r="G181" i="10"/>
  <c r="G180" i="10"/>
  <c r="G179" i="10"/>
  <c r="G178" i="10"/>
  <c r="G79" i="10"/>
  <c r="G78" i="10"/>
  <c r="G173" i="8"/>
  <c r="G494" i="7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4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80" i="8"/>
  <c r="G274" i="10"/>
  <c r="G7" i="12"/>
  <c r="G186" i="4"/>
  <c r="G342" i="7"/>
  <c r="G530" i="7"/>
  <c r="AB530" i="7"/>
  <c r="G702" i="7"/>
  <c r="G90" i="8"/>
  <c r="G257" i="10"/>
  <c r="G258" i="10"/>
  <c r="G259" i="10"/>
  <c r="G261" i="10"/>
  <c r="G260" i="10"/>
  <c r="G1438" i="7"/>
  <c r="G1439" i="7"/>
  <c r="G1437" i="7"/>
  <c r="G1436" i="7"/>
  <c r="G1435" i="7"/>
  <c r="G1433" i="7"/>
  <c r="G1432" i="7"/>
  <c r="G1431" i="7"/>
  <c r="G1430" i="7"/>
  <c r="G1429" i="7"/>
  <c r="G1434" i="7"/>
  <c r="G1440" i="7"/>
  <c r="Z89" i="8"/>
  <c r="G89" i="8"/>
  <c r="G197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63" i="10"/>
  <c r="G98" i="8"/>
  <c r="G185" i="4"/>
  <c r="G273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72" i="10"/>
  <c r="G272" i="10"/>
  <c r="I271" i="10"/>
  <c r="G271" i="10"/>
  <c r="I270" i="10"/>
  <c r="G270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65" i="10"/>
  <c r="G267" i="10"/>
  <c r="G269" i="10"/>
  <c r="G268" i="10"/>
  <c r="G266" i="10"/>
  <c r="G264" i="10"/>
  <c r="G262" i="10"/>
  <c r="G2" i="10"/>
  <c r="G1399" i="7"/>
  <c r="I1427" i="7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116" i="10"/>
  <c r="G117" i="10"/>
  <c r="G1886" i="7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4" i="7"/>
  <c r="I1425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86" i="10"/>
  <c r="I111" i="10"/>
  <c r="I110" i="10"/>
  <c r="I85" i="10"/>
  <c r="I90" i="10"/>
  <c r="I89" i="10"/>
  <c r="I88" i="10"/>
  <c r="I84" i="10"/>
  <c r="I83" i="10"/>
  <c r="I82" i="10"/>
  <c r="I81" i="10"/>
  <c r="I80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6" i="8"/>
  <c r="G195" i="8"/>
  <c r="G194" i="8"/>
  <c r="G191" i="8"/>
  <c r="G192" i="8"/>
  <c r="G193" i="8"/>
  <c r="G1427" i="7"/>
  <c r="G1428" i="7"/>
  <c r="G1426" i="7"/>
  <c r="G1780" i="7"/>
  <c r="G1779" i="7"/>
  <c r="G2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AB1288" i="7"/>
  <c r="G1288" i="7"/>
  <c r="G1382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54" i="10"/>
  <c r="G52" i="4"/>
  <c r="G53" i="4"/>
  <c r="G54" i="4"/>
  <c r="G190" i="8"/>
  <c r="G6" i="12"/>
  <c r="G5" i="12"/>
  <c r="G3" i="12"/>
  <c r="G4" i="12"/>
  <c r="G1782" i="7"/>
  <c r="G1781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AB1388" i="7"/>
  <c r="G1388" i="7"/>
  <c r="G189" i="8"/>
  <c r="G1441" i="7" l="1"/>
  <c r="G1442" i="7"/>
  <c r="G1425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51" i="4"/>
  <c r="G1403" i="7"/>
  <c r="G1402" i="7"/>
  <c r="G1401" i="7"/>
  <c r="G1400" i="7"/>
  <c r="G1398" i="7"/>
  <c r="G1397" i="7"/>
  <c r="G1396" i="7"/>
  <c r="G1395" i="7"/>
  <c r="G1394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3" i="7"/>
  <c r="AB1392" i="7"/>
  <c r="G23" i="4"/>
  <c r="G188" i="8"/>
  <c r="G187" i="8"/>
  <c r="G1393" i="7"/>
  <c r="G186" i="8"/>
  <c r="G185" i="8"/>
  <c r="G1392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3" i="7"/>
  <c r="AB1385" i="7"/>
  <c r="AB1386" i="7"/>
  <c r="AB1387" i="7"/>
  <c r="AB1389" i="7"/>
  <c r="AB1390" i="7"/>
  <c r="AB1391" i="7"/>
  <c r="AB172" i="7"/>
  <c r="G1391" i="7"/>
  <c r="G19" i="4"/>
  <c r="G97" i="8"/>
  <c r="G1390" i="7"/>
  <c r="G184" i="8"/>
  <c r="G18" i="4"/>
  <c r="G17" i="4"/>
  <c r="G1389" i="7"/>
  <c r="G16" i="4"/>
  <c r="G15" i="4"/>
  <c r="G183" i="8"/>
  <c r="G178" i="8"/>
  <c r="G181" i="8"/>
  <c r="G96" i="8"/>
  <c r="G182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1383" i="7"/>
  <c r="G1385" i="7"/>
  <c r="G1386" i="7"/>
  <c r="G1387" i="7"/>
  <c r="G91" i="8"/>
  <c r="G92" i="8"/>
  <c r="G174" i="8"/>
  <c r="G179" i="8"/>
  <c r="G93" i="8"/>
  <c r="G94" i="8"/>
  <c r="G175" i="8"/>
  <c r="G176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<sst xmlns="http://schemas.openxmlformats.org/spreadsheetml/2006/main" count="63727" uniqueCount="18142">
  <si>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</si>
  <si>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</si>
  <si>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</si>
  <si>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</si>
  <si>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</si>
  <si>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</si>
  <si>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</si>
  <si>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</si>
  <si>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</si>
  <si>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</si>
  <si>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</si>
  <si>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</si>
  <si>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</si>
  <si>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</si>
  <si>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</si>
  <si>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</si>
  <si>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</si>
  <si>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</si>
  <si>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</si>
  <si>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</si>
  <si>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</si>
  <si>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</si>
  <si>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</si>
  <si>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</si>
  <si>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</si>
  <si>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</si>
  <si>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</si>
  <si>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</si>
  <si>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</si>
  <si>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</si>
  <si>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</si>
  <si>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</si>
  <si>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</si>
  <si>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</si>
  <si>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</si>
  <si>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</si>
  <si>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</si>
  <si>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</si>
  <si>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</si>
  <si>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</si>
  <si>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</si>
  <si>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</si>
  <si>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</si>
  <si>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</si>
  <si>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</si>
  <si>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</si>
  <si>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</si>
  <si>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</si>
  <si>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</si>
  <si>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</si>
  <si>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</si>
  <si>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</si>
  <si>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</si>
  <si>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</si>
  <si>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</si>
  <si>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</si>
  <si>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</si>
  <si>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</si>
  <si>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</si>
  <si>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</si>
  <si>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</si>
  <si>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</si>
  <si>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</si>
  <si>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</si>
  <si>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</si>
  <si>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</si>
  <si>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</si>
  <si>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</si>
  <si>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</si>
  <si>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</si>
  <si>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</si>
  <si>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</si>
  <si>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</si>
  <si>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</si>
  <si>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</si>
  <si>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</si>
  <si>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</si>
  <si>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</si>
  <si>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</si>
  <si>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</si>
  <si>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</si>
  <si>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</si>
  <si>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</si>
  <si>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</si>
  <si>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</si>
  <si>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</si>
  <si>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</si>
  <si>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</si>
  <si>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</si>
  <si>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</si>
  <si>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</si>
  <si>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</si>
  <si>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</si>
  <si>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</si>
  <si>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</si>
  <si>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</si>
  <si>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</si>
  <si>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</si>
  <si>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</si>
  <si>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</si>
  <si>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</si>
  <si>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</si>
  <si>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</si>
  <si>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</si>
  <si>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</si>
  <si>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</si>
  <si>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</si>
  <si>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</si>
  <si>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</si>
  <si>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</si>
  <si>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</si>
  <si>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</si>
  <si>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</si>
  <si>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</si>
  <si>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</si>
  <si>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</si>
  <si>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</si>
  <si>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</si>
  <si>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</si>
  <si>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</si>
  <si>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</si>
  <si>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</si>
  <si>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</si>
  <si>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</si>
  <si>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</si>
  <si>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</si>
  <si>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</si>
  <si>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</si>
  <si>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</si>
  <si>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</si>
  <si>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</si>
  <si>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</si>
  <si>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</si>
  <si>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</si>
  <si>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</si>
  <si>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</si>
  <si>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</si>
  <si>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</si>
  <si>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</si>
  <si>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</si>
  <si>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</si>
  <si>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</si>
  <si>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</si>
  <si>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</si>
  <si>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</si>
  <si>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</si>
  <si>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</si>
  <si>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</si>
  <si>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</si>
  <si>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</si>
  <si>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</si>
  <si>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</si>
  <si>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</si>
  <si>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</si>
  <si>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</si>
  <si>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</si>
  <si>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</si>
  <si>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</si>
  <si>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</si>
  <si>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</si>
  <si>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</si>
  <si>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</si>
  <si>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</si>
  <si>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</si>
  <si>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</si>
  <si>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</si>
  <si>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</si>
  <si>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</si>
  <si>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</si>
  <si>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</si>
  <si>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</si>
  <si>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</si>
  <si>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</si>
  <si>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</si>
  <si>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</si>
  <si>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</si>
  <si>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</si>
  <si>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</si>
  <si>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</si>
  <si>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</si>
  <si>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</si>
  <si>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</si>
  <si>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</si>
  <si>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</si>
  <si>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</si>
  <si>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</si>
  <si>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</si>
  <si>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</si>
  <si>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</si>
  <si>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</si>
  <si>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</si>
  <si>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</si>
  <si>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</si>
  <si>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</si>
  <si>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</si>
  <si>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</si>
  <si>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</si>
  <si>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</si>
  <si>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</si>
  <si>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</si>
  <si>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</si>
  <si>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</si>
  <si>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</si>
  <si>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</si>
  <si>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</si>
  <si>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</si>
  <si>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</si>
  <si>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</si>
  <si>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</si>
  <si>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</si>
  <si>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</si>
  <si>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</si>
  <si>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</si>
  <si>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</si>
  <si>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</si>
  <si>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</si>
  <si>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</si>
  <si>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</si>
  <si>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</si>
  <si>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</si>
  <si>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</si>
  <si>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</si>
  <si>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</si>
  <si>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</si>
  <si>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</si>
  <si>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</si>
  <si>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</si>
  <si>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</si>
  <si>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</si>
  <si>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</si>
  <si>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</si>
  <si>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</si>
  <si>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</si>
  <si>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</si>
  <si>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</si>
  <si>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</si>
  <si>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</si>
  <si>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</si>
  <si>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</si>
  <si>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</si>
  <si>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</si>
  <si>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</si>
  <si>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</si>
  <si>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</si>
  <si>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</si>
  <si>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</si>
  <si>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</si>
  <si>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</si>
  <si>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</si>
  <si>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</si>
  <si>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</si>
  <si>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</si>
  <si>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</si>
  <si>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</si>
  <si>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</si>
  <si>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</si>
  <si>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</si>
  <si>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</si>
  <si>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</si>
  <si>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</si>
  <si>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</si>
  <si>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</si>
  <si>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</si>
  <si>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</si>
  <si>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</si>
  <si>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</si>
  <si>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</si>
  <si>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</si>
  <si>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</si>
  <si>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</si>
  <si>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</si>
  <si>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</si>
  <si>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</si>
  <si>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</si>
  <si>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</si>
  <si>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</si>
  <si>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</si>
  <si>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</si>
  <si>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</si>
  <si>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</si>
  <si>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</si>
  <si>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</si>
  <si>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</si>
  <si>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</si>
  <si>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</si>
  <si>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</si>
  <si>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</si>
  <si>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</si>
  <si>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</si>
  <si>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</si>
  <si>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</si>
  <si>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</si>
  <si>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</si>
  <si>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</si>
  <si>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</si>
  <si>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</si>
  <si>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</si>
  <si>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</si>
  <si>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</si>
  <si>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</si>
  <si>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</si>
  <si>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</si>
  <si>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</si>
  <si>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</si>
  <si>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</si>
  <si>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</si>
  <si>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</si>
  <si>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</si>
  <si>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</si>
  <si>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</si>
  <si>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</si>
  <si>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</si>
  <si>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</si>
  <si>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</si>
  <si>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</si>
  <si>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</si>
  <si>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</si>
  <si>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</si>
  <si>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</si>
  <si>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</si>
  <si>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</si>
  <si>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</si>
  <si>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</si>
  <si>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</si>
  <si>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</si>
  <si>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</si>
  <si>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</si>
  <si>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</si>
  <si>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</si>
  <si>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</si>
  <si>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</si>
  <si>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</si>
  <si>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</si>
  <si>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</si>
  <si>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</si>
  <si>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</si>
  <si>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</si>
  <si>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</si>
  <si>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</si>
  <si>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</si>
  <si>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</si>
  <si>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</si>
  <si>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</si>
  <si>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</si>
  <si>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</si>
  <si>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</si>
  <si>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</si>
  <si>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</si>
  <si>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</si>
  <si>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</si>
  <si>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</si>
  <si>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</si>
  <si>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</si>
  <si>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</si>
  <si>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</si>
  <si>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</si>
  <si>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</si>
  <si>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</si>
  <si>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</si>
  <si>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</si>
  <si>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</si>
  <si>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</si>
  <si>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</si>
  <si>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</si>
  <si>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</si>
  <si>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</si>
  <si>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</si>
  <si>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</si>
  <si>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</si>
  <si>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</si>
  <si>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</si>
  <si>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</si>
  <si>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</si>
  <si>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</si>
  <si>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</si>
  <si>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</si>
  <si>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</si>
  <si>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</si>
  <si>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</si>
  <si>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</si>
  <si>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</si>
  <si>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</si>
  <si>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</si>
  <si>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</si>
  <si>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</si>
  <si>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</si>
  <si>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</si>
  <si>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</si>
  <si>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</si>
  <si>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</si>
  <si>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</si>
  <si>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</si>
  <si>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</si>
  <si>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</si>
  <si>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</si>
  <si>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</si>
  <si>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</si>
  <si>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</si>
  <si>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</si>
  <si>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</si>
  <si>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</si>
  <si>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</si>
  <si>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</si>
  <si>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</si>
  <si>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</si>
  <si>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</si>
  <si>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</si>
  <si>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</si>
  <si>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</si>
  <si>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</si>
  <si>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</si>
  <si>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</si>
  <si>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</si>
  <si>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</si>
  <si>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</si>
  <si>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</si>
  <si>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</si>
  <si>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</si>
  <si>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</si>
  <si>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</si>
  <si>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</si>
  <si>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</si>
  <si>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</si>
  <si>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</si>
  <si>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</si>
  <si>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</si>
  <si>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</si>
  <si>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</si>
  <si>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</si>
  <si>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</si>
  <si>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</si>
  <si>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</si>
  <si>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</si>
  <si>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</si>
  <si>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</si>
  <si>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</si>
  <si>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</si>
  <si>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</si>
  <si>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</si>
  <si>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</si>
  <si>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</si>
  <si>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</si>
  <si>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</si>
  <si>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</si>
  <si>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</si>
  <si>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</si>
  <si>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</si>
  <si>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</si>
  <si>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</si>
  <si>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</si>
  <si>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</si>
  <si>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</si>
  <si>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</si>
  <si>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</si>
  <si>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</si>
  <si>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</si>
  <si>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</si>
  <si>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</si>
  <si>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</si>
  <si>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</si>
  <si>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</si>
  <si>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</si>
  <si>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</si>
  <si>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</si>
  <si>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</si>
  <si>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</si>
  <si>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</si>
  <si>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</si>
  <si>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</si>
  <si>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</si>
  <si>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</si>
  <si>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</si>
  <si>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</si>
  <si>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</si>
  <si>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</si>
  <si>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</si>
  <si>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</si>
  <si>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</si>
  <si>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</si>
  <si>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</si>
  <si>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</si>
  <si>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</si>
  <si>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</si>
  <si>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</si>
  <si>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</si>
  <si>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</si>
  <si>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</si>
  <si>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</si>
  <si>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</si>
  <si>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</si>
  <si>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</si>
  <si>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</si>
  <si>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</si>
  <si>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</si>
  <si>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</si>
  <si>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</si>
  <si>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</si>
  <si>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</si>
  <si>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</si>
  <si>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</si>
  <si>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</si>
  <si>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</si>
  <si>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</si>
  <si>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</si>
  <si>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</si>
  <si>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</si>
  <si>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</si>
  <si>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</si>
  <si>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</si>
  <si>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</si>
  <si>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</si>
  <si>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</si>
  <si>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</si>
  <si>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</si>
  <si>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</si>
  <si>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</si>
  <si>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</si>
  <si>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</si>
  <si>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</si>
  <si>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</si>
  <si>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</si>
  <si>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</si>
  <si>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</si>
  <si>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</si>
  <si>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</si>
  <si>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</si>
  <si>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</si>
  <si>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</si>
  <si>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</si>
  <si>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</si>
  <si>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</si>
  <si>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</si>
  <si>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</si>
  <si>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</si>
  <si>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</si>
  <si>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</si>
  <si>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</si>
  <si>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</si>
  <si>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</si>
  <si>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</si>
  <si>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</si>
  <si>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</si>
  <si>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</si>
  <si>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</si>
  <si>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</si>
  <si>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</si>
  <si>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</si>
  <si>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</si>
  <si>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</si>
  <si>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</si>
  <si>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</si>
  <si>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</si>
  <si>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</si>
  <si>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</si>
  <si>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</si>
  <si>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</si>
  <si>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</si>
  <si>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</si>
  <si>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</si>
  <si>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</si>
  <si>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</si>
  <si>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</si>
  <si>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</si>
  <si>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</si>
  <si>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</si>
  <si>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</si>
  <si>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</si>
  <si>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</si>
  <si>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</si>
  <si>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</si>
  <si>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</si>
  <si>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</si>
  <si>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</si>
  <si>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</si>
  <si>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</si>
  <si>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</si>
  <si>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</si>
  <si>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</si>
  <si>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</si>
  <si>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</si>
  <si>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</si>
  <si>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</si>
  <si>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</si>
  <si>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</si>
  <si>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</si>
  <si>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</si>
  <si>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</si>
  <si>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</si>
  <si>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</si>
  <si>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</si>
  <si>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</si>
  <si>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</si>
  <si>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</si>
  <si>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</si>
  <si>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</si>
  <si>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</si>
  <si>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</si>
  <si>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</si>
  <si>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</si>
  <si>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</si>
  <si>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</si>
  <si>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</si>
  <si>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</si>
  <si>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</si>
  <si>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</si>
  <si>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</si>
  <si>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</si>
  <si>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</si>
  <si>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</si>
  <si>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</si>
  <si>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</si>
  <si>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</si>
  <si>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</si>
  <si>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</si>
  <si>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</si>
  <si>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</si>
  <si>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</si>
  <si>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</si>
  <si>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</si>
  <si>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</si>
  <si>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</si>
  <si>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</si>
  <si>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</si>
  <si>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</si>
  <si>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</si>
  <si>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</si>
  <si>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</si>
  <si>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</si>
  <si>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</si>
  <si>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</si>
  <si>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</si>
  <si>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</si>
  <si>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</si>
  <si>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</si>
  <si>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</si>
  <si>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</si>
  <si>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</si>
  <si>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</si>
  <si>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</si>
  <si>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</si>
  <si>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</si>
  <si>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</si>
  <si>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</si>
  <si>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</si>
  <si>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</si>
  <si>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</si>
  <si>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</si>
  <si>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</si>
  <si>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</si>
  <si>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</si>
  <si>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</si>
  <si>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</si>
  <si>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</si>
  <si>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</si>
  <si>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</si>
  <si>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</si>
  <si>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</si>
  <si>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</si>
  <si>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</si>
  <si>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</si>
  <si>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</si>
  <si>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</si>
  <si>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</si>
  <si>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</si>
  <si>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</si>
  <si>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</si>
  <si>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</si>
  <si>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</si>
  <si>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</si>
  <si>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</si>
  <si>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</si>
  <si>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</si>
  <si>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</si>
  <si>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</si>
  <si>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</si>
  <si>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</si>
  <si>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</si>
  <si>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</si>
  <si>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</si>
  <si>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</si>
  <si>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</si>
  <si>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</si>
  <si>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</si>
  <si>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</si>
  <si>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</si>
  <si>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</si>
  <si>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</si>
  <si>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</si>
  <si>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</si>
  <si>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</si>
  <si>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</si>
  <si>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</si>
  <si>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</si>
  <si>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</si>
  <si>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</si>
  <si>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</si>
  <si>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</si>
  <si>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</si>
  <si>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</si>
  <si>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</si>
  <si>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</si>
  <si>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</si>
  <si>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</si>
  <si>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</si>
  <si>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</si>
  <si>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</si>
  <si>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</si>
  <si>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</si>
  <si>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</si>
  <si>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</si>
  <si>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</si>
  <si>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</si>
  <si>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</si>
  <si>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</si>
  <si>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</si>
  <si>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</si>
  <si>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</si>
  <si>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</si>
  <si>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</si>
  <si>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</si>
  <si>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</si>
  <si>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</si>
  <si>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</si>
  <si>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</si>
  <si>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</si>
  <si>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</si>
  <si>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</si>
  <si>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</si>
  <si>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</si>
  <si>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</si>
  <si>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</si>
  <si>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</si>
  <si>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</si>
  <si>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</si>
  <si>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</si>
  <si>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</si>
  <si>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</si>
  <si>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</si>
  <si>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</si>
  <si>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</si>
  <si>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</si>
  <si>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</si>
  <si>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</si>
  <si>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</si>
  <si>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</si>
  <si>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</si>
  <si>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</si>
  <si>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</si>
  <si>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</si>
  <si>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</si>
  <si>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</si>
  <si>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</si>
  <si>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</si>
  <si>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</si>
  <si>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</si>
  <si>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</si>
  <si>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</si>
  <si>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</si>
  <si>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</si>
  <si>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</si>
  <si>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</si>
  <si>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</si>
  <si>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</si>
  <si>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</si>
  <si>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</si>
  <si>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</si>
  <si>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</si>
  <si>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</si>
  <si>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</si>
  <si>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</si>
  <si>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</si>
  <si>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</si>
  <si>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</si>
  <si>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</si>
  <si>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</si>
  <si>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</si>
  <si>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</si>
  <si>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</si>
  <si>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</si>
  <si>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</si>
  <si>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</si>
  <si>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</si>
  <si>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</si>
  <si>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</si>
  <si>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</si>
  <si>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</si>
  <si>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</si>
  <si>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</si>
  <si>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</si>
  <si>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</si>
  <si>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</si>
  <si>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</si>
  <si>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</si>
  <si>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</si>
  <si>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</si>
  <si>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</si>
  <si>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</si>
  <si>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</si>
  <si>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</si>
  <si>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</si>
  <si>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</si>
  <si>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</si>
  <si>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</si>
  <si>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</si>
  <si>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</si>
  <si>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</si>
  <si>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</si>
  <si>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</si>
  <si>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</si>
  <si>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</si>
  <si>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</si>
  <si>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</si>
  <si>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</si>
  <si>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</si>
  <si>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</si>
  <si>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</si>
  <si>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</si>
  <si>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</si>
  <si>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</si>
  <si>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</si>
  <si>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</si>
  <si>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</si>
  <si>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</si>
  <si>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</si>
  <si>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</si>
  <si>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</si>
  <si>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</si>
  <si>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</si>
  <si>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</si>
  <si>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</si>
  <si>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</si>
  <si>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</si>
  <si>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</si>
  <si>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</si>
  <si>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</si>
  <si>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</si>
  <si>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</si>
  <si>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</si>
  <si>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</si>
  <si>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</si>
  <si>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</si>
  <si>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</si>
  <si>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</si>
  <si>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</si>
  <si>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</si>
  <si>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</si>
  <si>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</si>
  <si>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</si>
  <si>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</si>
  <si>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</si>
  <si>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</si>
  <si>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</si>
  <si>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</si>
  <si>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</si>
  <si>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</si>
  <si>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</si>
  <si>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</si>
  <si>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</si>
  <si>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</si>
  <si>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</si>
  <si>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</si>
  <si>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</si>
  <si>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</si>
  <si>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</si>
  <si>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</si>
  <si>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</si>
  <si>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</si>
  <si>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</si>
  <si>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</si>
  <si>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</si>
  <si>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</si>
  <si>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</si>
  <si>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</si>
  <si>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</si>
  <si>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</si>
  <si>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</si>
  <si>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</si>
  <si>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</si>
  <si>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</si>
  <si>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</si>
  <si>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</si>
  <si>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</si>
  <si>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</si>
  <si>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</si>
  <si>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</si>
  <si>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</si>
  <si>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</si>
  <si>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</si>
  <si>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</si>
  <si>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</si>
  <si>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</si>
  <si>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</si>
  <si>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</si>
  <si>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</si>
  <si>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</si>
  <si>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</si>
  <si>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</si>
  <si>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</si>
  <si>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</si>
  <si>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</si>
  <si>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</si>
  <si>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</si>
  <si>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</si>
  <si>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</si>
  <si>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</si>
  <si>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</si>
  <si>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</si>
  <si>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</si>
  <si>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</si>
  <si>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</si>
  <si>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</si>
  <si>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</si>
  <si>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</si>
  <si>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</si>
  <si>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</si>
  <si>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</si>
  <si>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</si>
  <si>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</si>
  <si>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</si>
  <si>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</si>
  <si>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</si>
  <si>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</si>
  <si>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</si>
  <si>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</si>
  <si>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</si>
  <si>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</si>
  <si>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</si>
  <si>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</si>
  <si>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</si>
  <si>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</si>
  <si>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</si>
  <si>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</si>
  <si>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</si>
  <si>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</si>
  <si>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</si>
  <si>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</si>
  <si>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</si>
  <si>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</si>
  <si>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</si>
  <si>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</si>
  <si>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</si>
  <si>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</si>
  <si>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</si>
  <si>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</si>
  <si>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</si>
  <si>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</si>
  <si>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</si>
  <si>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</si>
  <si>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</si>
  <si>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</si>
  <si>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</si>
  <si>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</si>
  <si>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</si>
  <si>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</si>
  <si>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</si>
  <si>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</si>
  <si>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</si>
  <si>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</si>
  <si>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</si>
  <si>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</si>
  <si>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</si>
  <si>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</si>
  <si>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</si>
  <si>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</si>
  <si>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</si>
  <si>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</si>
  <si>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</si>
  <si>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</si>
  <si>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</si>
  <si>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</si>
  <si>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</si>
  <si>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</si>
  <si>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</si>
  <si>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</si>
  <si>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</si>
  <si>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</si>
  <si>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</si>
  <si>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</si>
  <si>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</si>
  <si>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</si>
  <si>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</si>
  <si>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</si>
  <si>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</si>
  <si>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</si>
  <si>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</si>
  <si>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</si>
  <si>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</si>
  <si>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</si>
  <si>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</si>
  <si>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</si>
  <si>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</si>
  <si>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</si>
  <si>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</si>
  <si>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</si>
  <si>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</si>
  <si>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</si>
  <si>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</si>
  <si>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</si>
  <si>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</si>
  <si>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</si>
  <si>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</si>
  <si>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</si>
  <si>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</si>
  <si>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</si>
  <si>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</si>
  <si>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</si>
  <si>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</si>
  <si>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</si>
  <si>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</si>
  <si>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</si>
  <si>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</si>
  <si>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</si>
  <si>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</si>
  <si>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</si>
  <si>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</si>
  <si>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</si>
  <si>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</si>
  <si>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</si>
  <si>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</si>
  <si>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</si>
  <si>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</si>
  <si>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</si>
  <si>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</si>
  <si>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</si>
  <si>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</si>
  <si>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</si>
  <si>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</si>
  <si>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</si>
  <si>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</si>
  <si>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</si>
  <si>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</si>
  <si>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</si>
  <si>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</si>
  <si>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</si>
  <si>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</si>
  <si>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</si>
  <si>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</si>
  <si>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</si>
  <si>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</si>
  <si>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</si>
  <si>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</si>
  <si>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</si>
  <si>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</si>
  <si>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</si>
  <si>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</si>
  <si>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</si>
  <si>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</si>
  <si>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</si>
  <si>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</si>
  <si>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</si>
  <si>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</si>
  <si>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</si>
  <si>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</si>
  <si>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</si>
  <si>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</si>
  <si>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</si>
  <si>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</si>
  <si>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</si>
  <si>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</si>
  <si>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</si>
  <si>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</si>
  <si>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</si>
  <si>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</si>
  <si>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</si>
  <si>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</si>
  <si>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</si>
  <si>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</si>
  <si>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</si>
  <si>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</si>
  <si>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</si>
  <si>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</si>
  <si>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</si>
  <si>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</si>
  <si>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</si>
  <si>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</si>
  <si>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</si>
  <si>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</si>
  <si>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</si>
  <si>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</si>
  <si>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</si>
  <si>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</si>
  <si>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</si>
  <si>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</si>
  <si>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</si>
  <si>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</si>
  <si>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</si>
  <si>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</si>
  <si>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</si>
  <si>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</si>
  <si>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</si>
  <si>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</si>
  <si>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</si>
  <si>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</si>
  <si>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</si>
  <si>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</si>
  <si>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</si>
  <si>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</si>
  <si>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</si>
  <si>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</si>
  <si>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</si>
  <si>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</si>
  <si>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</si>
  <si>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</si>
  <si>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</si>
  <si>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</si>
  <si>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</si>
  <si>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</si>
  <si>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</si>
  <si>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</si>
  <si>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</si>
  <si>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</si>
  <si>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</si>
  <si>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</si>
  <si>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</si>
  <si>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</si>
  <si>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</si>
  <si>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</si>
  <si>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</si>
  <si>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</si>
  <si>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</si>
  <si>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</si>
  <si>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</si>
  <si>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</si>
  <si>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</si>
  <si>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</si>
  <si>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</si>
  <si>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</si>
  <si>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</si>
  <si>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</si>
  <si>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</si>
  <si>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</si>
  <si>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</si>
  <si>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</si>
  <si>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</si>
  <si>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</si>
  <si>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</si>
  <si>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</si>
  <si>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</si>
  <si>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</si>
  <si>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</si>
  <si>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</si>
  <si>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</si>
  <si>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</si>
  <si>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</si>
  <si>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</si>
  <si>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</si>
  <si>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</si>
  <si>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</si>
  <si>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</si>
  <si>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</si>
  <si>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</si>
  <si>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</si>
  <si>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</si>
  <si>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</si>
  <si>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</si>
  <si>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</si>
  <si>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</si>
  <si>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</si>
  <si>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</si>
  <si>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</si>
  <si>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</si>
  <si>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</si>
  <si>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</si>
  <si>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</si>
  <si>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</si>
  <si>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</si>
  <si>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</si>
  <si>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</si>
  <si>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</si>
  <si>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</si>
  <si>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</si>
  <si>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</si>
  <si>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</si>
  <si>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</si>
  <si>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</si>
  <si>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</si>
  <si>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</si>
  <si>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</si>
  <si>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</si>
  <si>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</si>
  <si>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</si>
  <si>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</si>
  <si>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</si>
  <si>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</si>
  <si>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</si>
  <si>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</si>
  <si>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</si>
  <si>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</si>
  <si>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</si>
  <si>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</si>
  <si>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</si>
  <si>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</si>
  <si>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</si>
  <si>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</si>
  <si>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</si>
  <si>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</si>
  <si>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</si>
  <si>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</si>
  <si>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</si>
  <si>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</si>
  <si>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</si>
  <si>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</si>
  <si>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</si>
  <si>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</si>
  <si>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</si>
  <si>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</si>
  <si>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</si>
  <si>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</si>
  <si>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</si>
  <si>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</si>
  <si>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</si>
  <si>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</si>
  <si>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</si>
  <si>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</si>
  <si>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</si>
  <si>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</si>
  <si>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</si>
  <si>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</si>
  <si>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</si>
  <si>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</si>
  <si>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</si>
  <si>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</si>
  <si>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</si>
  <si>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</si>
  <si>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</si>
  <si>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</si>
  <si>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</si>
  <si>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</si>
  <si>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</si>
  <si>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</si>
  <si>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</si>
  <si>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</si>
  <si>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</si>
  <si>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</si>
  <si>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</si>
  <si>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</si>
  <si>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</si>
  <si>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</si>
  <si>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</si>
  <si>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</si>
  <si>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</si>
  <si>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</si>
  <si>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</si>
  <si>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</si>
  <si>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</si>
  <si>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</si>
  <si>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</si>
  <si>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</si>
  <si>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</si>
  <si>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</si>
  <si>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</si>
  <si>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</si>
  <si>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</si>
  <si>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</si>
  <si>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</si>
  <si>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</si>
  <si>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</si>
  <si>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</si>
  <si>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</si>
  <si>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</si>
  <si>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</si>
  <si>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</si>
  <si>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</si>
  <si>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</si>
  <si>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</si>
  <si>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</si>
  <si>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</si>
  <si>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</si>
  <si>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</si>
  <si>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</si>
  <si>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</si>
  <si>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</si>
  <si>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</si>
  <si>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</si>
  <si>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</si>
  <si>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</si>
  <si>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</si>
  <si>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</si>
  <si>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</si>
  <si>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</si>
  <si>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</si>
  <si>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</si>
  <si>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</si>
  <si>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</si>
  <si>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</si>
  <si>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</si>
  <si>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</si>
  <si>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</si>
  <si>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</si>
  <si>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</si>
  <si>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</si>
  <si>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</si>
  <si>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</si>
  <si>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</si>
  <si>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</si>
  <si>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</si>
  <si>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</si>
  <si>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</si>
  <si>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</si>
  <si>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</si>
  <si>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</si>
  <si>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</si>
  <si>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</si>
  <si>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</si>
  <si>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</si>
  <si>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</si>
  <si>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</si>
  <si>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</si>
  <si>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</si>
  <si>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</si>
  <si>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</si>
  <si>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</si>
  <si>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</si>
  <si>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</si>
  <si>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</si>
  <si>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</si>
  <si>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</si>
  <si>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</si>
  <si>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</si>
  <si>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</si>
  <si>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</si>
  <si>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</si>
  <si>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</si>
  <si>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</si>
  <si>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</si>
  <si>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</si>
  <si>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</si>
  <si>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</si>
  <si>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</si>
  <si>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</si>
  <si>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</si>
  <si>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</si>
  <si>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</si>
  <si>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</si>
  <si>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</si>
  <si>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</si>
  <si>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</si>
  <si>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</si>
  <si>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</si>
  <si>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</si>
  <si>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</si>
  <si>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</si>
  <si>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</si>
  <si>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</si>
  <si>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</si>
  <si>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</si>
  <si>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</si>
  <si>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</si>
  <si>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</si>
  <si>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</si>
  <si>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</si>
  <si>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</si>
  <si>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</si>
  <si>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</si>
  <si>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</si>
  <si>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</si>
  <si>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</si>
  <si>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</si>
  <si>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</si>
  <si>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</si>
  <si>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</si>
  <si>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</si>
  <si>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</si>
  <si>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</si>
  <si>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</si>
  <si>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</si>
  <si>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</si>
  <si>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</si>
  <si>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</si>
  <si>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</si>
  <si>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</si>
  <si>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</si>
  <si>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</si>
  <si>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</si>
  <si>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</si>
  <si>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</si>
  <si>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</si>
  <si>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</si>
  <si>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</si>
  <si>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</si>
  <si>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</si>
  <si>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</si>
  <si>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</si>
  <si>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</si>
  <si>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</si>
  <si>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</si>
  <si>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</si>
  <si>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</si>
  <si>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</si>
  <si>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</si>
  <si>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</si>
  <si>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</si>
  <si>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</si>
  <si>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</si>
  <si>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</si>
  <si>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</si>
  <si>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</si>
  <si>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</si>
  <si>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</si>
  <si>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</si>
  <si>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</si>
  <si>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</si>
  <si>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</si>
  <si>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</si>
  <si>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</si>
  <si>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</si>
  <si>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</si>
  <si>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</si>
  <si>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</si>
  <si>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</si>
  <si>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</si>
  <si>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</si>
  <si>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</si>
  <si>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</si>
  <si>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</si>
  <si>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</si>
  <si>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</si>
  <si>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</si>
  <si>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</si>
  <si>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</si>
  <si>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</si>
  <si>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</si>
  <si>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</si>
  <si>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</si>
  <si>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</si>
  <si>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</si>
  <si>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</si>
  <si>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</si>
  <si>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</si>
  <si>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</si>
  <si>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</si>
  <si>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</si>
  <si>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</si>
  <si>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</si>
  <si>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</si>
  <si>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</si>
  <si>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</si>
  <si>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</si>
  <si>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</si>
  <si>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</si>
  <si>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</si>
  <si>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</si>
  <si>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</si>
  <si>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</si>
  <si>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</si>
  <si>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</si>
  <si>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</si>
  <si>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</si>
  <si>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</si>
  <si>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</si>
  <si>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</si>
  <si>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</si>
  <si>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</si>
  <si>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</si>
  <si>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</si>
  <si>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</si>
  <si>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</si>
  <si>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</si>
  <si>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</si>
  <si>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</si>
  <si>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</si>
  <si>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</si>
  <si>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</si>
  <si>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</si>
  <si>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</si>
  <si>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</si>
  <si>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</si>
  <si>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</si>
  <si>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</si>
  <si>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</si>
  <si>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</si>
  <si>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</si>
  <si>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</si>
  <si>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</si>
  <si>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</si>
  <si>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</si>
  <si>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</si>
  <si>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</si>
  <si>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</si>
  <si>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</si>
  <si>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</si>
  <si>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</si>
  <si>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</si>
  <si>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</si>
  <si>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</si>
  <si>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</si>
  <si>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</si>
  <si>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</si>
  <si>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</si>
  <si>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</si>
  <si>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</si>
  <si>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</si>
  <si>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</si>
  <si>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</si>
  <si>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</si>
  <si>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</si>
  <si>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</si>
  <si>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</si>
  <si>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</si>
  <si>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</si>
  <si>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</si>
  <si>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</si>
  <si>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</si>
  <si>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</si>
  <si>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</si>
  <si>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</si>
  <si>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</si>
  <si>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</si>
  <si>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</si>
  <si>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</si>
  <si>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</si>
  <si>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</si>
  <si>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</si>
  <si>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</si>
  <si>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</si>
  <si>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</si>
  <si>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</si>
  <si>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</si>
  <si>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</si>
  <si>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</si>
  <si>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</si>
  <si>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</si>
  <si>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</si>
  <si>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</si>
  <si>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</si>
  <si>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</si>
  <si>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</si>
  <si>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</si>
  <si>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</si>
  <si>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</si>
  <si>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</si>
  <si>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</si>
  <si>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</si>
  <si>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</si>
  <si>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</si>
  <si>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</si>
  <si>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</si>
  <si>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</si>
  <si>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</si>
  <si>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</si>
  <si>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</si>
  <si>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</si>
  <si>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</si>
  <si>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</si>
  <si>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</si>
  <si>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</si>
  <si>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</si>
  <si>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</si>
  <si>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</si>
  <si>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</si>
  <si>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</si>
  <si>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</si>
  <si>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</si>
  <si>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</si>
  <si>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</si>
  <si>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</si>
  <si>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</si>
  <si>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</si>
  <si>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</si>
  <si>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</si>
  <si>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</si>
  <si>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</si>
  <si>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</si>
  <si>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</si>
  <si>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</si>
  <si>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</si>
  <si>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</si>
  <si>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</si>
  <si>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</si>
  <si>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</si>
  <si>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</si>
  <si>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</si>
  <si>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</si>
  <si>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</si>
  <si>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</si>
  <si>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</si>
  <si>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</si>
  <si>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</si>
  <si>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</si>
  <si>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</si>
  <si>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</si>
  <si>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</si>
  <si>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</si>
  <si>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</si>
  <si>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</si>
  <si>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</si>
  <si>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</si>
  <si>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</si>
  <si>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</si>
  <si>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</si>
  <si>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</si>
  <si>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</si>
  <si>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</si>
  <si>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</si>
  <si>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</si>
  <si>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</si>
  <si>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</si>
  <si>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</si>
  <si>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</si>
  <si>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</si>
  <si>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</si>
  <si>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</si>
  <si>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</si>
  <si>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</si>
  <si>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</si>
  <si>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</si>
  <si>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</si>
  <si>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</si>
  <si>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</si>
  <si>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</si>
  <si>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</si>
  <si>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</si>
  <si>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</si>
  <si>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</si>
  <si>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</si>
  <si>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</si>
  <si>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</si>
  <si>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</si>
  <si>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</si>
  <si>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</si>
  <si>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</si>
  <si>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</si>
  <si>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</si>
  <si>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</si>
  <si>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</si>
  <si>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</si>
  <si>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</si>
  <si>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</si>
  <si>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</si>
  <si>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</si>
  <si>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</si>
  <si>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</si>
  <si>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</si>
  <si>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</si>
  <si>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</si>
  <si>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</si>
  <si>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</si>
  <si>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</si>
  <si>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</si>
  <si>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</si>
  <si>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</si>
  <si>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</si>
  <si>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</si>
  <si>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</si>
  <si>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</si>
  <si>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</si>
  <si>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</si>
  <si>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</si>
  <si>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</si>
  <si>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</si>
  <si>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</si>
  <si>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</si>
  <si>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</si>
  <si>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</si>
  <si>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</si>
  <si>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</si>
  <si>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</si>
  <si>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</si>
  <si>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</si>
  <si>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</si>
  <si>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</si>
  <si>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</si>
  <si>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</si>
  <si>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</si>
  <si>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</si>
  <si>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</si>
  <si>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</si>
  <si>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</si>
  <si>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</si>
  <si>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</si>
  <si>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</si>
  <si>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</si>
  <si>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</si>
  <si>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</si>
  <si>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</si>
  <si>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</si>
  <si>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</si>
  <si>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</si>
  <si>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</si>
  <si>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</si>
  <si>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</si>
  <si>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</si>
  <si>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</si>
  <si>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</si>
  <si>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</si>
  <si>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</si>
  <si>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</si>
  <si>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</si>
  <si>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</si>
  <si>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</si>
  <si>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</si>
  <si>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</si>
  <si>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</si>
  <si>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</si>
  <si>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</si>
  <si>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</si>
  <si>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</si>
  <si>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</si>
  <si>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</si>
  <si>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</si>
  <si>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</si>
  <si>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</si>
  <si>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</si>
  <si>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</si>
  <si>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</si>
  <si>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</si>
  <si>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</si>
  <si>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</si>
  <si>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</si>
  <si>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</si>
  <si>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</si>
  <si>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</si>
  <si>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</si>
  <si>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</si>
  <si>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</si>
  <si>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</si>
  <si>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</si>
  <si>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</si>
  <si>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</si>
  <si>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</si>
  <si>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</si>
  <si>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</si>
  <si>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</si>
  <si>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</si>
  <si>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</si>
  <si>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</si>
  <si>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</si>
  <si>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</si>
  <si>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</si>
  <si>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</si>
  <si>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</si>
  <si>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</si>
  <si>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</si>
  <si>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</si>
  <si>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</si>
  <si>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</si>
  <si>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</si>
  <si>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</si>
  <si>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</si>
  <si>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</si>
  <si>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</si>
  <si>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</si>
  <si>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</si>
  <si>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</si>
  <si>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</si>
  <si>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</si>
  <si>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</si>
  <si>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</si>
  <si>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</si>
  <si>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</si>
  <si>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</si>
  <si>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</si>
  <si>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</si>
  <si>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</si>
  <si>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</si>
  <si>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</si>
  <si>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</si>
  <si>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</si>
  <si>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</si>
  <si>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</si>
  <si>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</si>
  <si>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</si>
  <si>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</si>
  <si>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</si>
  <si>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</si>
  <si>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</si>
  <si>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</si>
  <si>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</si>
  <si>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</si>
  <si>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</si>
  <si>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</si>
  <si>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</si>
  <si>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</si>
  <si>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</si>
  <si>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</si>
  <si>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</si>
  <si>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</si>
  <si>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</si>
  <si>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</si>
  <si>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</si>
  <si>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</si>
  <si>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</si>
  <si>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</si>
  <si>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</si>
  <si>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</si>
  <si>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</si>
  <si>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</si>
  <si>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</si>
  <si>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</si>
  <si>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</si>
  <si>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</si>
  <si>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</si>
  <si>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</si>
  <si>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</si>
  <si>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</si>
  <si>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</si>
  <si>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</si>
  <si>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</si>
  <si>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</si>
  <si>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</si>
  <si>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</si>
  <si>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</si>
  <si>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</si>
  <si>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</si>
  <si>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</si>
  <si>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</si>
  <si>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</si>
  <si>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</si>
  <si>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</si>
  <si>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</si>
  <si>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</si>
  <si>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</si>
  <si>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</si>
  <si>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</si>
  <si>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</si>
  <si>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</si>
  <si>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</si>
  <si>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</si>
  <si>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</si>
  <si>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</si>
  <si>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</si>
  <si>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</si>
  <si>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</si>
  <si>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</si>
  <si>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</si>
  <si>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</si>
  <si>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</si>
  <si>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</si>
  <si>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</si>
  <si>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</si>
  <si>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</si>
  <si>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</si>
  <si>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</si>
  <si>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</si>
  <si>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</si>
  <si>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</si>
  <si>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</si>
  <si>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</si>
  <si>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</si>
  <si>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</si>
  <si>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</si>
  <si>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</si>
  <si>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</si>
  <si>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</si>
  <si>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</si>
  <si>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</si>
  <si>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</si>
  <si>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</si>
  <si>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</si>
  <si>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</si>
  <si>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</si>
  <si>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</si>
  <si>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</si>
  <si>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</si>
  <si>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</si>
  <si>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</si>
  <si>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</si>
  <si>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</si>
  <si>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</si>
  <si>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</si>
  <si>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</si>
  <si>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</si>
  <si>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</si>
  <si>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</si>
  <si>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</si>
  <si>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</si>
  <si>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</si>
  <si>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</si>
  <si>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</si>
  <si>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</si>
  <si>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</si>
  <si>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</si>
  <si>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</si>
  <si>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</si>
  <si>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</si>
  <si>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</si>
  <si>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</si>
  <si>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</si>
  <si>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</si>
  <si>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</si>
  <si>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</si>
  <si>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</si>
  <si>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</si>
  <si>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</si>
  <si>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</si>
  <si>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</si>
  <si>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</si>
  <si>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</si>
  <si>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</si>
  <si>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</si>
  <si>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</si>
  <si>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</si>
  <si>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</si>
  <si>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</si>
  <si>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</si>
  <si>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</si>
  <si>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</si>
  <si>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</si>
  <si>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</si>
  <si>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</si>
  <si>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</si>
  <si>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</si>
  <si>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</si>
  <si>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</si>
  <si>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</si>
  <si>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</si>
  <si>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</si>
  <si>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</si>
  <si>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</si>
  <si>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</si>
  <si>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</si>
  <si>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</si>
  <si>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</si>
  <si>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</si>
  <si>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</si>
  <si>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</si>
  <si>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</si>
  <si>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</si>
  <si>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</si>
  <si>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</si>
  <si>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</si>
  <si>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</si>
  <si>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</si>
  <si>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</si>
  <si>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</si>
  <si>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</si>
  <si>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</si>
  <si>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</si>
  <si>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</si>
  <si>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</si>
  <si>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</si>
  <si>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</si>
  <si>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</si>
  <si>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</si>
  <si>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</si>
  <si>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</si>
  <si>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</si>
  <si>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</si>
  <si>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</si>
  <si>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</si>
  <si>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</si>
  <si>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</si>
  <si>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</si>
  <si>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</si>
  <si>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</si>
  <si>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</si>
  <si>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</si>
  <si>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</si>
  <si>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</si>
  <si>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</si>
  <si>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</si>
  <si>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</si>
  <si>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</si>
  <si>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</si>
  <si>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</si>
  <si>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</si>
  <si>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</si>
  <si>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</si>
  <si>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</si>
  <si>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</si>
  <si>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</si>
  <si>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</si>
  <si>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</si>
  <si>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</si>
  <si>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</si>
  <si>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</si>
  <si>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</si>
  <si>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</si>
  <si>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</si>
  <si>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</si>
  <si>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</si>
  <si>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</si>
  <si>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</si>
  <si>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</si>
  <si>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</si>
  <si>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</si>
  <si>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</si>
  <si>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</si>
  <si>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</si>
  <si>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</si>
  <si>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</si>
  <si>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</si>
  <si>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</si>
  <si>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</si>
  <si>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</si>
  <si>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</si>
  <si>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</si>
  <si>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</si>
  <si>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</si>
  <si>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</si>
  <si>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</si>
  <si>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</si>
  <si>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</si>
  <si>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</si>
  <si>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</si>
  <si>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</si>
  <si>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</si>
  <si>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</si>
  <si>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</si>
  <si>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</si>
  <si>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</si>
  <si>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</si>
  <si>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</si>
  <si>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</si>
  <si>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</si>
  <si>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</si>
  <si>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</si>
  <si>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</si>
  <si>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</si>
  <si>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</si>
  <si>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</si>
  <si>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</si>
  <si>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</si>
  <si>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</si>
  <si>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</si>
  <si>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</si>
  <si>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</si>
  <si>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</si>
  <si>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</si>
  <si>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</si>
  <si>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</si>
  <si>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</si>
  <si>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</si>
  <si>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</si>
  <si>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</si>
  <si>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</si>
  <si>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</si>
  <si>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</si>
  <si>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</si>
  <si>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</si>
  <si>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</si>
  <si>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</si>
  <si>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</si>
  <si>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</si>
  <si>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</si>
  <si>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</si>
  <si>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</si>
  <si>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</si>
  <si>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</si>
  <si>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</si>
  <si>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</si>
  <si>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</si>
  <si>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</si>
  <si>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</si>
  <si>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</si>
  <si>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</si>
  <si>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</si>
  <si>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</si>
  <si>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</si>
  <si>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</si>
  <si>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</si>
  <si>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</si>
  <si>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</si>
  <si>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</si>
  <si>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</si>
  <si>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</si>
  <si>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</si>
  <si>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</si>
  <si>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</si>
  <si>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</si>
  <si>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</si>
  <si>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</si>
  <si>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</si>
  <si>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</si>
  <si>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</si>
  <si>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</si>
  <si>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</si>
  <si>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</si>
  <si>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</si>
  <si>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</si>
  <si>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</si>
  <si>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</si>
  <si>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</si>
  <si>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</si>
  <si>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</si>
  <si>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</si>
  <si>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</si>
  <si>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</si>
  <si>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</si>
  <si>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</si>
  <si>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</si>
  <si>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</si>
  <si>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</si>
  <si>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</si>
  <si>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</si>
  <si>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</si>
  <si>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</si>
  <si>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</si>
  <si>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</si>
  <si>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</si>
  <si>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</si>
  <si>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</si>
  <si>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</si>
  <si>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</si>
  <si>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</si>
  <si>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</si>
  <si>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</si>
  <si>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</si>
  <si>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</si>
  <si>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</si>
  <si>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</si>
  <si>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</si>
  <si>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</si>
  <si>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</si>
  <si>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</si>
  <si>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</si>
  <si>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</si>
  <si>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</si>
  <si>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</si>
  <si>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</si>
  <si>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</si>
  <si>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</si>
  <si>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</si>
  <si>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</si>
  <si>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</si>
  <si>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</si>
  <si>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</si>
  <si>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</si>
  <si>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</si>
  <si>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</si>
  <si>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</si>
  <si>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</si>
  <si>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</si>
  <si>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</si>
  <si>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</si>
  <si>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</si>
  <si>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</si>
  <si>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</si>
  <si>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</si>
  <si>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</si>
  <si>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</si>
  <si>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</si>
  <si>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</si>
  <si>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</si>
  <si>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</si>
  <si>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</si>
  <si>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</si>
  <si>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</si>
  <si>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</si>
  <si>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</si>
  <si>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</si>
  <si>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</si>
  <si>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</si>
  <si>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</si>
  <si>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</si>
  <si>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</si>
  <si>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</si>
  <si>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</si>
  <si>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</si>
  <si>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</si>
  <si>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</si>
  <si>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</si>
  <si>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</si>
  <si>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</si>
  <si>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</si>
  <si>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</si>
  <si>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</si>
  <si>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</si>
  <si>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</si>
  <si>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</si>
  <si>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</si>
  <si>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</si>
  <si>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</si>
  <si>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</si>
  <si>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</si>
  <si>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</si>
  <si>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</si>
  <si>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</si>
  <si>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</si>
  <si>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</si>
  <si>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</si>
  <si>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</si>
  <si>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</si>
  <si>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</si>
  <si>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</si>
  <si>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</si>
  <si>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</si>
  <si>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</si>
  <si>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</si>
  <si>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</si>
  <si>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</si>
  <si>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</si>
  <si>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</si>
  <si>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</si>
  <si>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</si>
  <si>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</si>
  <si>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</si>
  <si>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</si>
  <si>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</si>
  <si>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</si>
  <si>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</si>
  <si>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</si>
  <si>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</si>
  <si>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</si>
  <si>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</si>
  <si>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</si>
  <si>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</si>
  <si>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</si>
  <si>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</si>
  <si>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</si>
  <si>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</si>
  <si>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</si>
  <si>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</si>
  <si>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</si>
  <si>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</si>
  <si>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</si>
  <si>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</si>
  <si>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</si>
  <si>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</si>
  <si>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</si>
  <si>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</si>
  <si>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</si>
  <si>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</si>
  <si>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</si>
  <si>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</si>
  <si>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</si>
  <si>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</si>
  <si>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</si>
  <si>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</si>
  <si>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</si>
  <si>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</si>
  <si>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</si>
  <si>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</si>
  <si>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</si>
  <si>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</si>
  <si>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</si>
  <si>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</si>
  <si>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</si>
  <si>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</si>
  <si>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</si>
  <si>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</si>
  <si>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</si>
  <si>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</si>
  <si>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</si>
  <si>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</si>
  <si>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</si>
  <si>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</si>
  <si>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</si>
  <si>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</si>
  <si>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</si>
  <si>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</si>
  <si>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</si>
  <si>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</si>
  <si>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</si>
  <si>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</si>
  <si>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</si>
  <si>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</si>
  <si>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</si>
  <si>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</si>
  <si>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</si>
  <si>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</si>
  <si>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</si>
  <si>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</si>
  <si>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</si>
  <si>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</si>
  <si>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</si>
  <si>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</si>
  <si>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</si>
  <si>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</si>
  <si>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</si>
  <si>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</si>
  <si>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</si>
  <si>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</si>
  <si>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</si>
  <si>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</si>
  <si>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</si>
  <si>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</si>
  <si>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</si>
  <si>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</si>
  <si>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</si>
  <si>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</si>
  <si>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</si>
  <si>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</si>
  <si>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</si>
  <si>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</si>
  <si>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</si>
  <si>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</si>
  <si>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</si>
  <si>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</si>
  <si>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</si>
  <si>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</si>
  <si>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</si>
  <si>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</si>
  <si>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</si>
  <si>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</si>
  <si>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</si>
  <si>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</si>
  <si>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</si>
  <si>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</si>
  <si>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</si>
  <si>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</si>
  <si>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</si>
  <si>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</si>
  <si>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</si>
  <si>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</si>
  <si>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</si>
  <si>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</si>
  <si>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</si>
  <si>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</si>
  <si>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</si>
  <si>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</si>
  <si>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</si>
  <si>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</si>
  <si>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</si>
  <si>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</si>
  <si>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</si>
  <si>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</si>
  <si>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</si>
  <si>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</si>
  <si>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</si>
  <si>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</si>
  <si>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</si>
  <si>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</si>
  <si>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</si>
  <si>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</si>
  <si>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</si>
  <si>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</si>
  <si>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</si>
  <si>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</si>
  <si>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</si>
  <si>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</si>
  <si>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</si>
  <si>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</si>
  <si>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</si>
  <si>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</si>
  <si>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</si>
  <si>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</si>
  <si>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</si>
  <si>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</si>
  <si>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</si>
  <si>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</si>
  <si>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</si>
  <si>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</si>
  <si>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</si>
  <si>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</si>
  <si>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</si>
  <si>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</si>
  <si>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</si>
  <si>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</si>
  <si>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</si>
  <si>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</si>
  <si>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</si>
  <si>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</si>
  <si>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</si>
  <si>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</si>
  <si>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</si>
  <si>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</si>
  <si>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</si>
  <si>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</si>
  <si>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</si>
  <si>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</si>
  <si>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</si>
  <si>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</si>
  <si>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</si>
  <si>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</si>
  <si>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</si>
  <si>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</si>
  <si>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</si>
  <si>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</si>
  <si>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</si>
  <si>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</si>
  <si>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</si>
  <si>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</si>
  <si>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</si>
  <si>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</si>
  <si>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</si>
  <si>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</si>
  <si>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</si>
  <si>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</si>
  <si>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</si>
  <si>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</si>
  <si>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</si>
  <si>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</si>
  <si>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</si>
  <si>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</si>
  <si>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</si>
  <si>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</si>
  <si>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</si>
  <si>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</si>
  <si>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</si>
  <si>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</si>
  <si>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</si>
  <si>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</si>
  <si>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</si>
  <si>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</si>
  <si>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</si>
  <si>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</si>
  <si>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</si>
  <si>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</si>
  <si>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</si>
  <si>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</si>
  <si>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</si>
  <si>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</si>
  <si>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</si>
  <si>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</si>
  <si>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</si>
  <si>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</si>
  <si>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</si>
  <si>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</si>
  <si>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</si>
  <si>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</si>
  <si>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</si>
  <si>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</si>
  <si>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</si>
  <si>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</si>
  <si>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</si>
  <si>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</si>
  <si>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</si>
  <si>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</si>
  <si>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</si>
  <si>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</si>
  <si>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</si>
  <si>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</si>
  <si>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</si>
  <si>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</si>
  <si>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</si>
  <si>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</si>
  <si>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</si>
  <si>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</si>
  <si>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</si>
  <si>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</si>
  <si>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</si>
  <si>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</si>
  <si>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</si>
  <si>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</si>
  <si>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</si>
  <si>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</si>
  <si>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</si>
  <si>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</si>
  <si>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</si>
  <si>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</si>
  <si>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</si>
  <si>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</si>
  <si>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</si>
  <si>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</si>
  <si>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</si>
  <si>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</si>
  <si>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</si>
  <si>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</si>
  <si>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</si>
  <si>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</si>
  <si>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</si>
  <si>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</si>
  <si>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</si>
  <si>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</si>
  <si>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</si>
  <si>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</si>
  <si>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</si>
  <si>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</si>
  <si>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</si>
  <si>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</si>
  <si>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</si>
  <si>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</si>
  <si>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</si>
  <si>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</si>
  <si>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</si>
  <si>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</si>
  <si>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</si>
  <si>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</si>
  <si>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</si>
  <si>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</si>
  <si>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</si>
  <si>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</si>
  <si>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</si>
  <si>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</si>
  <si>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</si>
  <si>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</si>
  <si>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</si>
  <si>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</si>
  <si>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</si>
  <si>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</si>
  <si>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</si>
  <si>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</si>
  <si>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</si>
  <si>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</si>
  <si>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</si>
  <si>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</si>
  <si>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</si>
  <si>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</si>
  <si>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</si>
  <si>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</si>
  <si>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</si>
  <si>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</si>
  <si>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</si>
  <si>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</si>
  <si>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</si>
  <si>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</si>
  <si>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</si>
  <si>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</si>
  <si>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</si>
  <si>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</si>
  <si>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</si>
  <si>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</si>
  <si>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</si>
  <si>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</si>
  <si>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</si>
  <si>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</si>
  <si>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</si>
  <si>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</si>
  <si>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</si>
  <si>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</si>
  <si>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</si>
  <si>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</si>
  <si>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</si>
  <si>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</si>
  <si>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</si>
  <si>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</si>
  <si>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</si>
  <si>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</si>
  <si>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</si>
  <si>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</si>
  <si>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</si>
  <si>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</si>
  <si>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</si>
  <si>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</si>
  <si>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</si>
  <si>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</si>
  <si>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</si>
  <si>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</si>
  <si>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</si>
  <si>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</si>
  <si>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</si>
  <si>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</si>
  <si>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</si>
  <si>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</si>
  <si>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</si>
  <si>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</si>
  <si>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</si>
  <si>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</si>
  <si>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</si>
  <si>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</si>
  <si>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</si>
  <si>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</si>
  <si>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</si>
  <si>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</si>
  <si>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</si>
  <si>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</si>
  <si>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</si>
  <si>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</si>
  <si>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</si>
  <si>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</si>
  <si>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</si>
  <si>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</si>
  <si>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</si>
  <si>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</si>
  <si>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</si>
  <si>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</si>
  <si>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</si>
  <si>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</si>
  <si>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</si>
  <si>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</si>
  <si>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</si>
  <si>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</si>
  <si>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</si>
  <si>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</si>
  <si>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</si>
  <si>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</si>
  <si>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</si>
  <si>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</si>
  <si>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</si>
  <si>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</si>
  <si>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</si>
  <si>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</si>
  <si>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</si>
  <si>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</si>
  <si>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</si>
  <si>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</si>
  <si>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</si>
  <si>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</si>
  <si>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</si>
  <si>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</si>
  <si>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</si>
  <si>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</si>
  <si>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</si>
  <si>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</si>
  <si>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</si>
  <si>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</si>
  <si>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</si>
  <si>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</si>
  <si>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</si>
  <si>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</si>
  <si>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</si>
  <si>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</si>
  <si>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</si>
  <si>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</si>
  <si>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</si>
  <si>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</si>
  <si>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</si>
  <si>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</si>
  <si>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</si>
  <si>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</si>
  <si>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</si>
  <si>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</si>
  <si>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</si>
  <si>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</si>
  <si>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</si>
  <si>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</si>
  <si>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</si>
  <si>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</si>
  <si>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</si>
  <si>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</si>
  <si>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</si>
  <si>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</si>
  <si>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</si>
  <si>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</si>
  <si>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</si>
  <si>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</si>
  <si>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</si>
  <si>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</si>
  <si>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</si>
  <si>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</si>
  <si>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</si>
  <si>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</si>
  <si>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</si>
  <si>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</si>
  <si>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</si>
  <si>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</si>
  <si>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</si>
  <si>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</si>
  <si>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</si>
  <si>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</si>
  <si>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</si>
  <si>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</si>
  <si>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</si>
  <si>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</si>
  <si>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</si>
  <si>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</si>
  <si>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</si>
  <si>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</si>
  <si>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</si>
  <si>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</si>
  <si>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</si>
  <si>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</si>
  <si>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</si>
  <si>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</si>
  <si>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</si>
  <si>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</si>
  <si>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</si>
  <si>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</si>
  <si>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</si>
  <si>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</si>
  <si>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</si>
  <si>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</si>
  <si>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</si>
  <si>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</si>
  <si>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</si>
  <si>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</si>
  <si>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</si>
  <si>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</si>
  <si>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</si>
  <si>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</si>
  <si>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</si>
  <si>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</si>
  <si>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</si>
  <si>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</si>
  <si>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</si>
  <si>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</si>
  <si>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</si>
  <si>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</si>
  <si>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</si>
  <si>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</si>
  <si>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</si>
  <si>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</si>
  <si>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</si>
  <si>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</si>
  <si>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</si>
  <si>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</si>
  <si>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</si>
  <si>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</si>
  <si>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</si>
  <si>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</si>
  <si>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</si>
  <si>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</si>
  <si>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</si>
  <si>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</si>
  <si>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</si>
  <si>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</si>
  <si>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</si>
  <si>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</si>
  <si>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</si>
  <si>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</si>
  <si>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</si>
  <si>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</si>
  <si>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</si>
  <si>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</si>
  <si>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</si>
  <si>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</si>
  <si>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</si>
  <si>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</si>
  <si>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</si>
  <si>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</si>
  <si>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</si>
  <si>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</si>
  <si>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</si>
  <si>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</si>
  <si>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</si>
  <si>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</si>
  <si>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</si>
  <si>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</si>
  <si>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</si>
  <si>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</si>
  <si>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</si>
  <si>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</si>
  <si>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</si>
  <si>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</si>
  <si>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</si>
  <si>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</si>
  <si>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</si>
  <si>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</si>
  <si>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</si>
  <si>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</si>
  <si>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</si>
  <si>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</si>
  <si>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</si>
  <si>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</si>
  <si>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</si>
  <si>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</si>
  <si>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</si>
  <si>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</si>
  <si>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</si>
  <si>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</si>
  <si>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</si>
  <si>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</si>
  <si>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</si>
  <si>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</si>
  <si>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</si>
  <si>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</si>
  <si>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</si>
  <si>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</si>
  <si>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</si>
  <si>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</si>
  <si>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</si>
  <si>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</si>
  <si>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</si>
  <si>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</si>
  <si>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</si>
  <si>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</si>
  <si>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</si>
  <si>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</si>
  <si>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</si>
  <si>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</si>
  <si>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</si>
  <si>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</si>
  <si>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</si>
  <si>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</si>
  <si>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</si>
  <si>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</si>
  <si>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</si>
  <si>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</si>
  <si>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</si>
  <si>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</si>
  <si>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</si>
  <si>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</si>
  <si>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</si>
  <si>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</si>
  <si>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</si>
  <si>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</si>
  <si>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</si>
  <si>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</si>
  <si>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</si>
  <si>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</si>
  <si>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</si>
  <si>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</si>
  <si>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</si>
  <si>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</si>
  <si>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</si>
  <si>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</si>
  <si>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</si>
  <si>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</si>
  <si>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</si>
  <si>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</si>
  <si>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</si>
  <si>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</si>
  <si>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</si>
  <si>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</si>
  <si>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</si>
  <si>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</si>
  <si>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</si>
  <si>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</si>
  <si>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</si>
  <si>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</si>
  <si>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</si>
  <si>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</si>
  <si>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</si>
  <si>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</si>
  <si>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</si>
  <si>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</si>
  <si>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</si>
  <si>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</si>
  <si>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</si>
  <si>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</si>
  <si>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</si>
  <si>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</si>
  <si>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</si>
  <si>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</si>
  <si>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</si>
  <si>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</si>
  <si>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</si>
  <si>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</si>
  <si>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</si>
  <si>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</si>
  <si>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</si>
  <si>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</si>
  <si>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</si>
  <si>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</si>
  <si>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</si>
  <si>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</si>
  <si>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</si>
  <si>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</si>
  <si>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</si>
  <si>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</si>
  <si>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</si>
  <si>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</si>
  <si>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</si>
  <si>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</si>
  <si>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</si>
  <si>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</si>
  <si>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</si>
  <si>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</si>
  <si>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</si>
  <si>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</si>
  <si>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</si>
  <si>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</si>
  <si>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</si>
  <si>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</si>
  <si>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</si>
  <si>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</si>
  <si>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</si>
  <si>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</si>
  <si>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</si>
  <si>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</si>
  <si>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</si>
  <si>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</si>
  <si>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</si>
  <si>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</si>
  <si>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</si>
  <si>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</si>
  <si>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</si>
  <si>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</si>
  <si>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</si>
  <si>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</si>
  <si>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</si>
  <si>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</si>
  <si>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</si>
  <si>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</si>
  <si>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</si>
  <si>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</si>
  <si>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</si>
  <si>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</si>
  <si>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</si>
  <si>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</si>
  <si>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</si>
  <si>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</si>
  <si>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</si>
  <si>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</si>
  <si>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</si>
  <si>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</si>
  <si>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</si>
  <si>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</si>
  <si>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</si>
  <si>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</si>
  <si>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</si>
  <si>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</si>
  <si>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</si>
  <si>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</si>
  <si>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</si>
  <si>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</si>
  <si>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</si>
  <si>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</si>
  <si>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</si>
  <si>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</si>
  <si>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</si>
  <si>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</si>
  <si>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</si>
  <si>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</si>
  <si>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</si>
  <si>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</si>
  <si>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</si>
  <si>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</si>
  <si>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</si>
  <si>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</si>
  <si>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</si>
  <si>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</si>
  <si>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</si>
  <si>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</si>
  <si>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</si>
  <si>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</si>
  <si>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</si>
  <si>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</si>
  <si>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</si>
  <si>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</si>
  <si>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</si>
  <si>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</si>
  <si>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</si>
  <si>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</si>
  <si>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</si>
  <si>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</si>
  <si>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</si>
  <si>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</si>
  <si>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</si>
  <si>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</si>
  <si>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</si>
  <si>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</si>
  <si>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</si>
  <si>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</si>
  <si>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</si>
  <si>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</si>
  <si>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</si>
  <si>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</si>
  <si>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</si>
  <si>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</si>
  <si>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</si>
  <si>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</si>
  <si>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</si>
  <si>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</si>
  <si>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</si>
  <si>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</si>
  <si>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</si>
  <si>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</si>
  <si>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</si>
  <si>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</si>
  <si>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</si>
  <si>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</si>
  <si>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</si>
  <si>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</si>
  <si>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</si>
  <si>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</si>
  <si>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</si>
  <si>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</si>
  <si>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</si>
  <si>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</si>
  <si>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</si>
  <si>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</si>
  <si>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</si>
  <si>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</si>
  <si>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</si>
  <si>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</si>
  <si>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</si>
  <si>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</si>
  <si>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</si>
  <si>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</si>
  <si>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</si>
  <si>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</si>
  <si>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</si>
  <si>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</si>
  <si>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</si>
  <si>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</si>
  <si>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</si>
  <si>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</si>
  <si>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</si>
  <si>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</si>
  <si>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</si>
  <si>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</si>
  <si>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</si>
  <si>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</si>
  <si>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</si>
  <si>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</si>
  <si>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</si>
  <si>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</si>
  <si>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</si>
  <si>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</si>
  <si>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</si>
  <si>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</si>
  <si>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</si>
  <si>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</si>
  <si>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</si>
  <si>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</si>
  <si>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</si>
  <si>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</si>
  <si>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</si>
  <si>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</si>
  <si>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</si>
  <si>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</si>
  <si>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</si>
  <si>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</si>
  <si>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</si>
  <si>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</si>
  <si>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</si>
  <si>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</si>
  <si>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</si>
  <si>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</si>
  <si>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</si>
  <si>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</si>
  <si>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</si>
  <si>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</si>
  <si>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</si>
  <si>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</si>
  <si>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</si>
  <si>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</si>
  <si>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</si>
  <si>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</si>
  <si>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</si>
  <si>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</si>
  <si>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</si>
  <si>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</si>
  <si>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</si>
  <si>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</si>
  <si>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</si>
  <si>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</si>
  <si>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</si>
  <si>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</si>
  <si>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</si>
  <si>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</si>
  <si>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</si>
  <si>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</si>
  <si>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</si>
  <si>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</si>
  <si>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</si>
  <si>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</si>
  <si>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</si>
  <si>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</si>
  <si>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</si>
  <si>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</si>
  <si>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</si>
  <si>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</si>
  <si>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</si>
  <si>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</si>
  <si>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</si>
  <si>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</si>
  <si>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</si>
  <si>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</si>
  <si>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</si>
  <si>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</si>
  <si>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</si>
  <si>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</si>
  <si>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</si>
  <si>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</si>
  <si>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</si>
  <si>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</si>
  <si>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</si>
  <si>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</si>
  <si>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</si>
  <si>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</si>
  <si>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</si>
  <si>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</si>
  <si>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</si>
  <si>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</si>
  <si>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</si>
  <si>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</si>
  <si>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</si>
  <si>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</si>
  <si>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</si>
  <si>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</si>
  <si>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</si>
  <si>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</si>
  <si>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</si>
  <si>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</si>
  <si>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</si>
  <si>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</si>
  <si>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</si>
  <si>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</si>
  <si>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</si>
  <si>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</si>
  <si>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</si>
  <si>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</si>
  <si>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</si>
  <si>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</si>
  <si>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</si>
  <si>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</si>
  <si>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</si>
  <si>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</si>
  <si>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</si>
  <si>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</si>
  <si>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</si>
  <si>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</si>
  <si>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</si>
  <si>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</si>
  <si>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</si>
  <si>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</si>
  <si>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</si>
  <si>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</si>
  <si>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</si>
  <si>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</si>
  <si>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</si>
  <si>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</si>
  <si>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</si>
  <si>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</si>
  <si>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</si>
  <si>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</si>
  <si>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</si>
  <si>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</si>
  <si>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</si>
  <si>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</si>
  <si>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</si>
  <si>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</si>
  <si>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</si>
  <si>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</si>
  <si>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</si>
  <si>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</si>
  <si>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</si>
  <si>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</si>
  <si>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</si>
  <si>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</si>
  <si>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</si>
  <si>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</si>
  <si>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</si>
  <si>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</si>
  <si>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</si>
  <si>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</si>
  <si>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</si>
  <si>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</si>
  <si>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</si>
  <si>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</si>
  <si>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</si>
  <si>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</si>
  <si>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</si>
  <si>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</si>
  <si>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</si>
  <si>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</si>
  <si>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</si>
  <si>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</si>
  <si>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</si>
  <si>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</si>
  <si>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</si>
  <si>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</si>
  <si>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</si>
  <si>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</si>
  <si>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</si>
  <si>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</si>
  <si>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</si>
  <si>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</si>
  <si>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</si>
  <si>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</si>
  <si>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</si>
  <si>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</si>
  <si>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</si>
  <si>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</si>
  <si>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</si>
  <si>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</si>
  <si>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</si>
  <si>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</si>
  <si>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</si>
  <si>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</si>
  <si>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</si>
  <si>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</si>
  <si>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</si>
  <si>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</si>
  <si>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</si>
  <si>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</si>
  <si>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</si>
  <si>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</si>
  <si>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</si>
  <si>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</si>
  <si>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</si>
  <si>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</si>
  <si>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</si>
  <si>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</si>
  <si>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</si>
  <si>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</si>
  <si>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</si>
  <si>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</si>
  <si>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</si>
  <si>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</si>
  <si>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</si>
  <si>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</si>
  <si>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</si>
  <si>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</si>
  <si>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</si>
  <si>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</si>
  <si>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</si>
  <si>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</si>
  <si>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</si>
  <si>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</si>
  <si>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</si>
  <si>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</si>
  <si>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</si>
  <si>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</si>
  <si>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</si>
  <si>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</si>
  <si>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</si>
  <si>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</si>
  <si>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</si>
  <si>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</si>
  <si>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</si>
  <si>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</si>
  <si>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</si>
  <si>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</si>
  <si>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</si>
  <si>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</si>
  <si>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</si>
  <si>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</si>
  <si>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</si>
  <si>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</si>
  <si>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</si>
  <si>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</si>
  <si>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</si>
  <si>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</si>
  <si>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</si>
  <si>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</si>
  <si>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</si>
  <si>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</si>
  <si>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</si>
  <si>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</si>
  <si>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</si>
  <si>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</si>
  <si>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</si>
  <si>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</si>
  <si>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</si>
  <si>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</si>
  <si>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</si>
  <si>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</si>
  <si>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</si>
  <si>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</si>
  <si>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</si>
  <si>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</si>
  <si>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</si>
  <si>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</si>
  <si>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</si>
  <si>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</si>
  <si>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</si>
  <si>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</si>
  <si>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</si>
  <si>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</si>
  <si>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</si>
  <si>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</si>
  <si>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</si>
  <si>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</si>
  <si>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</si>
  <si>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</si>
  <si>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</si>
  <si>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</si>
  <si>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</si>
  <si>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</si>
  <si>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</si>
  <si>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</si>
  <si>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</si>
  <si>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</si>
  <si>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</si>
  <si>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</si>
  <si>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</si>
  <si>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</si>
  <si>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</si>
  <si>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</si>
  <si>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</si>
  <si>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</si>
  <si>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</si>
  <si>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</si>
  <si>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</si>
  <si>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</si>
  <si>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</si>
  <si>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</si>
  <si>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</si>
  <si>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</si>
  <si>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</si>
  <si>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</si>
  <si>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</si>
  <si>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</si>
  <si>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</si>
  <si>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</si>
  <si>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</si>
  <si>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</si>
  <si>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</si>
  <si>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</si>
  <si>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</si>
  <si>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</si>
  <si>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</si>
  <si>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</si>
  <si>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</si>
  <si>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</si>
  <si>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</si>
  <si>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</si>
  <si>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</si>
  <si>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</si>
  <si>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</si>
  <si>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</si>
  <si>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</si>
  <si>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</si>
  <si>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</si>
  <si>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</si>
  <si>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</si>
  <si>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</si>
  <si>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</si>
  <si>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</si>
  <si>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</si>
  <si>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</si>
  <si>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</si>
  <si>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</si>
  <si>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</si>
  <si>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</si>
  <si>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</si>
  <si>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</si>
  <si>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</si>
  <si>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</si>
  <si>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</si>
  <si>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</si>
  <si>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</si>
  <si>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</si>
  <si>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</si>
  <si>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</si>
  <si>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</si>
  <si>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</si>
  <si>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</si>
  <si>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</si>
  <si>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</si>
  <si>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</si>
  <si>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</si>
  <si>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</si>
  <si>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</si>
  <si>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</si>
  <si>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</si>
  <si>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</si>
  <si>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</si>
  <si>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</si>
  <si>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</si>
  <si>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</si>
  <si>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</si>
  <si>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</si>
  <si>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</si>
  <si>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</si>
  <si>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</si>
  <si>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</si>
  <si>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</si>
  <si>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</si>
  <si>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</si>
  <si>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</si>
  <si>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</si>
  <si>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</si>
  <si>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</si>
  <si>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</si>
  <si>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</si>
  <si>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</si>
  <si>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</si>
  <si>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</si>
  <si>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</si>
  <si>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</si>
  <si>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</si>
  <si>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</si>
  <si>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</si>
  <si>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</si>
  <si>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</si>
  <si>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</si>
  <si>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</si>
  <si>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</si>
  <si>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</si>
  <si>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</si>
  <si>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</si>
  <si>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</si>
  <si>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</si>
  <si>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</si>
  <si>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</si>
  <si>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</si>
  <si>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</si>
  <si>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</si>
  <si>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</si>
  <si>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</si>
  <si>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</si>
  <si>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</si>
  <si>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</si>
  <si>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</si>
  <si>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</si>
  <si>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</si>
  <si>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</si>
  <si>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</si>
  <si>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</si>
  <si>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</si>
  <si>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</si>
  <si>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</si>
  <si>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</si>
  <si>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</si>
  <si>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</si>
  <si>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</si>
  <si>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</si>
  <si>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</si>
  <si>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</si>
  <si>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</si>
  <si>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</si>
  <si>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</si>
  <si>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</si>
  <si>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</si>
  <si>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</si>
  <si>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</si>
  <si>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</si>
  <si>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</si>
  <si>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</si>
  <si>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</si>
  <si>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</si>
  <si>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</si>
  <si>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</si>
  <si>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</si>
  <si>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</si>
  <si>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</si>
  <si>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</si>
  <si>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</si>
  <si>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</si>
  <si>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</si>
  <si>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</si>
  <si>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</si>
  <si>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</si>
  <si>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</si>
  <si>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</si>
  <si>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</si>
  <si>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</si>
  <si>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</si>
  <si>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</si>
  <si>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</si>
  <si>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</si>
  <si>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</si>
  <si>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</si>
  <si>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</si>
  <si>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</si>
  <si>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</si>
  <si>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</si>
  <si>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</si>
  <si>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</si>
  <si>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</si>
  <si>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</si>
  <si>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</si>
  <si>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</si>
  <si>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</si>
  <si>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</si>
  <si>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</si>
  <si>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</si>
  <si>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</si>
  <si>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</si>
  <si>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</si>
  <si>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</si>
  <si>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</si>
  <si>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</si>
  <si>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</si>
  <si>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</si>
  <si>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</si>
  <si>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</si>
  <si>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</si>
  <si>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</si>
  <si>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</si>
  <si>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</si>
  <si>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</si>
  <si>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</si>
  <si>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</si>
  <si>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</si>
  <si>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</si>
  <si>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</si>
  <si>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</si>
  <si>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</si>
  <si>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</si>
  <si>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</si>
  <si>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</si>
  <si>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</si>
  <si>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</si>
  <si>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</si>
  <si>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</si>
  <si>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</si>
  <si>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</si>
  <si>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</si>
  <si>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</si>
  <si>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</si>
  <si>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</si>
  <si>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</si>
  <si>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</si>
  <si>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</si>
  <si>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</si>
  <si>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</si>
  <si>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</si>
  <si>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</si>
  <si>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</si>
  <si>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</si>
  <si>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</si>
  <si>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</si>
  <si>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</si>
  <si>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</si>
  <si>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</si>
  <si>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</si>
  <si>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</si>
  <si>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</si>
  <si>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</si>
  <si>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</si>
  <si>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</si>
  <si>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</si>
  <si>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</si>
  <si>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</si>
  <si>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</si>
  <si>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</si>
  <si>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</si>
  <si>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</si>
  <si>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</si>
  <si>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</si>
  <si>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</si>
  <si>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</si>
  <si>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</si>
  <si>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</si>
  <si>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</si>
  <si>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</si>
  <si>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</si>
  <si>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</si>
  <si>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</si>
  <si>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</si>
  <si>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</si>
  <si>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</si>
  <si>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</si>
  <si>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</si>
  <si>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</si>
  <si>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</si>
  <si>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</si>
  <si>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</si>
  <si>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</si>
  <si>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</si>
  <si>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</si>
  <si>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</si>
  <si>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</si>
  <si>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</si>
  <si>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</si>
  <si>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</si>
  <si>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</si>
  <si>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</si>
  <si>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</si>
  <si>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</si>
  <si>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</si>
  <si>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</si>
  <si>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</si>
  <si>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</si>
  <si>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</si>
  <si>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</si>
  <si>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</si>
  <si>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</si>
  <si>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</si>
  <si>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</si>
  <si>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</si>
  <si>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</si>
  <si>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</si>
  <si>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</si>
  <si>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</si>
  <si>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</si>
  <si>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</si>
  <si>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</si>
  <si>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</si>
  <si>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</si>
  <si>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</si>
  <si>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</si>
  <si>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</si>
  <si>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</si>
  <si>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</si>
  <si>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</si>
  <si>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</si>
  <si>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</si>
  <si>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</si>
  <si>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</si>
  <si>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</si>
  <si>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</si>
  <si>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</si>
  <si>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</si>
  <si>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</si>
  <si>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</si>
  <si>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</si>
  <si>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</si>
  <si>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</si>
  <si>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</si>
  <si>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</si>
  <si>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</si>
  <si>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</si>
  <si>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</si>
  <si>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</si>
  <si>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</si>
  <si>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</si>
  <si>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</si>
  <si>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</si>
  <si>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</si>
  <si>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</si>
  <si>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</si>
  <si>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</si>
  <si>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</si>
  <si>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</si>
  <si>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</si>
  <si>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</si>
  <si>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</si>
  <si>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</si>
  <si>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</si>
  <si>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</si>
  <si>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</si>
  <si>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</si>
  <si>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</si>
  <si>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</si>
  <si>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</si>
  <si>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</si>
  <si>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</si>
  <si>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</si>
  <si>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</si>
  <si>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</si>
  <si>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</si>
  <si>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</si>
  <si>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</si>
  <si>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</si>
  <si>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</si>
  <si>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</si>
  <si>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</si>
  <si>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</si>
  <si>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</si>
  <si>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</si>
  <si>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</si>
  <si>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</si>
  <si>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</si>
  <si>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</si>
  <si>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</si>
  <si>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</si>
  <si>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</si>
  <si>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</si>
  <si>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</si>
  <si>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</si>
  <si>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</si>
  <si>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</si>
  <si>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</si>
  <si>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</si>
  <si>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</si>
  <si>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</si>
  <si>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</si>
  <si>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</si>
  <si>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</si>
  <si>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</si>
  <si>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</si>
  <si>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</si>
  <si>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</si>
  <si>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</si>
  <si>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</si>
  <si>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</si>
  <si>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</si>
  <si>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</si>
  <si>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</si>
  <si>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</si>
  <si>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</si>
  <si>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</si>
  <si>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</si>
  <si>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</si>
  <si>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</si>
  <si>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</si>
  <si>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</si>
  <si>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</si>
  <si>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</si>
  <si>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</si>
  <si>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</si>
  <si>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</si>
  <si>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</si>
  <si>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</si>
  <si>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</si>
  <si>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</si>
  <si>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</si>
  <si>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</si>
  <si>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</si>
  <si>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</si>
  <si>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</si>
  <si>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</si>
  <si>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</si>
  <si>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</si>
  <si>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</si>
  <si>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</si>
  <si>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</si>
  <si>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</si>
  <si>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</si>
  <si>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</si>
  <si>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</si>
  <si>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</si>
  <si>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</si>
  <si>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</si>
  <si>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</si>
  <si>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</si>
  <si>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</si>
  <si>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</si>
  <si>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</si>
  <si>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</si>
  <si>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</si>
  <si>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</si>
  <si>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</si>
  <si>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</si>
  <si>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</si>
  <si>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</si>
  <si>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</si>
  <si>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</si>
  <si>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</si>
  <si>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</si>
  <si>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</si>
  <si>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</si>
  <si>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</si>
  <si>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</si>
  <si>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</si>
  <si>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</si>
  <si>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</si>
  <si>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</si>
  <si>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</si>
  <si>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</si>
  <si>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</si>
  <si>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</si>
  <si>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</si>
  <si>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</si>
  <si>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</si>
  <si>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</si>
  <si>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</si>
  <si>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</si>
  <si>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</si>
  <si>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</si>
  <si>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</si>
  <si>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</si>
  <si>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</si>
  <si>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</si>
  <si>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</si>
  <si>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</si>
  <si>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</si>
  <si>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</si>
  <si>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</si>
  <si>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</si>
  <si>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</si>
  <si>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</si>
  <si>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</si>
  <si>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</si>
  <si>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</si>
  <si>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</si>
  <si>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</si>
  <si>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</si>
  <si>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</si>
  <si>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</si>
  <si>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</si>
  <si>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</si>
  <si>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</si>
  <si>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</si>
  <si>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</si>
  <si>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</si>
  <si>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</si>
  <si>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</si>
  <si>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</si>
  <si>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</si>
  <si>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</si>
  <si>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</si>
  <si>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</si>
  <si>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</si>
  <si>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</si>
  <si>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</si>
  <si>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</si>
  <si>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</si>
  <si>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</si>
  <si>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</si>
  <si>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</si>
  <si>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</si>
  <si>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</si>
  <si>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</si>
  <si>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</si>
  <si>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</si>
  <si>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</si>
  <si>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</si>
  <si>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</si>
  <si>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</si>
  <si>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</si>
  <si>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</si>
  <si>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</si>
  <si>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</si>
  <si>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</si>
  <si>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</si>
  <si>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</si>
  <si>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</si>
  <si>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</si>
  <si>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</si>
  <si>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</si>
  <si>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</si>
  <si>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</si>
  <si>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</si>
  <si>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</si>
  <si>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</si>
  <si>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</si>
  <si>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</si>
  <si>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</si>
  <si>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</si>
  <si>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</si>
  <si>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</si>
  <si>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</si>
  <si>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</si>
  <si>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</si>
  <si>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</si>
  <si>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</si>
  <si>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</si>
  <si>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</si>
  <si>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</si>
  <si>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</si>
  <si>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</si>
  <si>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</si>
  <si>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</si>
  <si>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</si>
  <si>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</si>
  <si>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</si>
  <si>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</si>
  <si>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</si>
  <si>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</si>
  <si>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</si>
  <si>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</si>
  <si>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</si>
  <si>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</si>
  <si>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</si>
  <si>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</si>
  <si>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</si>
  <si>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</si>
  <si>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</si>
  <si>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</si>
  <si>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</si>
  <si>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</si>
  <si>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</si>
  <si>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</si>
  <si>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</si>
  <si>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</si>
  <si>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</si>
  <si>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</si>
  <si>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</si>
  <si>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</si>
  <si>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</si>
  <si>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</si>
  <si>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</si>
  <si>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</si>
  <si>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</si>
  <si>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</si>
  <si>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</si>
  <si>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</si>
  <si>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</si>
  <si>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</si>
  <si>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</si>
  <si>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</si>
  <si>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</si>
  <si>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</si>
  <si>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</si>
  <si>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</si>
  <si>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</si>
  <si>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</si>
  <si>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</si>
  <si>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</si>
  <si>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</si>
  <si>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</si>
  <si>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</si>
  <si>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</si>
  <si>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</si>
  <si>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</si>
  <si>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</si>
  <si>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</si>
  <si>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</si>
  <si>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</si>
  <si>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</si>
  <si>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</si>
  <si>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</si>
  <si>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</si>
  <si>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</si>
  <si>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</si>
  <si>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</si>
  <si>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</si>
  <si>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</si>
  <si>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</si>
  <si>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</si>
  <si>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</si>
  <si>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</si>
  <si>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</si>
  <si>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</si>
  <si>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</si>
  <si>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</si>
  <si>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</si>
  <si>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</si>
  <si>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</si>
  <si>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</si>
  <si>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</si>
  <si>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</si>
  <si>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</si>
  <si>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</si>
  <si>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</si>
  <si>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</si>
  <si>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</si>
  <si>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</si>
  <si>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</si>
  <si>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</si>
  <si>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</si>
  <si>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</si>
  <si>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</si>
  <si>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</si>
  <si>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</si>
  <si>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</si>
  <si>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</si>
  <si>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</si>
  <si>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</si>
  <si>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</si>
  <si>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</si>
  <si>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</si>
  <si>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</si>
  <si>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</si>
  <si>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</si>
  <si>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</si>
  <si>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</si>
  <si>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</si>
  <si>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</si>
  <si>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</si>
  <si>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</si>
  <si>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</si>
  <si>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</si>
  <si>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</si>
  <si>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</si>
  <si>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</si>
  <si>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</si>
  <si>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</si>
  <si>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</si>
  <si>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</si>
  <si>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</si>
  <si>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</si>
  <si>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</si>
  <si>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</si>
  <si>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</si>
  <si>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</si>
  <si>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</si>
  <si>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</si>
  <si>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</si>
  <si>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</si>
  <si>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</si>
  <si>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</si>
  <si>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</si>
  <si>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</si>
  <si>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</si>
  <si>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</si>
  <si>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</si>
  <si>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</si>
  <si>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</si>
  <si>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</si>
  <si>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</si>
  <si>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</si>
  <si>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</si>
  <si>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</si>
  <si>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</si>
  <si>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</si>
  <si>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</si>
  <si>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</si>
  <si>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</si>
  <si>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</si>
  <si>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</si>
  <si>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</si>
  <si>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</si>
  <si>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</si>
  <si>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</si>
  <si>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</si>
  <si>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</si>
  <si>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</si>
  <si>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</si>
  <si>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</si>
  <si>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</si>
  <si>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</si>
  <si>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</si>
  <si>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</si>
  <si>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</si>
  <si>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</si>
  <si>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</si>
  <si>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</si>
  <si>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</si>
  <si>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</si>
  <si>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</si>
  <si>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</si>
  <si>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</si>
  <si>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</si>
  <si>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</si>
  <si>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</si>
  <si>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</si>
  <si>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</si>
  <si>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</si>
  <si>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</si>
  <si>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</si>
  <si>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</si>
  <si>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</si>
  <si>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</si>
  <si>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</si>
  <si>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</si>
  <si>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</si>
  <si>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</si>
  <si>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</si>
  <si>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</si>
  <si>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</si>
  <si>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</si>
  <si>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</si>
  <si>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</si>
  <si>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</si>
  <si>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</si>
  <si>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</si>
  <si>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</si>
  <si>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</si>
  <si>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</si>
  <si>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</si>
  <si>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</si>
  <si>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</si>
  <si>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</si>
  <si>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</si>
  <si>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</si>
  <si>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</si>
  <si>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</si>
  <si>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</si>
  <si>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</si>
  <si>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</si>
  <si>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</si>
  <si>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</si>
  <si>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</si>
  <si>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</si>
  <si>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</si>
  <si>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</si>
  <si>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</si>
  <si>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</si>
  <si>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</si>
  <si>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</si>
  <si>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</si>
  <si>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</si>
  <si>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</si>
  <si>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</si>
  <si>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</si>
  <si>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</si>
  <si>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</si>
  <si>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</si>
  <si>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</si>
  <si>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</si>
  <si>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</si>
  <si>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</si>
  <si>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</si>
  <si>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</si>
  <si>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</si>
  <si>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</si>
  <si>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</si>
  <si>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</si>
  <si>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</si>
  <si>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</si>
  <si>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</si>
  <si>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</si>
  <si>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</si>
  <si>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</si>
  <si>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</si>
  <si>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</si>
  <si>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</si>
  <si>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</si>
  <si>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</si>
  <si>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</si>
  <si>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</si>
  <si>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</si>
  <si>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</si>
  <si>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</si>
  <si>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</si>
  <si>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</si>
  <si>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</si>
  <si>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</si>
  <si>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</si>
  <si>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</si>
  <si>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</si>
  <si>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</si>
  <si>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</si>
  <si>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</si>
  <si>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</si>
  <si>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</si>
  <si>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</si>
  <si>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</si>
  <si>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</si>
  <si>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</si>
  <si>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</si>
  <si>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</si>
  <si>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</si>
  <si>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</si>
  <si>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</si>
  <si>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</si>
  <si>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</si>
  <si>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</si>
  <si>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</si>
  <si>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</si>
  <si>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</si>
  <si>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</si>
  <si>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</si>
  <si>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</si>
  <si>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</si>
  <si>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</si>
  <si>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</si>
  <si>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</si>
  <si>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</si>
  <si>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</si>
  <si>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</si>
  <si>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</si>
  <si>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</si>
  <si>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</si>
  <si>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</si>
  <si>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</si>
  <si>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</si>
  <si>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</si>
  <si>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</si>
  <si>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</si>
  <si>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</si>
  <si>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</si>
  <si>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</si>
  <si>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</si>
  <si>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</si>
  <si>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</si>
  <si>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</si>
  <si>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</si>
  <si>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</si>
  <si>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</si>
  <si>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</si>
  <si>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</si>
  <si>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</si>
  <si>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</si>
  <si>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</si>
  <si>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</si>
  <si>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</si>
  <si>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</si>
  <si>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</si>
  <si>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</si>
  <si>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</si>
  <si>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</si>
  <si>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</si>
  <si>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</si>
  <si>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</si>
  <si>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</si>
  <si>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</si>
  <si>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</si>
  <si>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</si>
  <si>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</si>
  <si>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</si>
  <si>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</si>
  <si>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</si>
  <si>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</si>
  <si>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</si>
  <si>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</si>
  <si>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</si>
  <si>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</si>
  <si>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</si>
  <si>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</si>
  <si>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</si>
  <si>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</si>
  <si>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</si>
  <si>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</si>
  <si>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</si>
  <si>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</si>
  <si>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</si>
  <si>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</si>
  <si>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</si>
  <si>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</si>
  <si>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</si>
  <si>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</si>
  <si>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</si>
  <si>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</si>
  <si>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</si>
  <si>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</si>
  <si>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</si>
  <si>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</si>
  <si>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</si>
  <si>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</si>
  <si>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</si>
  <si>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</si>
  <si>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</si>
  <si>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</si>
  <si>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</si>
  <si>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</si>
  <si>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</si>
  <si>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</si>
  <si>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</si>
  <si>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</si>
  <si>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</si>
  <si>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</si>
  <si>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</si>
  <si>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</si>
  <si>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</si>
  <si>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</si>
  <si>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</si>
  <si>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</si>
  <si>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</si>
  <si>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</si>
  <si>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</si>
  <si>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</si>
  <si>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</si>
  <si>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</si>
  <si>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</si>
  <si>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</si>
  <si>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</si>
  <si>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</si>
  <si>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</si>
  <si>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</si>
  <si>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</si>
  <si>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</si>
  <si>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</si>
  <si>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</si>
  <si>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</si>
  <si>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</si>
  <si>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</si>
  <si>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</si>
  <si>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</si>
  <si>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</si>
  <si>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</si>
  <si>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</si>
  <si>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</si>
  <si>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</si>
  <si>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</si>
  <si>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</si>
  <si>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</si>
  <si>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</si>
  <si>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</si>
  <si>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</si>
  <si>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</si>
  <si>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</si>
  <si>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</si>
  <si>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</si>
  <si>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</si>
  <si>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</si>
  <si>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</si>
  <si>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</si>
  <si>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</si>
  <si>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</si>
  <si>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</si>
  <si>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</si>
  <si>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</si>
  <si>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</si>
  <si>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</si>
  <si>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</si>
  <si>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</si>
  <si>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</si>
  <si>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</si>
  <si>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</si>
  <si>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</si>
  <si>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</si>
  <si>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</si>
  <si>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</si>
  <si>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</si>
  <si>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</si>
  <si>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</si>
  <si>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</si>
  <si>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</si>
  <si>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</si>
  <si>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</si>
  <si>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</si>
  <si>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</si>
  <si>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</si>
  <si>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</si>
  <si>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</si>
  <si>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</si>
  <si>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</si>
  <si>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</si>
  <si>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</si>
  <si>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</si>
  <si>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</si>
  <si>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</si>
  <si>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</si>
  <si>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</si>
  <si>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</si>
  <si>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</si>
  <si>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</si>
  <si>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</si>
  <si>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</si>
  <si>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</si>
  <si>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</si>
  <si>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</si>
  <si>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</si>
  <si>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</si>
  <si>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</si>
  <si>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</si>
  <si>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</si>
  <si>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</si>
  <si>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</si>
  <si>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</si>
  <si>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</si>
  <si>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</si>
  <si>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</si>
  <si>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</si>
  <si>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</si>
  <si>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</si>
  <si>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</si>
  <si>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</si>
  <si>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</si>
  <si>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</si>
  <si>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</si>
  <si>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</si>
  <si>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</si>
  <si>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</si>
  <si>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</si>
  <si>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</si>
  <si>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</si>
  <si>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</si>
  <si>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</si>
  <si>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</si>
  <si>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</si>
  <si>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</si>
  <si>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</si>
  <si>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</si>
  <si>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</si>
  <si>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</si>
  <si>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</si>
  <si>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</si>
  <si>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</si>
  <si>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</si>
  <si>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</si>
  <si>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</si>
  <si>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</si>
  <si>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</si>
  <si>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</si>
  <si>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</si>
  <si>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</si>
  <si>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</si>
  <si>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</si>
  <si>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</si>
  <si>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</si>
  <si>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</si>
  <si>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</si>
  <si>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</si>
  <si>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</si>
  <si>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</si>
  <si>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</si>
  <si>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</si>
  <si>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</si>
  <si>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</si>
  <si>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</si>
  <si>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</si>
  <si>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</si>
  <si>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</si>
  <si>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</si>
  <si>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</si>
  <si>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</si>
  <si>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</si>
  <si>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</si>
  <si>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</si>
  <si>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</si>
  <si>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</si>
  <si>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</si>
  <si>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</si>
  <si>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</si>
  <si>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</si>
  <si>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</si>
  <si>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</si>
  <si>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</si>
  <si>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</si>
  <si>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</si>
  <si>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</si>
  <si>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</si>
  <si>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</si>
  <si>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</si>
  <si>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</si>
  <si>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</si>
  <si>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</si>
  <si>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</si>
  <si>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</si>
  <si>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</si>
  <si>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</si>
  <si>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</si>
  <si>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</si>
  <si>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</si>
  <si>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</si>
  <si>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</si>
  <si>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</si>
  <si>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</si>
  <si>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</si>
  <si>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</si>
  <si>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</si>
  <si>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</si>
  <si>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</si>
  <si>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</si>
  <si>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</si>
  <si>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</si>
  <si>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</si>
  <si>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</si>
  <si>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</si>
  <si>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</si>
  <si>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</si>
  <si>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</si>
  <si>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</si>
  <si>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</si>
  <si>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</si>
  <si>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</si>
  <si>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</si>
  <si>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</si>
  <si>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</si>
  <si>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</si>
  <si>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</si>
  <si>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</si>
  <si>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</si>
  <si>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</si>
  <si>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</si>
  <si>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</si>
  <si>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</si>
  <si>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</si>
  <si>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</si>
  <si>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</si>
  <si>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</si>
  <si>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</si>
  <si>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</si>
  <si>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</si>
  <si>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</si>
  <si>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</si>
  <si>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</si>
  <si>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</si>
  <si>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</si>
  <si>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</si>
  <si>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</si>
  <si>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</si>
  <si>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</si>
  <si>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</si>
  <si>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</si>
  <si>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</si>
  <si>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</si>
  <si>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</si>
  <si>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</si>
  <si>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</si>
  <si>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</si>
  <si>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</si>
  <si>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</si>
  <si>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</si>
  <si>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</si>
  <si>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</si>
  <si>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</si>
  <si>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</si>
  <si>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</si>
  <si>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</si>
  <si>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</si>
  <si>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</si>
  <si>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</si>
  <si>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</si>
  <si>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</si>
  <si>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</si>
  <si>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</si>
  <si>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</si>
  <si>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</si>
  <si>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</si>
  <si>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</si>
  <si>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</si>
  <si>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</si>
  <si>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</si>
  <si>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</si>
  <si>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</si>
  <si>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</si>
  <si>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</si>
  <si>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</si>
  <si>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</si>
  <si>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</si>
  <si>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</si>
  <si>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</si>
  <si>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</si>
  <si>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</si>
  <si>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</si>
  <si>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</si>
  <si>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</si>
  <si>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</si>
  <si>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</si>
  <si>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</si>
  <si>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</si>
  <si>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</si>
  <si>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</si>
  <si>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</si>
  <si>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</si>
  <si>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</si>
  <si>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</si>
  <si>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</si>
  <si>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</si>
  <si>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</si>
  <si>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</si>
  <si>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</si>
  <si>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</si>
  <si>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</si>
  <si>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</si>
  <si>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</si>
  <si>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</si>
  <si>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</si>
  <si>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</si>
  <si>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</si>
  <si>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</si>
  <si>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</si>
  <si>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</si>
  <si>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</si>
  <si>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</si>
  <si>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</si>
  <si>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</si>
  <si>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</si>
  <si>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</si>
  <si>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</si>
  <si>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</si>
  <si>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</si>
  <si>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</si>
  <si>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</si>
  <si>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</si>
  <si>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</si>
  <si>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</si>
  <si>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</si>
  <si>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</si>
  <si>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</si>
  <si>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</si>
  <si>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</si>
  <si>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</si>
  <si>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</si>
  <si>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</si>
  <si>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</si>
  <si>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</si>
  <si>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</si>
  <si>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</si>
  <si>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</si>
  <si>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</si>
  <si>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</si>
  <si>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</si>
  <si>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</si>
  <si>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</si>
  <si>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</si>
  <si>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</si>
  <si>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</si>
  <si>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</si>
  <si>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</si>
  <si>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</si>
  <si>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</si>
  <si>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</si>
  <si>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</si>
  <si>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</si>
  <si>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</si>
  <si>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</si>
  <si>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</si>
  <si>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</si>
  <si>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</si>
  <si>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</si>
  <si>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</si>
  <si>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</si>
  <si>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</si>
  <si>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</si>
  <si>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</si>
  <si>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</si>
  <si>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</si>
  <si>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</si>
  <si>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</si>
  <si>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</si>
  <si>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</si>
  <si>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</si>
  <si>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</si>
  <si>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</si>
  <si>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</si>
  <si>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</si>
  <si>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</si>
  <si>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</si>
  <si>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</si>
  <si>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</si>
  <si>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</si>
  <si>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</si>
  <si>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</si>
  <si>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</si>
  <si>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</si>
  <si>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</si>
  <si>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</si>
  <si>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</si>
  <si>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</si>
  <si>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</si>
  <si>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</si>
  <si>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</si>
  <si>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</si>
  <si>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</si>
  <si>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</si>
  <si>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</si>
  <si>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</si>
  <si>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</si>
  <si>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</si>
  <si>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</si>
  <si>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</si>
  <si>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</si>
  <si>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</si>
  <si>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</si>
  <si>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</si>
  <si>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</si>
  <si>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</si>
  <si>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</si>
  <si>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</si>
  <si>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</si>
  <si>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</si>
  <si>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</si>
  <si>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</si>
  <si>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</si>
  <si>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</si>
  <si>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</si>
  <si>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</si>
  <si>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</si>
  <si>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</si>
  <si>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</si>
  <si>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</si>
  <si>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</si>
  <si>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</si>
  <si>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</si>
  <si>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</si>
  <si>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</si>
  <si>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</si>
  <si>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</si>
  <si>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</si>
  <si>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</si>
  <si>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</si>
  <si>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</si>
  <si>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</si>
  <si>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</si>
  <si>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</si>
  <si>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</si>
  <si>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</si>
  <si>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</si>
  <si>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</si>
  <si>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</si>
  <si>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</si>
  <si>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</si>
  <si>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</si>
  <si>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</si>
  <si>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</si>
  <si>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</si>
  <si>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</si>
  <si>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</si>
  <si>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</si>
  <si>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</si>
  <si>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</si>
  <si>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</si>
  <si>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</si>
  <si>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</si>
  <si>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</si>
  <si>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</si>
  <si>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</si>
  <si>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</si>
  <si>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</si>
  <si>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</si>
  <si>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</si>
  <si>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</si>
  <si>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</si>
  <si>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</si>
  <si>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</si>
  <si>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</si>
  <si>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</si>
  <si>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</si>
  <si>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</si>
  <si>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</si>
  <si>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</si>
  <si>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</si>
  <si>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</si>
  <si>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</si>
  <si>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</si>
  <si>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</si>
  <si>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</si>
  <si>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</si>
  <si>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</si>
  <si>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</si>
  <si>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</si>
  <si>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</si>
  <si>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</si>
  <si>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</si>
  <si>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</si>
  <si>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</si>
  <si>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</si>
  <si>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</si>
  <si>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</si>
  <si>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</si>
  <si>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</si>
  <si>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</si>
  <si>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</si>
  <si>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</si>
  <si>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</si>
  <si>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</si>
  <si>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</si>
  <si>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</si>
  <si>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</si>
  <si>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</si>
  <si>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</si>
  <si>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</si>
  <si>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</si>
  <si>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</si>
  <si>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</si>
  <si>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</si>
  <si>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</si>
  <si>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</si>
  <si>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</si>
  <si>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</si>
  <si>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</si>
  <si>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</si>
  <si>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</si>
  <si>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</si>
  <si>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</si>
  <si>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</si>
  <si>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</si>
  <si>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</si>
  <si>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</si>
  <si>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</si>
  <si>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</si>
  <si>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</si>
  <si>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</si>
  <si>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</si>
  <si>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</si>
  <si>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</si>
  <si>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</si>
  <si>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</si>
  <si>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</si>
  <si>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</si>
  <si>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</si>
  <si>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</si>
  <si>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</si>
  <si>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</si>
  <si>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</si>
  <si>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</si>
  <si>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</si>
  <si>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</si>
  <si>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</si>
  <si>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</si>
  <si>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</si>
  <si>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</si>
  <si>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</si>
  <si>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</si>
  <si>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</si>
  <si>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</si>
  <si>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</si>
  <si>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</si>
  <si>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</si>
  <si>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</si>
  <si>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</si>
  <si>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</si>
  <si>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</si>
  <si>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</si>
  <si>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</si>
  <si>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</si>
  <si>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</si>
  <si>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</si>
  <si>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</si>
  <si>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</si>
  <si>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</si>
  <si>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</si>
  <si>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</si>
  <si>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</si>
  <si>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</si>
  <si>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</si>
  <si>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</si>
  <si>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</si>
  <si>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</si>
  <si>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</si>
  <si>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</si>
  <si>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</si>
  <si>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</si>
  <si>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</si>
  <si>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</si>
  <si>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</si>
  <si>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</si>
  <si>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</si>
  <si>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</si>
  <si>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</si>
  <si>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</si>
  <si>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</si>
  <si>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</si>
  <si>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</si>
  <si>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</si>
  <si>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</si>
  <si>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</si>
  <si>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</si>
  <si>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</si>
  <si>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</si>
  <si>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</si>
  <si>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</si>
  <si>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</si>
  <si>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</si>
  <si>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</si>
  <si>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</si>
  <si>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</si>
  <si>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</si>
  <si>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</si>
  <si>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</si>
  <si>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</si>
  <si>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</si>
  <si>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</si>
  <si>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</si>
  <si>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</si>
  <si>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</si>
  <si>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</si>
  <si>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</si>
  <si>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</si>
  <si>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</si>
  <si>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</si>
  <si>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</si>
  <si>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</si>
  <si>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</si>
  <si>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</si>
  <si>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</si>
  <si>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</si>
  <si>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</si>
  <si>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</si>
  <si>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</si>
  <si>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</si>
  <si>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</si>
  <si>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</si>
  <si>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</si>
  <si>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</si>
  <si>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</si>
  <si>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</si>
  <si>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</si>
  <si>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</si>
  <si>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</si>
  <si>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</si>
  <si>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</si>
  <si>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</si>
  <si>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</si>
  <si>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</si>
  <si>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</si>
  <si>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</si>
  <si>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</si>
  <si>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</si>
  <si>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</si>
  <si>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</si>
  <si>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</si>
  <si>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</si>
  <si>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</si>
  <si>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</si>
  <si>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</si>
  <si>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</si>
  <si>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</si>
  <si>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</si>
  <si>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</si>
  <si>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</si>
  <si>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</si>
  <si>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</si>
  <si>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</si>
  <si>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</si>
  <si>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</si>
  <si>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</si>
  <si>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</si>
  <si>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</si>
  <si>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</si>
  <si>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</si>
  <si>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</si>
  <si>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</si>
  <si>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</si>
  <si>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</si>
  <si>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</si>
  <si>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</si>
  <si>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</si>
  <si>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</si>
  <si>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</si>
  <si>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</si>
  <si>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</si>
  <si>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</si>
  <si>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</si>
  <si>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</si>
  <si>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</si>
  <si>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</si>
  <si>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</si>
  <si>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</si>
  <si>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</si>
  <si>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</si>
  <si>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</si>
  <si>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</si>
  <si>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</si>
  <si>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</si>
  <si>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</si>
  <si>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</si>
  <si>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</si>
  <si>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</si>
  <si>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</si>
  <si>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</si>
  <si>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</si>
  <si>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</si>
  <si>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</si>
  <si>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</si>
  <si>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</si>
  <si>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</si>
  <si>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</si>
  <si>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</si>
  <si>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</si>
  <si>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</si>
  <si>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</si>
  <si>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</si>
  <si>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</si>
  <si>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</si>
  <si>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</si>
  <si>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</si>
  <si>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</si>
  <si>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</si>
  <si>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</si>
  <si>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</si>
  <si>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</si>
  <si>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</si>
  <si>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</si>
  <si>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</si>
  <si>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</si>
  <si>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</si>
  <si>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</si>
  <si>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</si>
  <si>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</si>
  <si>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</si>
  <si>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</si>
  <si>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</si>
  <si>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</si>
  <si>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</si>
  <si>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</si>
  <si>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</si>
  <si>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</si>
  <si>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</si>
  <si>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</si>
  <si>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</si>
  <si>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</si>
  <si>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</si>
  <si>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</si>
  <si>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</si>
  <si>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</si>
  <si>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</si>
  <si>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</si>
  <si>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</si>
  <si>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</si>
  <si>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</si>
  <si>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</si>
  <si>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</si>
  <si>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</si>
  <si>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</si>
  <si>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</si>
  <si>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</si>
  <si>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</si>
  <si>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</si>
  <si>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</si>
  <si>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</si>
  <si>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</si>
  <si>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</si>
  <si>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</si>
  <si>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</si>
  <si>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</si>
  <si>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</si>
  <si>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</si>
  <si>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</si>
  <si>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</si>
  <si>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</si>
  <si>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</si>
  <si>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</si>
  <si>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</si>
  <si>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</si>
  <si>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</si>
  <si>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</si>
  <si>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</si>
  <si>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</si>
  <si>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</si>
  <si>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</si>
  <si>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</si>
  <si>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</si>
  <si>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</si>
  <si>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</si>
  <si>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</si>
  <si>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</si>
  <si>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</si>
  <si>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</si>
  <si>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</si>
  <si>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</si>
  <si>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</si>
  <si>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</si>
  <si>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</si>
  <si>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</si>
  <si>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</si>
  <si>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</si>
  <si>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</si>
  <si>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</si>
  <si>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</si>
  <si>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</si>
  <si>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</si>
  <si>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</si>
  <si>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</si>
  <si>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</si>
  <si>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</si>
  <si>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</si>
  <si>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</si>
  <si>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</si>
  <si>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</si>
  <si>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</si>
  <si>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</si>
  <si>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</si>
  <si>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</si>
  <si>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</si>
  <si>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</si>
  <si>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</si>
  <si>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</si>
  <si>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</si>
  <si>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</si>
  <si>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</si>
  <si>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</si>
  <si>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</si>
  <si>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</si>
  <si>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</si>
  <si>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</si>
  <si>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</si>
  <si>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</si>
  <si>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</si>
  <si>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</si>
  <si>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</si>
  <si>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</si>
  <si>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</si>
  <si>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</si>
  <si>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</si>
  <si>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</si>
  <si>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</si>
  <si>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</si>
  <si>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</si>
  <si>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</si>
  <si>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</si>
  <si>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</si>
  <si>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</si>
  <si>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</si>
  <si>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</si>
  <si>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</si>
  <si>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</si>
  <si>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</si>
  <si>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</si>
  <si>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</si>
  <si>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</si>
  <si>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</si>
  <si>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</si>
  <si>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</si>
  <si>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</si>
  <si>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</si>
  <si>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</si>
  <si>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</si>
  <si>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</si>
  <si>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</si>
  <si>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</si>
  <si>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</si>
  <si>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</si>
  <si>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</si>
  <si>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</si>
  <si>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</si>
  <si>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</si>
  <si>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</si>
  <si>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</si>
  <si>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</si>
  <si>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</si>
  <si>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</si>
  <si>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</si>
  <si>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</si>
  <si>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</si>
  <si>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</si>
  <si>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</si>
  <si>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</si>
  <si>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</si>
  <si>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</si>
  <si>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</si>
  <si>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</si>
  <si>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</si>
  <si>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</si>
  <si>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</si>
  <si>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</si>
  <si>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</si>
  <si>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</si>
  <si>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</si>
  <si>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</si>
  <si>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</si>
  <si>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</si>
  <si>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</si>
  <si>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</si>
  <si>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</si>
  <si>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</si>
  <si>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</si>
  <si>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</si>
  <si>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</si>
  <si>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</si>
  <si>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</si>
  <si>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</si>
  <si>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</si>
  <si>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</si>
  <si>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</si>
  <si>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</si>
  <si>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</si>
  <si>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</si>
  <si>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</si>
  <si>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</si>
  <si>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</si>
  <si>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</si>
  <si>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</si>
  <si>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</si>
  <si>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</si>
  <si>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</si>
  <si>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</si>
  <si>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</si>
  <si>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</si>
  <si>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</si>
  <si>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</si>
  <si>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</si>
  <si>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</si>
  <si>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</si>
  <si>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</si>
  <si>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</si>
  <si>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</si>
  <si>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</si>
  <si>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</si>
  <si>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</si>
  <si>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</si>
  <si>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</si>
  <si>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</si>
  <si>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</si>
  <si>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</si>
  <si>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</si>
  <si>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</si>
  <si>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</si>
  <si>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</si>
  <si>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</si>
  <si>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</si>
  <si>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</si>
  <si>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</si>
  <si>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</si>
  <si>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</si>
  <si>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</si>
  <si>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</si>
  <si>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</si>
  <si>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</si>
  <si>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</si>
  <si>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</si>
  <si>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</si>
  <si>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</si>
  <si>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</si>
  <si>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</si>
  <si>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</si>
  <si>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</si>
  <si>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</si>
  <si>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</si>
  <si>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</si>
  <si>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</si>
  <si>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</si>
  <si>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</si>
  <si>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</si>
  <si>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</si>
  <si>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</si>
  <si>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</si>
  <si>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</si>
  <si>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</si>
  <si>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</si>
  <si>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</si>
  <si>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</si>
  <si>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</si>
  <si>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</si>
  <si>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</si>
  <si>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</si>
  <si>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</si>
  <si>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</si>
  <si>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</si>
  <si>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</si>
  <si>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</si>
  <si>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</si>
  <si>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</si>
  <si>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</si>
  <si>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</si>
  <si>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</si>
  <si>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</si>
  <si>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</si>
  <si>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</si>
  <si>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</si>
  <si>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</si>
  <si>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</si>
  <si>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</si>
  <si>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</si>
  <si>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</si>
  <si>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</si>
  <si>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</si>
  <si>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</si>
  <si>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</si>
  <si>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</si>
  <si>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</si>
  <si>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</si>
  <si>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</si>
  <si>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</si>
  <si>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</si>
  <si>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</si>
  <si>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</si>
  <si>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</si>
  <si>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</si>
  <si>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</si>
  <si>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</si>
  <si>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</si>
  <si>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</si>
  <si>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</si>
  <si>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</si>
  <si>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</si>
  <si>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</si>
  <si>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</si>
  <si>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</si>
  <si>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</si>
  <si>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</si>
  <si>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</si>
  <si>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</si>
  <si>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</si>
  <si>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</si>
  <si>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</si>
  <si>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</si>
  <si>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</si>
  <si>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</si>
  <si>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</si>
  <si>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</si>
  <si>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</si>
  <si>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</si>
  <si>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</si>
  <si>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</si>
  <si>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</si>
  <si>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</si>
  <si>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</si>
  <si>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</si>
  <si>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</si>
  <si>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</si>
  <si>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</si>
  <si>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</si>
  <si>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</si>
  <si>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</si>
  <si>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</si>
  <si>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</si>
  <si>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</si>
  <si>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</si>
  <si>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</si>
  <si>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</si>
  <si>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</si>
  <si>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</si>
  <si>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</si>
  <si>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</si>
  <si>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</si>
  <si>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</si>
  <si>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</si>
  <si>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</si>
  <si>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</si>
  <si>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</si>
  <si>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</si>
  <si>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</si>
  <si>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</si>
  <si>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</si>
  <si>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</si>
  <si>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</si>
  <si>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</si>
  <si>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</si>
  <si>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</si>
  <si>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</si>
  <si>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</si>
  <si>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</si>
  <si>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</si>
  <si>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</si>
  <si>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</si>
  <si>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</si>
  <si>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</si>
  <si>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</si>
  <si>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</si>
  <si>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</si>
  <si>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</si>
  <si>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</si>
  <si>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</si>
  <si>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</si>
  <si>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</si>
  <si>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</si>
  <si>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</si>
  <si>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</si>
  <si>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</si>
  <si>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</si>
  <si>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</si>
  <si>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</si>
  <si>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</si>
  <si>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</si>
  <si>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</si>
  <si>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</si>
  <si>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</si>
  <si>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</si>
  <si>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</si>
  <si>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</si>
  <si>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</si>
  <si>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</si>
  <si>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</si>
  <si>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</si>
  <si>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</si>
  <si>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</si>
  <si>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</si>
  <si>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</si>
  <si>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</si>
  <si>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</si>
  <si>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</si>
  <si>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</si>
  <si>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</si>
  <si>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</si>
  <si>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</si>
  <si>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</si>
  <si>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</si>
  <si>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</si>
  <si>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</si>
  <si>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</si>
  <si>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</si>
  <si>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</si>
  <si>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</si>
  <si>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</si>
  <si>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</si>
  <si>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</si>
  <si>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</si>
  <si>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</si>
  <si>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</si>
  <si>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</si>
  <si>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</si>
  <si>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</si>
  <si>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</si>
  <si>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</si>
  <si>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</si>
  <si>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</si>
  <si>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</si>
  <si>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</si>
  <si>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</si>
  <si>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</si>
  <si>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</si>
  <si>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</si>
  <si>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</si>
  <si>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</si>
  <si>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</si>
  <si>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</si>
  <si>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</si>
  <si>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</si>
  <si>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</si>
  <si>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</si>
  <si>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</si>
  <si>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</si>
  <si>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</si>
  <si>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</si>
  <si>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</si>
  <si>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</si>
  <si>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</si>
  <si>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</si>
  <si>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</si>
  <si>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</si>
  <si>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</si>
  <si>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</si>
  <si>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</si>
  <si>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</si>
  <si>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</si>
  <si>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</si>
  <si>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</si>
  <si>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</si>
  <si>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</si>
  <si>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</si>
  <si>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</si>
  <si>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</si>
  <si>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</si>
  <si>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</si>
  <si>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</si>
  <si>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</si>
  <si>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</si>
  <si>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</si>
  <si>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</si>
  <si>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</si>
  <si>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</si>
  <si>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</si>
  <si>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</si>
  <si>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</si>
  <si>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</si>
  <si>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</si>
  <si>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</si>
  <si>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</si>
  <si>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</si>
  <si>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</si>
  <si>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</si>
  <si>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</si>
  <si>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</si>
  <si>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</si>
  <si>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</si>
  <si>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</si>
  <si>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</si>
  <si>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</si>
  <si>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</si>
  <si>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</si>
  <si>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</si>
  <si>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</si>
  <si>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</si>
  <si>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</si>
  <si>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</si>
  <si>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</si>
  <si>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</si>
  <si>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</si>
  <si>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</si>
  <si>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</si>
  <si>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</si>
  <si>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</si>
  <si>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</si>
  <si>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</si>
  <si>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</si>
  <si>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</si>
  <si>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</si>
  <si>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</si>
  <si>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</si>
  <si>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</si>
  <si>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</si>
  <si>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</si>
  <si>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</si>
  <si>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</si>
  <si>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</si>
  <si>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</si>
  <si>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</si>
  <si>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</si>
  <si>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</si>
  <si>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</si>
  <si>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</si>
  <si>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</si>
  <si>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</si>
  <si>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</si>
  <si>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</si>
  <si>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</si>
  <si>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</si>
  <si>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</si>
  <si>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</si>
  <si>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</si>
  <si>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</si>
  <si>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</si>
  <si>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</si>
  <si>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</si>
  <si>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</si>
  <si>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</si>
  <si>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</si>
  <si>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</si>
  <si>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</si>
  <si>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</si>
  <si>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</si>
  <si>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</si>
  <si>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</si>
  <si>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</si>
  <si>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</si>
  <si>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</si>
  <si>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</si>
  <si>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</si>
  <si>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</si>
  <si>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</si>
  <si>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</si>
  <si>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</si>
  <si>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</si>
  <si>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</si>
  <si>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</si>
  <si>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</si>
  <si>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</si>
  <si>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</si>
  <si>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</si>
  <si>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</si>
  <si>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</si>
  <si>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</si>
  <si>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</si>
  <si>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</si>
  <si>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</si>
  <si>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</si>
  <si>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</si>
  <si>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</si>
  <si>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</si>
  <si>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</si>
  <si>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</si>
  <si>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</si>
  <si>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</si>
  <si>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</si>
  <si>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</si>
  <si>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</si>
  <si>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</si>
  <si>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</si>
  <si>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</si>
  <si>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</si>
  <si>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</si>
  <si>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</si>
  <si>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</si>
  <si>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</si>
  <si>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</si>
  <si>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</si>
  <si>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</si>
  <si>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</si>
  <si>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</si>
  <si>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</si>
  <si>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</si>
  <si>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</si>
  <si>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</si>
  <si>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</si>
  <si>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</si>
  <si>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</si>
  <si>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</si>
  <si>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</si>
  <si>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</si>
  <si>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</si>
  <si>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</si>
  <si>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</si>
  <si>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</si>
  <si>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</si>
  <si>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</si>
  <si>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</si>
  <si>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</si>
  <si>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</si>
  <si>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</si>
  <si>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</si>
  <si>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</si>
  <si>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</si>
  <si>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</si>
  <si>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</si>
  <si>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</si>
  <si>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</si>
  <si>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</si>
  <si>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</si>
  <si>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</si>
  <si>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</si>
  <si>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</si>
  <si>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</si>
  <si>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</si>
  <si>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</si>
  <si>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</si>
  <si>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</si>
  <si>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</si>
  <si>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</si>
  <si>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</si>
  <si>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</si>
  <si>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</si>
  <si>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</si>
  <si>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</si>
  <si>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</si>
  <si>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</si>
  <si>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</si>
  <si>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</si>
  <si>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</si>
  <si>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</si>
  <si>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</si>
  <si>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</si>
  <si>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</si>
  <si>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</si>
  <si>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</si>
  <si>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</si>
  <si>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</si>
  <si>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</si>
  <si>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</si>
  <si>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</si>
  <si>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</si>
  <si>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</si>
  <si>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</si>
  <si>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</si>
  <si>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</si>
  <si>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</si>
  <si>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</si>
  <si>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</si>
  <si>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</si>
  <si>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</si>
  <si>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</si>
  <si>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</si>
  <si>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</si>
  <si>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</si>
  <si>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</si>
  <si>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</si>
  <si>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</si>
  <si>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</si>
  <si>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</si>
  <si>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</si>
  <si>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</si>
  <si>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</si>
  <si>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</si>
  <si>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</si>
  <si>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</si>
  <si>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</si>
  <si>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</si>
  <si>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</si>
  <si>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</si>
  <si>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</si>
  <si>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</si>
  <si>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</si>
  <si>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</si>
  <si>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</si>
  <si>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</si>
  <si>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</si>
  <si>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</si>
  <si>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</si>
  <si>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</si>
  <si>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</si>
  <si>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</si>
  <si>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</si>
  <si>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</si>
  <si>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</si>
  <si>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</si>
  <si>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</si>
  <si>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</si>
  <si>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</si>
  <si>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</si>
  <si>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</si>
  <si>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</si>
  <si>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</si>
  <si>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</si>
  <si>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</si>
  <si>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</si>
  <si>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</si>
  <si>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</si>
  <si>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</si>
  <si>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</si>
  <si>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</si>
  <si>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</si>
  <si>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</si>
  <si>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</si>
  <si>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</si>
  <si>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</si>
  <si>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</si>
  <si>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</si>
  <si>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</si>
  <si>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</si>
  <si>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</si>
  <si>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</si>
  <si>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</si>
  <si>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</si>
  <si>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</si>
  <si>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</si>
  <si>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</si>
  <si>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</si>
  <si>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</si>
  <si>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</si>
  <si>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</si>
  <si>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</si>
  <si>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</si>
  <si>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</si>
  <si>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</si>
  <si>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</si>
  <si>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</si>
  <si>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</si>
  <si>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</si>
  <si>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</si>
  <si>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</si>
  <si>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</si>
  <si>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</si>
  <si>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</si>
  <si>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</si>
  <si>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</si>
  <si>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</si>
  <si>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</si>
  <si>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</si>
  <si>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</si>
  <si>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</si>
  <si>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</si>
  <si>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</si>
  <si>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</si>
  <si>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</si>
  <si>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</si>
  <si>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</si>
  <si>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</si>
  <si>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</si>
  <si>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</si>
  <si>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</si>
  <si>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</si>
  <si>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</si>
  <si>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</si>
  <si>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</si>
  <si>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</si>
  <si>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</si>
  <si>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</si>
  <si>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</si>
  <si>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</si>
  <si>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</si>
  <si>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</si>
  <si>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</si>
  <si>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</si>
  <si>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</si>
  <si>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</si>
  <si>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</si>
  <si>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</si>
  <si>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</si>
  <si>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</si>
  <si>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</si>
  <si>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</si>
  <si>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</si>
  <si>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</si>
  <si>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</si>
  <si>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</si>
  <si>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</si>
  <si>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</si>
  <si>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</si>
  <si>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</si>
  <si>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</si>
  <si>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</si>
  <si>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</si>
  <si>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</si>
  <si>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</si>
  <si>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</si>
  <si>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</si>
  <si>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</si>
  <si>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</si>
  <si>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</si>
  <si>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</si>
  <si>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</si>
  <si>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</si>
  <si>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</si>
  <si>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</si>
  <si>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</si>
  <si>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</si>
  <si>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</si>
  <si>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</si>
  <si>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</si>
  <si>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</si>
  <si>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</si>
  <si>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</si>
  <si>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</si>
  <si>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</si>
  <si>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</si>
  <si>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</si>
  <si>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</si>
  <si>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</si>
  <si>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</si>
  <si>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</si>
  <si>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</si>
  <si>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</si>
  <si>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</si>
  <si>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</si>
  <si>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</si>
  <si>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</si>
  <si>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</si>
  <si>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</si>
  <si>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</si>
  <si>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</si>
  <si>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</si>
  <si>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</si>
  <si>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</si>
  <si>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</si>
  <si>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</si>
  <si>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</si>
  <si>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</si>
  <si>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</si>
  <si>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</si>
  <si>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</si>
  <si>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</si>
  <si>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</si>
  <si>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</si>
  <si>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</si>
  <si>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</si>
  <si>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</si>
  <si>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</si>
  <si>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</si>
  <si>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</si>
  <si>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</si>
  <si>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</si>
  <si>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</si>
  <si>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</si>
  <si>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</si>
  <si>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</si>
  <si>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</si>
  <si>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</si>
  <si>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</si>
  <si>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</si>
  <si>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</si>
  <si>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</si>
  <si>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</si>
  <si>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</si>
  <si>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</si>
  <si>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</si>
  <si>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</si>
  <si>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</si>
  <si>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</si>
  <si>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</si>
  <si>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</si>
  <si>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</si>
  <si>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</si>
  <si>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</si>
  <si>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</si>
  <si>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</si>
  <si>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</si>
  <si>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</si>
  <si>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</si>
  <si>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</si>
  <si>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</si>
  <si>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</si>
  <si>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</si>
  <si>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</si>
  <si>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</si>
  <si>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</si>
  <si>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</si>
  <si>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</si>
  <si>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</si>
  <si>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</si>
  <si>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</si>
  <si>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</si>
  <si>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</si>
  <si>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</si>
  <si>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</si>
  <si>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</si>
  <si>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</si>
  <si>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</si>
  <si>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</si>
  <si>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</si>
  <si>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</si>
  <si>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</si>
  <si>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</si>
  <si>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</si>
  <si>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</si>
  <si>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</si>
  <si>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</si>
  <si>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</si>
  <si>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</si>
  <si>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</si>
  <si>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</si>
  <si>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</si>
  <si>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</si>
  <si>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</si>
  <si>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</si>
  <si>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</si>
  <si>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</si>
  <si>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</si>
  <si>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</si>
  <si>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</si>
  <si>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</si>
  <si>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</si>
  <si>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</si>
  <si>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</si>
  <si>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</si>
  <si>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</si>
  <si>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</si>
  <si>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</si>
  <si>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</si>
  <si>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</si>
  <si>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</si>
  <si>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</si>
  <si>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</si>
  <si>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</si>
  <si>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</si>
  <si>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</si>
  <si>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</si>
  <si>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</si>
  <si>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</si>
  <si>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</si>
  <si>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</si>
  <si>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</si>
  <si>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</si>
  <si>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</si>
  <si>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</si>
  <si>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</si>
  <si>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</si>
  <si>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</si>
  <si>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</si>
  <si>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</si>
  <si>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</si>
  <si>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</si>
  <si>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</si>
  <si>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</si>
  <si>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</si>
  <si>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</si>
  <si>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</si>
  <si>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</si>
  <si>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</si>
  <si>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</si>
  <si>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</si>
  <si>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</si>
  <si>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</si>
  <si>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</si>
  <si>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</si>
  <si>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</si>
  <si>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</si>
  <si>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</si>
  <si>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</si>
  <si>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</si>
  <si>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</si>
  <si>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</si>
  <si>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</si>
  <si>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</si>
  <si>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</si>
  <si>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</si>
  <si>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</si>
  <si>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</si>
  <si>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</si>
  <si>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</si>
  <si>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</si>
  <si>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</si>
  <si>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</si>
  <si>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</si>
  <si>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</si>
  <si>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</si>
  <si>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</si>
  <si>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</si>
  <si>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</si>
  <si>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</si>
  <si>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</si>
  <si>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</si>
  <si>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</si>
  <si>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</si>
  <si>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</si>
  <si>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</si>
  <si>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</si>
  <si>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</si>
  <si>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</si>
  <si>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</si>
  <si>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</si>
  <si>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</si>
  <si>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</si>
  <si>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</si>
  <si>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</si>
  <si>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</si>
  <si>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</si>
  <si>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</si>
  <si>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</si>
  <si>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</si>
  <si>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</si>
  <si>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</si>
  <si>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</si>
  <si>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</si>
  <si>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</si>
  <si>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</si>
  <si>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</si>
  <si>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</si>
  <si>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</si>
  <si>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</si>
  <si>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</si>
  <si>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</si>
  <si>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</si>
  <si>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</si>
  <si>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</si>
  <si>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</si>
  <si>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</si>
  <si>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</si>
  <si>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</si>
  <si>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</si>
  <si>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</si>
  <si>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</si>
  <si>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</si>
  <si>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</si>
  <si>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</si>
  <si>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</si>
  <si>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</si>
  <si>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</si>
  <si>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</si>
  <si>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</si>
  <si>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</si>
  <si>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</si>
  <si>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</si>
  <si>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</si>
  <si>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</si>
  <si>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</si>
  <si>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</si>
  <si>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</si>
  <si>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</si>
  <si>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</si>
  <si>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</si>
  <si>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</si>
  <si>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</si>
  <si>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</si>
  <si>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</si>
  <si>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</si>
  <si>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</si>
  <si>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</si>
  <si>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</si>
  <si>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</si>
  <si>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</si>
  <si>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</si>
  <si>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</si>
  <si>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</si>
  <si>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</si>
  <si>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</si>
  <si>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</si>
  <si>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</si>
  <si>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</si>
  <si>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</si>
  <si>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</si>
  <si>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</si>
  <si>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</si>
  <si>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</si>
  <si>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</si>
  <si>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</si>
  <si>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</si>
  <si>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</si>
  <si>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</si>
  <si>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</si>
  <si>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</si>
  <si>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</si>
  <si>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</si>
  <si>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</si>
  <si>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</si>
  <si>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</si>
  <si>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</si>
  <si>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</si>
  <si>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</si>
  <si>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</si>
  <si>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</si>
  <si>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</si>
  <si>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</si>
  <si>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</si>
  <si>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</si>
  <si>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</si>
  <si>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</si>
  <si>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</si>
  <si>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</si>
  <si>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</si>
  <si>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</si>
  <si>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</si>
  <si>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</si>
  <si>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</si>
  <si>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</si>
  <si>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</si>
  <si>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</si>
  <si>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</si>
  <si>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</si>
  <si>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</si>
  <si>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</si>
  <si>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</si>
  <si>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</si>
  <si>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</si>
  <si>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</si>
  <si>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</si>
  <si>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</si>
  <si>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</si>
  <si>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</si>
  <si>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</si>
  <si>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</si>
  <si>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</si>
  <si>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</si>
  <si>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</si>
  <si>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</si>
  <si>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</si>
  <si>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</si>
  <si>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</si>
  <si>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</si>
  <si>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</si>
  <si>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</si>
  <si>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</si>
  <si>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</si>
  <si>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</si>
  <si>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</si>
  <si>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</si>
  <si>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</si>
  <si>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</si>
  <si>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</si>
  <si>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</si>
  <si>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</si>
  <si>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</si>
  <si>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</si>
  <si>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</si>
  <si>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</si>
  <si>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</si>
  <si>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</si>
  <si>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</si>
  <si>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</si>
  <si>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</si>
  <si>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</si>
  <si>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</si>
  <si>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</si>
  <si>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</si>
  <si>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</si>
  <si>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</si>
  <si>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</si>
  <si>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</si>
  <si>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</si>
  <si>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</si>
  <si>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</si>
  <si>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</si>
  <si>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</si>
  <si>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</si>
  <si>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</si>
  <si>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</si>
  <si>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</si>
  <si>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</si>
  <si>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</si>
  <si>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</si>
  <si>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</si>
  <si>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</si>
  <si>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</si>
  <si>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</si>
  <si>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</si>
  <si>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</si>
  <si>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</si>
  <si>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</si>
  <si>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</si>
  <si>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</si>
  <si>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</si>
  <si>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</si>
  <si>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</si>
  <si>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</si>
  <si>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</si>
  <si>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</si>
  <si>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</si>
  <si>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</si>
  <si>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</si>
  <si>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</si>
  <si>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</si>
  <si>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</si>
  <si>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</si>
  <si>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</si>
  <si>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</si>
  <si>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</si>
  <si>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</si>
  <si>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</si>
  <si>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</si>
  <si>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</si>
  <si>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</si>
  <si>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</si>
  <si>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</si>
  <si>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</si>
  <si>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</si>
  <si>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</si>
  <si>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</si>
  <si>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</si>
  <si>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</si>
  <si>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</si>
  <si>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</si>
  <si>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</si>
  <si>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</si>
  <si>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</si>
  <si>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</si>
  <si>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</si>
  <si>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</si>
  <si>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</si>
  <si>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</si>
  <si>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</si>
  <si>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</si>
  <si>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</si>
  <si>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</si>
  <si>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</si>
  <si>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</si>
  <si>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</si>
  <si>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</si>
  <si>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</si>
  <si>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</si>
  <si>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</si>
  <si>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</si>
  <si>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</si>
  <si>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</si>
  <si>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</si>
  <si>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</si>
  <si>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</si>
  <si>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</si>
  <si>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</si>
  <si>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</si>
  <si>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</si>
  <si>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</si>
  <si>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</si>
  <si>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</si>
  <si>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</si>
  <si>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</si>
  <si>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</si>
  <si>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</si>
  <si>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</si>
  <si>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</si>
  <si>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</si>
  <si>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</si>
  <si>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</si>
  <si>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</si>
  <si>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</si>
  <si>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</si>
  <si>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</si>
  <si>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</si>
  <si>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</si>
  <si>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</si>
  <si>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</si>
  <si>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</si>
  <si>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</si>
  <si>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</si>
  <si>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</si>
  <si>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</si>
  <si>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</si>
  <si>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</si>
  <si>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</si>
  <si>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</si>
  <si>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</si>
  <si>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</si>
  <si>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</si>
  <si>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</si>
  <si>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</si>
  <si>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</si>
  <si>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</si>
  <si>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</si>
  <si>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</si>
  <si>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</si>
  <si>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</si>
  <si>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</si>
  <si>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</si>
  <si>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</si>
  <si>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</si>
  <si>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</si>
  <si>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</si>
  <si>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</si>
  <si>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</si>
  <si>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</si>
  <si>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</si>
  <si>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</si>
  <si>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</si>
  <si>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</si>
  <si>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</si>
  <si>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</si>
  <si>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</si>
  <si>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</si>
  <si>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</si>
  <si>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</si>
  <si>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</si>
  <si>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</si>
  <si>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</si>
  <si>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</si>
  <si>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</si>
  <si>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</si>
  <si>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</si>
  <si>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</si>
  <si>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</si>
  <si>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</si>
  <si>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</si>
  <si>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</si>
  <si>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</si>
  <si>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</si>
  <si>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</si>
  <si>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</si>
  <si>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</si>
  <si>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</si>
  <si>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</si>
  <si>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</si>
  <si>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</si>
  <si>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</si>
  <si>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</si>
  <si>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</si>
  <si>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</si>
  <si>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</si>
  <si>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</si>
  <si>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</si>
  <si>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</si>
  <si>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</si>
  <si>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</si>
  <si>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</si>
  <si>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</si>
  <si>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</si>
  <si>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</si>
  <si>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</si>
  <si>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</si>
  <si>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</si>
  <si>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</si>
  <si>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</si>
  <si>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</si>
  <si>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</si>
  <si>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</si>
  <si>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</si>
  <si>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</si>
  <si>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</si>
  <si>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</si>
  <si>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</si>
  <si>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</si>
  <si>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</si>
  <si>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</si>
  <si>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</si>
  <si>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</si>
  <si>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</si>
  <si>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</si>
  <si>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</si>
  <si>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</si>
  <si>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</si>
  <si>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</si>
  <si>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</si>
  <si>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</si>
  <si>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</si>
  <si>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</si>
  <si>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</si>
  <si>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</si>
  <si>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</si>
  <si>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</si>
  <si>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</si>
  <si>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</si>
  <si>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</si>
  <si>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</si>
  <si>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</si>
  <si>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</si>
  <si>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</si>
  <si>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</si>
  <si>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</si>
  <si>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</si>
  <si>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</si>
  <si>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</si>
  <si>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</si>
  <si>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</si>
  <si>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</si>
  <si>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</si>
  <si>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</si>
  <si>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</si>
  <si>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</si>
  <si>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</si>
  <si>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</si>
  <si>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</si>
  <si>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</si>
  <si>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</si>
  <si>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</si>
  <si>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</si>
  <si>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</si>
  <si>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</si>
  <si>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</si>
  <si>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</si>
  <si>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</si>
  <si>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</si>
  <si>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</si>
  <si>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</si>
  <si>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</si>
  <si>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</si>
  <si>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</si>
  <si>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</si>
  <si>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</si>
  <si>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</si>
  <si>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</si>
  <si>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</si>
  <si>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</si>
  <si>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</si>
  <si>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</si>
  <si>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</si>
  <si>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</si>
  <si>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</si>
  <si>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</si>
  <si>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</si>
  <si>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</si>
  <si>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</si>
  <si>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</si>
  <si>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</si>
  <si>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</si>
  <si>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</si>
  <si>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</si>
  <si>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</si>
  <si>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</si>
  <si>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</si>
  <si>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</si>
  <si>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</si>
  <si>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</si>
  <si>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</si>
  <si>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</si>
  <si>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</si>
  <si>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</si>
  <si>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</si>
  <si>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</si>
  <si>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</si>
  <si>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</si>
  <si>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</si>
  <si>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</si>
  <si>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</si>
  <si>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</si>
  <si>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</si>
  <si>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</si>
  <si>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</si>
  <si>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</si>
  <si>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</si>
  <si>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</si>
  <si>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</si>
  <si>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</si>
  <si>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</si>
  <si>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</si>
  <si>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</si>
  <si>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</si>
  <si>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</si>
  <si>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</si>
  <si>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</si>
  <si>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</si>
  <si>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</si>
  <si>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</si>
  <si>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</si>
  <si>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</si>
  <si>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</si>
  <si>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</si>
  <si>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</si>
  <si>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</si>
  <si>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</si>
  <si>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</si>
  <si>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</si>
  <si>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</si>
  <si>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</si>
  <si>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</si>
  <si>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</si>
  <si>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</si>
  <si>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</si>
  <si>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</si>
  <si>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</si>
  <si>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</si>
  <si>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</si>
  <si>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</si>
  <si>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</si>
  <si>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</si>
  <si>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</si>
  <si>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</si>
  <si>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</si>
  <si>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</si>
  <si>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</si>
  <si>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</si>
  <si>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</si>
  <si>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</si>
  <si>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</si>
  <si>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</si>
  <si>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</si>
  <si>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</si>
  <si>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</si>
  <si>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</si>
  <si>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</si>
  <si>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</si>
  <si>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</si>
  <si>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</si>
  <si>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</si>
  <si>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</si>
  <si>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</si>
  <si>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</si>
  <si>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</si>
  <si>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</si>
  <si>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</si>
  <si>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</si>
  <si>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</si>
  <si>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</si>
  <si>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</si>
  <si>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</si>
  <si>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</si>
  <si>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</si>
  <si>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</si>
  <si>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</si>
  <si>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</si>
  <si>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</si>
  <si>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</si>
  <si>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</si>
  <si>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</si>
  <si>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</si>
  <si>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</si>
  <si>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</si>
  <si>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</si>
  <si>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</si>
  <si>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</si>
  <si>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</si>
  <si>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</si>
  <si>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</si>
  <si>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</si>
  <si>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</si>
  <si>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</si>
  <si>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</si>
  <si>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</si>
  <si>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</si>
  <si>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</si>
  <si>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</si>
  <si>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</si>
  <si>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</si>
  <si>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</si>
  <si>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</si>
  <si>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</si>
  <si>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</si>
  <si>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</si>
  <si>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</si>
  <si>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</si>
  <si>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</si>
  <si>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</si>
  <si>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</si>
  <si>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</si>
  <si>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</si>
  <si>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</si>
  <si>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</si>
  <si>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</si>
  <si>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</si>
  <si>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</si>
  <si>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</si>
  <si>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</si>
  <si>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</si>
  <si>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</si>
  <si>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</si>
  <si>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</si>
  <si>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</si>
  <si>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</si>
  <si>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</si>
  <si>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</si>
  <si>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</si>
  <si>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</si>
  <si>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</si>
  <si>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</si>
  <si>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</si>
  <si>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</si>
  <si>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</si>
  <si>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</si>
  <si>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</si>
  <si>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</si>
  <si>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</si>
  <si>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</si>
  <si>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</si>
  <si>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</si>
  <si>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</si>
  <si>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</si>
  <si>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</si>
  <si>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</si>
  <si>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</si>
  <si>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</si>
  <si>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</si>
  <si>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</si>
  <si>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</si>
  <si>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</si>
  <si>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</si>
  <si>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</si>
  <si>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</si>
  <si>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</si>
  <si>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</si>
  <si>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</si>
  <si>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</si>
  <si>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</si>
  <si>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</si>
  <si>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</si>
  <si>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</si>
  <si>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</si>
  <si>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</si>
  <si>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</si>
  <si>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</si>
  <si>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</si>
  <si>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</si>
  <si>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</si>
  <si>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</si>
  <si>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</si>
  <si>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</si>
  <si>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</si>
  <si>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</si>
  <si>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</si>
  <si>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</si>
  <si>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</si>
  <si>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</si>
  <si>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</si>
  <si>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</si>
  <si>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</si>
  <si>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</si>
  <si>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</si>
  <si>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</si>
  <si>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</si>
  <si>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</si>
  <si>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</si>
  <si>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</si>
  <si>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</si>
  <si>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</si>
  <si>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</si>
  <si>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</si>
  <si>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</si>
  <si>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</si>
  <si>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</si>
  <si>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</si>
  <si>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</si>
  <si>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</si>
  <si>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</si>
  <si>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</si>
  <si>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</si>
  <si>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</si>
  <si>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</si>
  <si>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</si>
  <si>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</si>
  <si>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</si>
  <si>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</si>
  <si>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</si>
  <si>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</si>
  <si>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</si>
  <si>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</si>
  <si>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</si>
  <si>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</si>
  <si>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</si>
  <si>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</si>
  <si>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</si>
  <si>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</si>
  <si>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</si>
  <si>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</si>
  <si>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</si>
  <si>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</si>
  <si>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</si>
  <si>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</si>
  <si>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</si>
  <si>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</si>
  <si>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</si>
  <si>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</si>
  <si>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</si>
  <si>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</si>
  <si>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</si>
  <si>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</si>
  <si>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</si>
  <si>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</si>
  <si>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</si>
  <si>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</si>
  <si>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</si>
  <si>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</si>
  <si>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</si>
  <si>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</si>
  <si>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</si>
  <si>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</si>
  <si>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</si>
  <si>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</si>
  <si>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</si>
  <si>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</si>
  <si>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</si>
  <si>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</si>
  <si>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</si>
  <si>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</si>
  <si>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</si>
  <si>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</si>
  <si>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</si>
  <si>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</si>
  <si>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</si>
  <si>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</si>
  <si>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</si>
  <si>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</si>
  <si>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</si>
  <si>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</si>
  <si>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</si>
  <si>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</si>
  <si>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</si>
  <si>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</si>
  <si>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</si>
  <si>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</si>
  <si>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</si>
  <si>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</si>
  <si>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</si>
  <si>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</si>
  <si>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</si>
  <si>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</si>
  <si>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</si>
  <si>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</si>
  <si>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</si>
  <si>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</si>
  <si>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</si>
  <si>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</si>
  <si>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</si>
  <si>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</si>
  <si>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</si>
  <si>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</si>
  <si>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</si>
  <si>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</si>
  <si>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</si>
  <si>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</si>
  <si>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</si>
  <si>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</si>
  <si>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</si>
  <si>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</si>
  <si>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</si>
  <si>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</si>
  <si>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</si>
  <si>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</si>
  <si>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</si>
  <si>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</si>
  <si>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</si>
  <si>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</si>
  <si>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</si>
  <si>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</si>
  <si>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</si>
  <si>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</si>
  <si>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</si>
  <si>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</si>
  <si>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</si>
  <si>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</si>
  <si>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</si>
  <si>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</si>
  <si>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</si>
  <si>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</si>
  <si>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</si>
  <si>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</si>
  <si>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</si>
  <si>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</si>
  <si>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</si>
  <si>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</si>
  <si>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</si>
  <si>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</si>
  <si>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</si>
  <si>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</si>
  <si>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</si>
  <si>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</si>
  <si>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</si>
  <si>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</si>
  <si>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</si>
  <si>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</si>
  <si>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</si>
  <si>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</si>
  <si>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</si>
  <si>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</si>
  <si>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</si>
  <si>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</si>
  <si>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</si>
  <si>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</si>
  <si>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</si>
  <si>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</si>
  <si>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</si>
  <si>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</si>
  <si>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</si>
  <si>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</si>
  <si>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</si>
  <si>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</si>
  <si>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</si>
  <si>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</si>
  <si>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</si>
  <si>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</si>
  <si>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</si>
  <si>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</si>
  <si>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</si>
  <si>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</si>
  <si>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</si>
  <si>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</si>
  <si>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</si>
  <si>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</si>
  <si>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</si>
  <si>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</si>
  <si>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</si>
  <si>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</si>
  <si>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</si>
  <si>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</si>
  <si>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</si>
  <si>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</si>
  <si>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</si>
  <si>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</si>
  <si>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</si>
  <si>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</si>
  <si>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</si>
  <si>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</si>
  <si>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</si>
  <si>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</si>
  <si>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</si>
  <si>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</si>
  <si>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</si>
  <si>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</si>
  <si>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</si>
  <si>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</si>
  <si>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</si>
  <si>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</si>
  <si>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</si>
  <si>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</si>
  <si>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</si>
  <si>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</si>
  <si>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</si>
  <si>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</si>
  <si>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</si>
  <si>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</si>
  <si>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</si>
  <si>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</si>
  <si>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</si>
  <si>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</si>
  <si>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</si>
  <si>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</si>
  <si>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</si>
  <si>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</si>
  <si>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</si>
  <si>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</si>
  <si>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</si>
  <si>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</si>
  <si>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</si>
  <si>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</si>
  <si>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</si>
  <si>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</si>
  <si>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</si>
  <si>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</si>
  <si>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</si>
  <si>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</si>
  <si>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</si>
  <si>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</si>
  <si>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</si>
  <si>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</si>
  <si>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</si>
  <si>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</si>
  <si>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</si>
  <si>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</si>
  <si>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</si>
  <si>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</si>
  <si>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</si>
  <si>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</si>
  <si>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</si>
  <si>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</si>
  <si>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</si>
  <si>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</si>
  <si>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</si>
  <si>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</si>
  <si>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</si>
  <si>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</si>
  <si>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</si>
  <si>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</si>
  <si>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</si>
  <si>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</si>
  <si>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</si>
  <si>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</si>
  <si>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</si>
  <si>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</si>
  <si>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</si>
  <si>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</si>
  <si>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</si>
  <si>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</si>
  <si>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</si>
  <si>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</si>
  <si>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</si>
  <si>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</si>
  <si>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</si>
  <si>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</si>
  <si>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</si>
  <si>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</si>
  <si>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</si>
  <si>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</si>
  <si>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</si>
  <si>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</si>
  <si>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</si>
  <si>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</si>
  <si>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</si>
  <si>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</si>
  <si>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</si>
  <si>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</si>
  <si>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</si>
  <si>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</si>
  <si>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</si>
  <si>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</si>
  <si>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</si>
  <si>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</si>
  <si>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</si>
  <si>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</si>
  <si>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</si>
  <si>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</si>
  <si>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</si>
  <si>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</si>
  <si>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</si>
  <si>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</si>
  <si>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</si>
  <si>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</si>
  <si>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</si>
  <si>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</si>
  <si>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</si>
  <si>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</si>
  <si>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</si>
  <si>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</si>
  <si>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</si>
  <si>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</si>
  <si>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</si>
  <si>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</si>
  <si>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</si>
  <si>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</si>
  <si>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</si>
  <si>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</si>
  <si>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</si>
  <si>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</si>
  <si>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</si>
  <si>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</si>
  <si>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</si>
  <si>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</si>
  <si>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</si>
  <si>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</si>
  <si>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</si>
  <si>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</si>
  <si>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</si>
  <si>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</si>
  <si>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</si>
  <si>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</si>
  <si>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</si>
  <si>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</si>
  <si>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</si>
  <si>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</si>
  <si>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</si>
  <si>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</si>
  <si>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</si>
  <si>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</si>
  <si>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</si>
  <si>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</si>
  <si>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</si>
  <si>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</si>
  <si>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</si>
  <si>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</si>
  <si>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</si>
  <si>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</si>
  <si>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</si>
  <si>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</si>
  <si>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</si>
  <si>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</si>
  <si>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</si>
  <si>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</si>
  <si>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</si>
  <si>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</si>
  <si>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</si>
  <si>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</si>
  <si>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</si>
  <si>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</si>
  <si>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</si>
  <si>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</si>
  <si>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</si>
  <si>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</si>
  <si>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</si>
  <si>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</si>
  <si>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</si>
  <si>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</si>
  <si>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</si>
  <si>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</si>
  <si>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</si>
  <si>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</si>
  <si>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</si>
  <si>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</si>
  <si>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</si>
  <si>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</si>
  <si>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</si>
  <si>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</si>
  <si>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</si>
  <si>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</si>
  <si>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</si>
  <si>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</si>
  <si>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</si>
  <si>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</si>
  <si>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</si>
  <si>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</si>
  <si>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</si>
  <si>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</si>
  <si>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</si>
  <si>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</si>
  <si>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</si>
  <si>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</si>
  <si>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</si>
  <si>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</si>
  <si>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</si>
  <si>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</si>
  <si>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</si>
  <si>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</si>
  <si>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</si>
  <si>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</si>
  <si>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</si>
  <si>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</si>
  <si>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</si>
  <si>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</si>
  <si>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</si>
  <si>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</si>
  <si>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</si>
  <si>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</si>
  <si>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</si>
  <si>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</si>
  <si>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</si>
  <si>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</si>
  <si>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</si>
  <si>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</si>
  <si>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</si>
  <si>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</si>
  <si>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</si>
  <si>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</si>
  <si>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</si>
  <si>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</si>
  <si>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</si>
  <si>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</si>
  <si>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</si>
  <si>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</si>
  <si>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</si>
  <si>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</si>
  <si>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</si>
  <si>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</si>
  <si>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</si>
  <si>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</si>
  <si>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</si>
  <si>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</si>
  <si>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</si>
  <si>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</si>
  <si>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</si>
  <si>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</si>
  <si>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</si>
  <si>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</si>
  <si>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</si>
  <si>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</si>
  <si>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</si>
  <si>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</si>
  <si>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</si>
  <si>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</si>
  <si>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</si>
  <si>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</si>
  <si>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</si>
  <si>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</si>
  <si>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</si>
  <si>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</si>
  <si>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</si>
  <si>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</si>
  <si>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</si>
  <si>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</si>
  <si>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</si>
  <si>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</si>
  <si>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</si>
  <si>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</si>
  <si>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</si>
  <si>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</si>
  <si>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</si>
  <si>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</si>
  <si>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</si>
  <si>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</si>
  <si>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</si>
  <si>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</si>
  <si>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</si>
  <si>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</si>
  <si>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</si>
  <si>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</si>
  <si>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</si>
  <si>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</si>
  <si>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</si>
  <si>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</si>
  <si>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</si>
  <si>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</si>
  <si>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</si>
  <si>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</si>
  <si>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</si>
  <si>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</si>
  <si>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</si>
  <si>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</si>
  <si>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</si>
  <si>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</si>
  <si>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</si>
  <si>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</si>
  <si>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</si>
  <si>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</si>
  <si>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</si>
  <si>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</si>
  <si>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</si>
  <si>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</si>
  <si>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</si>
  <si>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</si>
  <si>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</si>
  <si>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</si>
  <si>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</si>
  <si>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</si>
  <si>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</si>
  <si>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</si>
  <si>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</si>
  <si>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</si>
  <si>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</si>
  <si>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</si>
  <si>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</si>
  <si>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</si>
  <si>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</si>
  <si>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</si>
  <si>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</si>
  <si>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</si>
  <si>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</si>
  <si>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</si>
  <si>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</si>
  <si>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</si>
  <si>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</si>
  <si>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</si>
  <si>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</si>
  <si>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</si>
  <si>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</si>
  <si>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</si>
  <si>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</si>
  <si>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</si>
  <si>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</si>
  <si>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</si>
  <si>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</si>
  <si>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</si>
  <si>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</si>
  <si>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</si>
  <si>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</si>
  <si>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</si>
  <si>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</si>
  <si>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</si>
  <si>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</si>
  <si>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</si>
  <si>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</si>
  <si>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</si>
  <si>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</si>
  <si>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</si>
  <si>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</si>
  <si>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</si>
  <si>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</si>
  <si>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</si>
  <si>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</si>
  <si>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</si>
  <si>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</si>
  <si>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</si>
  <si>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</si>
  <si>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</si>
  <si>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</si>
  <si>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</si>
  <si>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</si>
  <si>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</si>
  <si>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</si>
  <si>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</si>
  <si>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</si>
  <si>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</si>
  <si>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</si>
  <si>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</si>
  <si>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</si>
  <si>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</si>
  <si>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</si>
  <si>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</si>
  <si>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</si>
  <si>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</si>
  <si>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</si>
  <si>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</si>
  <si>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</si>
  <si>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</si>
  <si>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</si>
  <si>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</si>
  <si>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</si>
  <si>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</si>
  <si>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</si>
  <si>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</si>
  <si>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</si>
  <si>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</si>
  <si>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</si>
  <si>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</si>
  <si>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</si>
  <si>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</si>
  <si>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</si>
  <si>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</si>
  <si>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</si>
  <si>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</si>
  <si>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</si>
  <si>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</si>
  <si>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</si>
  <si>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</si>
  <si>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</si>
  <si>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</si>
  <si>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</si>
  <si>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</si>
  <si>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</si>
  <si>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</si>
  <si>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</si>
  <si>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</si>
  <si>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</si>
  <si>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</si>
  <si>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</si>
  <si>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</si>
  <si>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</si>
  <si>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</si>
  <si>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</si>
  <si>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</si>
  <si>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</si>
  <si>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</si>
  <si>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</si>
  <si>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</si>
  <si>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</si>
  <si>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</si>
  <si>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</si>
  <si>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</si>
  <si>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</si>
  <si>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</si>
  <si>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</si>
  <si>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</si>
  <si>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</si>
  <si>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</si>
  <si>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</si>
  <si>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</si>
  <si>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</si>
  <si>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</si>
  <si>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</si>
  <si>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</si>
  <si>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</si>
  <si>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</si>
  <si>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</si>
  <si>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</si>
  <si>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</si>
  <si>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</si>
  <si>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</si>
  <si>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</si>
  <si>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</si>
  <si>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</si>
  <si>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</si>
  <si>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</si>
  <si>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</si>
  <si>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</si>
  <si>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</si>
  <si>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</si>
  <si>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</si>
  <si>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</si>
  <si>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</si>
  <si>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</si>
  <si>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</si>
  <si>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</si>
  <si>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</si>
  <si>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</si>
  <si>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</si>
  <si>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</si>
  <si>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</si>
  <si>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</si>
  <si>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</si>
  <si>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</si>
  <si>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</si>
  <si>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</si>
  <si>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</si>
  <si>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</si>
  <si>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</si>
  <si>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</si>
  <si>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</si>
  <si>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</si>
  <si>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</si>
  <si>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</si>
  <si>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</si>
  <si>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</si>
  <si>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</si>
  <si>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</si>
  <si>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</si>
  <si>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</si>
  <si>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</si>
  <si>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</si>
  <si>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</si>
  <si>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</si>
  <si>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</si>
  <si>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</si>
  <si>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</si>
  <si>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</si>
  <si>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</si>
  <si>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</si>
  <si>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</si>
  <si>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</si>
  <si>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</si>
  <si>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</si>
  <si>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</si>
  <si>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</si>
  <si>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</si>
  <si>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</si>
  <si>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</si>
  <si>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</si>
  <si>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</si>
  <si>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</si>
  <si>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</si>
  <si>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</si>
  <si>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</si>
  <si>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</si>
  <si>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</si>
  <si>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</si>
  <si>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</si>
  <si>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</si>
  <si>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</si>
  <si>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</si>
  <si>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</si>
  <si>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</si>
  <si>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</si>
  <si>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</si>
  <si>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</si>
  <si>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</si>
  <si>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</si>
  <si>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</si>
  <si>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</si>
  <si>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</si>
  <si>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</si>
  <si>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</si>
  <si>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</si>
  <si>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</si>
  <si>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</si>
  <si>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</si>
  <si>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</si>
  <si>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</si>
  <si>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</si>
  <si>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</si>
  <si>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</si>
  <si>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</si>
  <si>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</si>
  <si>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</si>
  <si>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</si>
  <si>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</si>
  <si>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</si>
  <si>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</si>
  <si>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</si>
  <si>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</si>
  <si>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</si>
  <si>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</si>
  <si>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</si>
  <si>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</si>
  <si>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</si>
  <si>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</si>
  <si>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</si>
  <si>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</si>
  <si>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</si>
  <si>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</si>
  <si>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</si>
  <si>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</si>
  <si>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</si>
  <si>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</si>
  <si>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</si>
  <si>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</si>
  <si>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</si>
  <si>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</si>
  <si>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</si>
  <si>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</si>
  <si>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</si>
  <si>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</si>
  <si>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</si>
  <si>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</si>
  <si>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</si>
  <si>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</si>
  <si>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</si>
  <si>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</si>
  <si>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</si>
  <si>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</si>
  <si>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</si>
  <si>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</si>
  <si>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</si>
  <si>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</si>
  <si>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</si>
  <si>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</si>
  <si>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</si>
  <si>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</si>
  <si>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</si>
  <si>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</si>
  <si>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</si>
  <si>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</si>
  <si>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</si>
  <si>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</si>
  <si>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</si>
  <si>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</si>
  <si>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</si>
  <si>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</si>
  <si>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</si>
  <si>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</si>
  <si>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</si>
  <si>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</si>
  <si>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</si>
  <si>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</si>
  <si>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</si>
  <si>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</si>
  <si>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</si>
  <si>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</si>
  <si>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</si>
  <si>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</si>
  <si>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</si>
  <si>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</si>
  <si>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</si>
  <si>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</si>
  <si>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</si>
  <si>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</si>
  <si>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</si>
  <si>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</si>
  <si>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</si>
  <si>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</si>
  <si>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</si>
  <si>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</si>
  <si>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</si>
  <si>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</si>
  <si>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</si>
  <si>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</si>
  <si>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</si>
  <si>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</si>
  <si>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</si>
  <si>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</si>
  <si>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</si>
  <si>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</si>
  <si>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</si>
  <si>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</si>
  <si>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</si>
  <si>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</si>
  <si>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</si>
  <si>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</si>
  <si>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</si>
  <si>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</si>
  <si>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</si>
  <si>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</si>
  <si>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</si>
  <si>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</si>
  <si>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</si>
  <si>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</si>
  <si>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</si>
  <si>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</si>
  <si>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</si>
  <si>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</si>
  <si>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</si>
  <si>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</si>
  <si>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</si>
  <si>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</si>
  <si>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</si>
  <si>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</si>
  <si>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</si>
  <si>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</si>
  <si>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</si>
  <si>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</si>
  <si>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</si>
  <si>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</si>
  <si>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</si>
  <si>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</si>
  <si>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</si>
  <si>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</si>
  <si>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</si>
  <si>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</si>
  <si>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</si>
  <si>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</si>
  <si>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</si>
  <si>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</si>
  <si>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</si>
  <si>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</si>
  <si>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</si>
  <si>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</si>
  <si>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</si>
  <si>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</si>
  <si>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</si>
  <si>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</si>
  <si>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</si>
  <si>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</si>
  <si>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</si>
  <si>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</si>
  <si>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</si>
  <si>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</si>
  <si>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</si>
  <si>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</si>
  <si>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</si>
  <si>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</si>
  <si>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</si>
  <si>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</si>
  <si>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</si>
  <si>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</si>
  <si>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</si>
  <si>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</si>
  <si>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</si>
  <si>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</si>
  <si>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</si>
  <si>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</si>
  <si>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</si>
  <si>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</si>
  <si>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</si>
  <si>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</si>
  <si>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</si>
  <si>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</si>
  <si>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</si>
  <si>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</si>
  <si>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</si>
  <si>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</si>
  <si>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</si>
  <si>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</si>
  <si>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</si>
  <si>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</si>
  <si>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</si>
  <si>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</si>
  <si>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</si>
  <si>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</si>
  <si>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</si>
  <si>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</si>
  <si>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</si>
  <si>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</si>
  <si>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</si>
  <si>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</si>
  <si>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</si>
  <si>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</si>
  <si>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</si>
  <si>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</si>
  <si>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</si>
  <si>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</si>
  <si>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</si>
  <si>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</si>
  <si>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</si>
  <si>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</si>
  <si>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</si>
  <si>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</si>
  <si>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</si>
  <si>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</si>
  <si>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</si>
  <si>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</si>
  <si>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</si>
  <si>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</si>
  <si>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</si>
  <si>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</si>
  <si>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</si>
  <si>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</si>
  <si>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</si>
  <si>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</si>
  <si>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</si>
  <si>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</si>
  <si>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</si>
  <si>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</si>
  <si>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</si>
  <si>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</si>
  <si>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</si>
  <si>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</si>
  <si>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</si>
  <si>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</si>
  <si>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</si>
  <si>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</si>
  <si>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</si>
  <si>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</si>
  <si>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</si>
  <si>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</si>
  <si>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</si>
  <si>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</si>
  <si>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</si>
  <si>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</si>
  <si>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</si>
  <si>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</si>
  <si>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</si>
  <si>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</si>
  <si>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</si>
  <si>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</si>
  <si>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</si>
  <si>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</si>
  <si>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</si>
  <si>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</si>
  <si>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</si>
  <si>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</si>
  <si>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</si>
  <si>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</si>
  <si>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</si>
  <si>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</si>
  <si>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</si>
  <si>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</si>
  <si>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</si>
  <si>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</si>
  <si>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</si>
  <si>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</si>
  <si>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</si>
  <si>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</si>
  <si>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</si>
  <si>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</si>
  <si>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</si>
  <si>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</si>
  <si>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</si>
  <si>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</si>
  <si>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</si>
  <si>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</si>
  <si>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</si>
  <si>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</si>
  <si>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</si>
  <si>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</si>
  <si>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</si>
  <si>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</si>
  <si>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</si>
  <si>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</si>
  <si>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</si>
  <si>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</si>
  <si>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</si>
  <si>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</si>
  <si>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</si>
  <si>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</si>
  <si>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</si>
  <si>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</si>
  <si>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</si>
  <si>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</si>
  <si>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</si>
  <si>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</si>
  <si>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</si>
  <si>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</si>
  <si>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</si>
  <si>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</si>
  <si>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</si>
  <si>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</si>
  <si>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</si>
  <si>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</si>
  <si>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</si>
  <si>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</si>
  <si>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</si>
  <si>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</si>
  <si>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</si>
  <si>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</si>
  <si>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</si>
  <si>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</si>
  <si>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</si>
  <si>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</si>
  <si>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</si>
  <si>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</si>
  <si>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</si>
  <si>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</si>
  <si>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</si>
  <si>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</si>
  <si>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</si>
  <si>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</si>
  <si>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</si>
  <si>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</si>
  <si>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</si>
  <si>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</si>
  <si>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</si>
  <si>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</si>
  <si>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</si>
  <si>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</si>
  <si>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</si>
  <si>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</si>
  <si>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</si>
  <si>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</si>
  <si>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</si>
  <si>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</si>
  <si>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</si>
  <si>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</si>
  <si>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</si>
  <si>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</si>
  <si>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</si>
  <si>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</si>
  <si>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</si>
  <si>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</si>
  <si>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</si>
  <si>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</si>
  <si>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</si>
  <si>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</si>
  <si>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</si>
  <si>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</si>
  <si>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</si>
  <si>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</si>
  <si>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</si>
  <si>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</si>
  <si>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</si>
  <si>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</si>
  <si>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</si>
  <si>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</si>
  <si>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</si>
  <si>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</si>
  <si>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</si>
  <si>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</si>
  <si>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</si>
  <si>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</si>
  <si>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</si>
  <si>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</si>
  <si>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</si>
  <si>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</si>
  <si>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</si>
  <si>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</si>
  <si>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</si>
  <si>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</si>
  <si>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</si>
  <si>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</si>
  <si>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</si>
  <si>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</si>
  <si>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</si>
  <si>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</si>
  <si>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</si>
  <si>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</si>
  <si>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</si>
  <si>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</si>
  <si>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</si>
  <si>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</si>
  <si>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</si>
  <si>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</si>
  <si>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</si>
  <si>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</si>
  <si>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</si>
  <si>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</si>
  <si>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</si>
  <si>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</si>
  <si>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</si>
  <si>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</si>
  <si>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</si>
  <si>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</si>
  <si>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</si>
  <si>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</si>
  <si>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</si>
  <si>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</si>
  <si>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</si>
  <si>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</si>
  <si>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</si>
  <si>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</si>
  <si>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</si>
  <si>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</si>
  <si>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</si>
  <si>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</si>
  <si>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</si>
  <si>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</si>
  <si>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</si>
  <si>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</si>
  <si>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</si>
  <si>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</si>
  <si>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</si>
  <si>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</si>
  <si>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</si>
  <si>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</si>
  <si>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</si>
  <si>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</si>
  <si>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</si>
  <si>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</si>
  <si>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</si>
  <si>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</si>
  <si>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</si>
  <si>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</si>
  <si>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</si>
  <si>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</si>
  <si>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</si>
  <si>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</si>
  <si>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</si>
  <si>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</si>
  <si>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</si>
  <si>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</si>
  <si>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</si>
  <si>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</si>
  <si>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</si>
  <si>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</si>
  <si>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</si>
  <si>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</si>
  <si>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</si>
  <si>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</si>
  <si>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</si>
  <si>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</si>
  <si>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</si>
  <si>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</si>
  <si>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</si>
  <si>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</si>
  <si>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</si>
  <si>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</si>
  <si>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</si>
  <si>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</si>
  <si>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</si>
  <si>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</si>
  <si>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</si>
  <si>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</si>
  <si>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</si>
  <si>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</si>
  <si>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</si>
  <si>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</si>
  <si>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</si>
  <si>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</si>
  <si>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</si>
  <si>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</si>
  <si>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</si>
  <si>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</si>
  <si>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</si>
  <si>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</si>
  <si>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</si>
  <si>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</si>
  <si>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</si>
  <si>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</si>
  <si>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</si>
  <si>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</si>
  <si>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</si>
  <si>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</si>
  <si>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</si>
  <si>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</si>
  <si>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</si>
  <si>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</si>
  <si>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</si>
  <si>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</si>
  <si>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</si>
  <si>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</si>
  <si>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</si>
  <si>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</si>
  <si>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</si>
  <si>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</si>
  <si>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</si>
  <si>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</si>
  <si>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</si>
  <si>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</si>
  <si>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</si>
  <si>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</si>
  <si>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</si>
  <si>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</si>
  <si>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</si>
  <si>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</si>
  <si>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</si>
  <si>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</si>
  <si>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</si>
  <si>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</si>
  <si>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</si>
  <si>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</si>
  <si>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</si>
  <si>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</si>
  <si>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</si>
  <si>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</si>
  <si>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</si>
  <si>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</si>
  <si>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</si>
  <si>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</si>
  <si>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</si>
  <si>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</si>
  <si>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</si>
  <si>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</si>
  <si>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</si>
  <si>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</si>
  <si>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</si>
  <si>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</si>
  <si>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</si>
  <si>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</si>
  <si>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</si>
  <si>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</si>
  <si>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</si>
  <si>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</si>
  <si>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</si>
  <si>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</si>
  <si>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</si>
  <si>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</si>
  <si>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</si>
  <si>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</si>
  <si>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</si>
  <si>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</si>
  <si>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</si>
  <si>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</si>
  <si>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</si>
  <si>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</si>
  <si>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</si>
  <si>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</si>
  <si>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</si>
  <si>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</si>
  <si>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</si>
  <si>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</si>
  <si>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</si>
  <si>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</si>
  <si>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</si>
  <si>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</si>
  <si>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</si>
  <si>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</si>
  <si>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</si>
  <si>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</si>
  <si>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</si>
  <si>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</si>
  <si>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</si>
  <si>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</si>
  <si>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</si>
  <si>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</si>
  <si>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</si>
  <si>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</si>
  <si>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</si>
  <si>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</si>
  <si>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</si>
  <si>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</si>
  <si>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</si>
  <si>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</si>
  <si>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</si>
  <si>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</si>
  <si>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</si>
  <si>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</si>
  <si>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</si>
  <si>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</si>
  <si>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</si>
  <si>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</si>
  <si>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</si>
  <si>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</si>
  <si>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</si>
  <si>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</si>
  <si>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</si>
  <si>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</si>
  <si>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</si>
  <si>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</si>
  <si>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</si>
  <si>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</si>
  <si>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</si>
  <si>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</si>
  <si>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</si>
  <si>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</si>
  <si>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</si>
  <si>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</si>
  <si>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</si>
  <si>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</si>
  <si>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</si>
  <si>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</si>
  <si>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</si>
  <si>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</si>
  <si>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</si>
  <si>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</si>
  <si>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</si>
  <si>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</si>
  <si>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</si>
  <si>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</si>
  <si>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</si>
  <si>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</si>
  <si>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</si>
  <si>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</si>
  <si>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</si>
  <si>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</si>
  <si>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</si>
  <si>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</si>
  <si>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</si>
  <si>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</si>
  <si>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</si>
  <si>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</si>
  <si>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</si>
  <si>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</si>
  <si>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</si>
  <si>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</si>
  <si>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</si>
  <si>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</si>
  <si>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</si>
  <si>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</si>
  <si>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</si>
  <si>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</si>
  <si>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</si>
  <si>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</si>
  <si>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</si>
  <si>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</si>
  <si>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</si>
  <si>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</si>
  <si>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</si>
  <si>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</si>
  <si>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</si>
  <si>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</si>
  <si>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</si>
  <si>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</si>
  <si>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</si>
  <si>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</si>
  <si>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</si>
  <si>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</si>
  <si>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</si>
  <si>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</si>
  <si>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</si>
  <si>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</si>
  <si>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</si>
  <si>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</si>
  <si>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</si>
  <si>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</si>
  <si>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</si>
  <si>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</si>
  <si>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</si>
  <si>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</si>
  <si>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</si>
  <si>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</si>
  <si>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</si>
  <si>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</si>
  <si>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</si>
  <si>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</si>
  <si>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</si>
  <si>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</si>
  <si>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</si>
  <si>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</si>
  <si>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</si>
  <si>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</si>
  <si>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</si>
  <si>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</si>
  <si>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</si>
  <si>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</si>
  <si>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</si>
  <si>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</si>
  <si>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</si>
  <si>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</si>
  <si>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</si>
  <si>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</si>
  <si>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</si>
  <si>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</si>
  <si>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</si>
  <si>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</si>
  <si>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</si>
  <si>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</si>
  <si>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</si>
  <si>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</si>
  <si>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</si>
  <si>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</si>
  <si>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</si>
  <si>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</si>
  <si>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</si>
  <si>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</si>
  <si>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</si>
  <si>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</si>
  <si>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</si>
  <si>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</si>
  <si>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</si>
  <si>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</si>
  <si>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</si>
  <si>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</si>
  <si>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</si>
  <si>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</si>
  <si>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</si>
  <si>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</si>
  <si>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</si>
  <si>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</si>
  <si>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</si>
  <si>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</si>
  <si>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</si>
  <si>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</si>
  <si>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</si>
  <si>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</si>
  <si>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</si>
  <si>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</si>
  <si>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</si>
  <si>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</si>
  <si>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</si>
  <si>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</si>
  <si>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</si>
  <si>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</si>
  <si>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</si>
  <si>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</si>
  <si>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</si>
  <si>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</si>
  <si>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</si>
  <si>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</si>
  <si>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</si>
  <si>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</si>
  <si>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</si>
  <si>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</si>
  <si>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</si>
  <si>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</si>
  <si>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</si>
  <si>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</si>
  <si>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</si>
  <si>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</si>
  <si>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</si>
  <si>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</si>
  <si>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</si>
  <si>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</si>
  <si>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</si>
  <si>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</si>
  <si>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</si>
  <si>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</si>
  <si>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</si>
  <si>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</si>
  <si>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</si>
  <si>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</si>
  <si>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</si>
  <si>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</si>
  <si>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</si>
  <si>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</si>
  <si>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</si>
  <si>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</si>
  <si>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</si>
  <si>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</si>
  <si>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</si>
  <si>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</si>
  <si>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</si>
  <si>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</si>
  <si>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</si>
  <si>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</si>
  <si>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</si>
  <si>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</si>
  <si>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</si>
  <si>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</si>
  <si>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</si>
  <si>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</si>
  <si>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</si>
  <si>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</si>
  <si>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</si>
  <si>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</si>
  <si>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</si>
  <si>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</si>
  <si>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</si>
  <si>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</si>
  <si>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</si>
  <si>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</si>
  <si>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</si>
  <si>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</si>
  <si>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</si>
  <si>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</si>
  <si>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</si>
  <si>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</si>
  <si>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</si>
  <si>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</si>
  <si>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</si>
  <si>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</si>
  <si>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</si>
  <si>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</si>
  <si>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</si>
  <si>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</si>
  <si>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</si>
  <si>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</si>
  <si>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</si>
  <si>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</si>
  <si>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</si>
  <si>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</si>
  <si>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</si>
  <si>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</si>
  <si>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</si>
  <si>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</si>
  <si>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</si>
  <si>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</si>
  <si>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</si>
  <si>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</si>
  <si>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</si>
  <si>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</si>
  <si>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</si>
  <si>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</si>
  <si>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</si>
  <si>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</si>
  <si>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</si>
  <si>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</si>
  <si>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</si>
  <si>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</si>
  <si>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</si>
  <si>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</si>
  <si>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</si>
  <si>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</si>
  <si>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</si>
  <si>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</si>
  <si>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</si>
  <si>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</si>
  <si>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</si>
  <si>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</si>
  <si>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</si>
  <si>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</si>
  <si>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</si>
  <si>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</si>
  <si>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</si>
  <si>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</si>
  <si>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</si>
  <si>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</si>
  <si>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</si>
  <si>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</si>
  <si>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</si>
  <si>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</si>
  <si>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</si>
  <si>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</si>
  <si>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</si>
  <si>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</si>
  <si>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</si>
  <si>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</si>
  <si>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</si>
  <si>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</si>
  <si>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</si>
  <si>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</si>
  <si>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</si>
  <si>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</si>
  <si>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</si>
  <si>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</si>
  <si>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</si>
  <si>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</si>
  <si>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</si>
  <si>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</si>
  <si>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</si>
  <si>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</si>
  <si>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</si>
  <si>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</si>
  <si>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</si>
  <si>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</si>
  <si>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</si>
  <si>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</si>
  <si>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</si>
  <si>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</si>
  <si>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</si>
  <si>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</si>
  <si>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</si>
  <si>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</si>
  <si>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</si>
  <si>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</si>
  <si>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</si>
  <si>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</si>
  <si>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</si>
  <si>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</si>
  <si>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</si>
  <si>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</si>
  <si>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</si>
  <si>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</si>
  <si>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</si>
  <si>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</si>
  <si>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</si>
  <si>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</si>
  <si>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</si>
  <si>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</si>
  <si>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</si>
  <si>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</si>
  <si>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</si>
  <si>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</si>
  <si>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</si>
  <si>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</si>
  <si>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</si>
  <si>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</si>
  <si>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</si>
  <si>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</si>
  <si>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</si>
  <si>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</si>
  <si>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</si>
  <si>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</si>
  <si>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</si>
  <si>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</si>
  <si>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</si>
  <si>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</si>
  <si>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</si>
  <si>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</si>
  <si>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</si>
  <si>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</si>
  <si>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</si>
  <si>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</si>
  <si>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</si>
  <si>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</si>
  <si>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</si>
  <si>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</si>
  <si>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</si>
  <si>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</si>
  <si>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</si>
  <si>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</si>
  <si>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</si>
  <si>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</si>
  <si>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</si>
  <si>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</si>
  <si>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</si>
  <si>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</si>
  <si>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</si>
  <si>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</si>
  <si>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</si>
  <si>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</si>
  <si>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</si>
  <si>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</si>
  <si>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</si>
  <si>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</si>
  <si>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</si>
  <si>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</si>
  <si>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</si>
  <si>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</si>
  <si>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</si>
  <si>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</si>
  <si>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</si>
  <si>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</si>
  <si>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</si>
  <si>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</si>
  <si>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</si>
  <si>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</si>
  <si>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</si>
  <si>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</si>
  <si>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</si>
  <si>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</si>
  <si>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</si>
  <si>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</si>
  <si>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</si>
  <si>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</si>
  <si>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</si>
  <si>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</si>
  <si>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</si>
  <si>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</si>
  <si>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</si>
  <si>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</si>
  <si>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</si>
  <si>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</si>
  <si>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</si>
  <si>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</si>
  <si>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</si>
  <si>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</si>
  <si>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</si>
  <si>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</si>
  <si>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</si>
  <si>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</si>
  <si>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</si>
  <si>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</si>
  <si>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</si>
  <si>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</si>
  <si>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</si>
  <si>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</si>
  <si>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</si>
  <si>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</si>
  <si>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</si>
  <si>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</si>
  <si>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</si>
  <si>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</si>
  <si>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</si>
  <si>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</si>
  <si>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</si>
  <si>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</si>
  <si>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</si>
  <si>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</si>
  <si>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</si>
  <si>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</si>
  <si>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</si>
  <si>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</si>
  <si>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</si>
  <si>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</si>
  <si>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</si>
  <si>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</si>
  <si>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</si>
  <si>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</si>
  <si>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</si>
  <si>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</si>
  <si>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</si>
  <si>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</si>
  <si>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</si>
  <si>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</si>
  <si>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</si>
  <si>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</si>
  <si>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</si>
  <si>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</si>
  <si>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</si>
  <si>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</si>
  <si>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</si>
  <si>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</si>
  <si>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</si>
  <si>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</si>
  <si>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</si>
  <si>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</si>
  <si>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</si>
  <si>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</si>
  <si>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</si>
  <si>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</si>
  <si>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</si>
  <si>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</si>
  <si>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</si>
  <si>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</si>
  <si>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</si>
  <si>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</si>
  <si>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</si>
  <si>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</si>
  <si>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</si>
  <si>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</si>
  <si>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</si>
  <si>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</si>
  <si>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</si>
  <si>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</si>
  <si>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</si>
  <si>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</si>
  <si>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</si>
  <si>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</si>
  <si>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</si>
  <si>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</si>
  <si>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</si>
  <si>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</si>
  <si>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</si>
  <si>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</si>
  <si>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</si>
  <si>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</si>
  <si>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</si>
  <si>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</si>
  <si>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</si>
  <si>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</si>
  <si>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</si>
  <si>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</si>
  <si>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</si>
  <si>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</si>
  <si>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</si>
  <si>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</si>
  <si>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</si>
  <si>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</si>
  <si>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</si>
  <si>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</si>
  <si>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</si>
  <si>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</si>
  <si>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</si>
  <si>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</si>
  <si>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</si>
  <si>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</si>
  <si>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</si>
  <si>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</si>
  <si>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</si>
  <si>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</si>
  <si>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</si>
  <si>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</si>
  <si>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</si>
  <si>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</si>
  <si>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</si>
  <si>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</si>
  <si>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</si>
  <si>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</si>
  <si>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</si>
  <si>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</si>
  <si>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</si>
  <si>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</si>
  <si>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</si>
  <si>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</si>
  <si>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</si>
  <si>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</si>
  <si>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</si>
  <si>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</si>
  <si>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</si>
  <si>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</si>
  <si>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</si>
  <si>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</si>
  <si>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</si>
  <si>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</si>
  <si>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</si>
  <si>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</si>
  <si>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</si>
  <si>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</si>
  <si>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</si>
  <si>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</si>
  <si>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</si>
  <si>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</si>
  <si>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</si>
  <si>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</si>
  <si>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</si>
  <si>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</si>
  <si>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</si>
  <si>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</si>
  <si>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</si>
  <si>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</si>
  <si>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</si>
  <si>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</si>
  <si>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</si>
  <si>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</si>
  <si>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</si>
  <si>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</si>
  <si>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</si>
  <si>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</si>
  <si>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</si>
  <si>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</si>
  <si>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</si>
  <si>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</si>
  <si>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</si>
  <si>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</si>
  <si>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</si>
  <si>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</si>
  <si>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</si>
  <si>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</si>
  <si>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</si>
  <si>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</si>
  <si>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</si>
  <si>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</si>
  <si>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</si>
  <si>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</si>
  <si>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</si>
  <si>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</si>
  <si>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</si>
  <si>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</si>
  <si>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</si>
  <si>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</si>
  <si>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</si>
  <si>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</si>
  <si>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</si>
  <si>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</si>
  <si>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</si>
  <si>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</si>
  <si>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</si>
  <si>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</si>
  <si>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</si>
  <si>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</si>
  <si>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</si>
  <si>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</si>
  <si>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</si>
  <si>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</si>
  <si>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</si>
  <si>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</si>
  <si>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</si>
  <si>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</si>
  <si>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</si>
  <si>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</si>
  <si>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</si>
  <si>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</si>
  <si>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</si>
  <si>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</si>
  <si>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</si>
  <si>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</si>
  <si>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</si>
  <si>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</si>
  <si>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</si>
  <si>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</si>
  <si>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</si>
  <si>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</si>
  <si>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</si>
  <si>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</si>
  <si>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</si>
  <si>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</si>
  <si>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</si>
  <si>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</si>
  <si>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</si>
  <si>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</si>
  <si>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</si>
  <si>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</si>
  <si>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</si>
  <si>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</si>
  <si>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</si>
  <si>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</si>
  <si>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</si>
  <si>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</si>
  <si>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</si>
  <si>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</si>
  <si>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</si>
  <si>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</si>
  <si>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</si>
  <si>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</si>
  <si>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</si>
  <si>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</si>
  <si>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</si>
  <si>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</si>
  <si>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</si>
  <si>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</si>
  <si>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</si>
  <si>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</si>
  <si>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</si>
  <si>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</si>
  <si>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</si>
  <si>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</si>
  <si>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</si>
  <si>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</si>
  <si>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</si>
  <si>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</si>
  <si>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</si>
  <si>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</si>
  <si>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</si>
  <si>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</si>
  <si>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</si>
  <si>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</si>
  <si>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</si>
  <si>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</si>
  <si>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</si>
  <si>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</si>
  <si>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</si>
  <si>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</si>
  <si>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</si>
  <si>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</si>
  <si>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</si>
  <si>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</si>
  <si>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</si>
  <si>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</si>
  <si>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</si>
  <si>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</si>
  <si>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</si>
  <si>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</si>
  <si>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</si>
  <si>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</si>
  <si>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</si>
  <si>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</si>
  <si>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</si>
  <si>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</si>
  <si>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</si>
  <si>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</si>
  <si>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</si>
  <si>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</si>
  <si>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</si>
  <si>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</si>
  <si>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</si>
  <si>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</si>
  <si>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</si>
  <si>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</si>
  <si>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</si>
  <si>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</si>
  <si>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</si>
  <si>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</si>
  <si>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</si>
  <si>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</si>
  <si>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</si>
  <si>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</si>
  <si>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</si>
  <si>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</si>
  <si>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</si>
  <si>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</si>
  <si>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</si>
  <si>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</si>
  <si>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</si>
  <si>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</si>
  <si>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</si>
  <si>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</si>
  <si>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</si>
  <si>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</si>
  <si>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</si>
  <si>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</si>
  <si>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</si>
  <si>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</si>
  <si>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</si>
  <si>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</si>
  <si>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</si>
  <si>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</si>
  <si>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</si>
  <si>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</si>
  <si>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</si>
  <si>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</si>
  <si>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</si>
  <si>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</si>
  <si>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</si>
  <si>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</si>
  <si>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</si>
  <si>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</si>
  <si>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</si>
  <si>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</si>
  <si>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</si>
  <si>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</si>
  <si>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</si>
  <si>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</si>
  <si>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</si>
  <si>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</si>
  <si>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</si>
  <si>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</si>
  <si>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</si>
  <si>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</si>
  <si>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</si>
  <si>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</si>
  <si>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</si>
  <si>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</si>
  <si>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</si>
  <si>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</si>
  <si>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</si>
  <si>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</si>
  <si>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</si>
  <si>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</si>
  <si>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</si>
  <si>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</si>
  <si>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</si>
  <si>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</si>
  <si>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</si>
  <si>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</si>
  <si>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</si>
  <si>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</si>
  <si>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</si>
  <si>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</si>
  <si>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</si>
  <si>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</si>
  <si>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</si>
  <si>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</si>
  <si>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</si>
  <si>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</si>
  <si>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</si>
  <si>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</si>
  <si>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</si>
  <si>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</si>
  <si>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</si>
  <si>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</si>
  <si>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</si>
  <si>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</si>
  <si>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</si>
  <si>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</si>
  <si>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</si>
  <si>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</si>
  <si>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</si>
  <si>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</si>
  <si>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</si>
  <si>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</si>
  <si>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</si>
  <si>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</si>
  <si>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</si>
  <si>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</si>
  <si>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</si>
  <si>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</si>
  <si>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</si>
  <si>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</si>
  <si>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</si>
  <si>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</si>
  <si>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</si>
  <si>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</si>
  <si>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</si>
  <si>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</si>
  <si>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</si>
  <si>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</si>
  <si>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</si>
  <si>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</si>
  <si>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</si>
  <si>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</si>
  <si>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</si>
  <si>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</si>
  <si>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</si>
  <si>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</si>
  <si>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</si>
  <si>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</si>
  <si>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</si>
  <si>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</si>
  <si>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</si>
  <si>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</si>
  <si>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</si>
  <si>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</si>
  <si>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</si>
  <si>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</si>
  <si>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</si>
  <si>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</si>
  <si>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</si>
  <si>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</si>
  <si>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</si>
  <si>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</si>
  <si>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</si>
  <si>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</si>
  <si>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</si>
  <si>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</si>
  <si>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</si>
  <si>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</si>
  <si>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</si>
  <si>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</si>
  <si>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</si>
  <si>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</si>
  <si>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</si>
  <si>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</si>
  <si>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</si>
  <si>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</si>
  <si>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</si>
  <si>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</si>
  <si>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</si>
  <si>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</si>
  <si>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</si>
  <si>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</si>
  <si>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</si>
  <si>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</si>
  <si>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</si>
  <si>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</si>
  <si>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</si>
  <si>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</si>
  <si>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</si>
  <si>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</si>
  <si>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</si>
  <si>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</si>
  <si>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</si>
  <si>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</si>
  <si>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</si>
  <si>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</si>
  <si>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</si>
  <si>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</si>
  <si>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</si>
  <si>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</si>
  <si>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</si>
  <si>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</si>
  <si>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</si>
  <si>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</si>
  <si>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</si>
  <si>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</si>
  <si>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</si>
  <si>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</si>
  <si>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</si>
  <si>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</si>
  <si>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</si>
  <si>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</si>
  <si>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</si>
  <si>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</si>
  <si>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</si>
  <si>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</si>
  <si>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</si>
  <si>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</si>
  <si>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</si>
  <si>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</si>
  <si>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</si>
  <si>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</si>
  <si>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</si>
  <si>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</si>
  <si>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</si>
  <si>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</si>
  <si>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</si>
  <si>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</si>
  <si>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</si>
  <si>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</si>
  <si>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</si>
  <si>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</si>
  <si>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</si>
  <si>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</si>
  <si>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</si>
  <si>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</si>
  <si>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</si>
  <si>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</si>
  <si>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</si>
  <si>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</si>
  <si>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</si>
  <si>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</si>
  <si>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</si>
  <si>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</si>
  <si>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</si>
  <si>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</si>
  <si>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</si>
  <si>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</si>
  <si>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</si>
  <si>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</si>
  <si>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</si>
  <si>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</si>
  <si>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</si>
  <si>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</si>
  <si>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</si>
  <si>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</si>
  <si>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</si>
  <si>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</si>
  <si>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</si>
  <si>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</si>
  <si>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</si>
  <si>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</si>
  <si>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</si>
  <si>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</si>
  <si>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</si>
  <si>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</si>
  <si>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</si>
  <si>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</si>
  <si>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</si>
  <si>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</si>
  <si>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</si>
  <si>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</si>
  <si>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</si>
  <si>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</si>
  <si>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</si>
  <si>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</si>
  <si>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</si>
  <si>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</si>
  <si>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</si>
  <si>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</si>
  <si>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</si>
  <si>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</si>
  <si>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</si>
  <si>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</si>
  <si>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</si>
  <si>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</si>
  <si>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</si>
  <si>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</si>
  <si>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</si>
  <si>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</si>
  <si>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</si>
  <si>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</si>
  <si>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</si>
  <si>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</si>
  <si>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</si>
  <si>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</si>
  <si>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</si>
  <si>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</si>
  <si>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</si>
  <si>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</si>
  <si>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</si>
  <si>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</si>
  <si>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</si>
  <si>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</si>
  <si>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</si>
  <si>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</si>
  <si>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</si>
  <si>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</si>
  <si>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</si>
  <si>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</si>
  <si>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</si>
  <si>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</si>
  <si>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</si>
  <si>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</si>
  <si>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</si>
  <si>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</si>
  <si>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</si>
  <si>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</si>
  <si>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</si>
  <si>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</si>
  <si>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</si>
  <si>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</si>
  <si>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</si>
  <si>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</si>
  <si>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</si>
  <si>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</si>
  <si>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</si>
  <si>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</si>
  <si>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</si>
  <si>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</si>
  <si>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</si>
  <si>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</si>
  <si>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</si>
  <si>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</si>
  <si>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</si>
  <si>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</si>
  <si>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</si>
  <si>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</si>
  <si>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</si>
  <si>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</si>
  <si>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</si>
  <si>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</si>
  <si>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</si>
  <si>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</si>
  <si>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</si>
  <si>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</si>
  <si>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</si>
  <si>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</si>
  <si>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</si>
  <si>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</si>
  <si>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</si>
  <si>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</si>
  <si>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</si>
  <si>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</si>
  <si>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</si>
  <si>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</si>
  <si>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</si>
  <si>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</si>
  <si>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</si>
  <si>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</si>
  <si>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</si>
  <si>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</si>
  <si>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</si>
  <si>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</si>
  <si>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</si>
  <si>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</si>
  <si>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</si>
  <si>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</si>
  <si>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</si>
  <si>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</si>
  <si>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</si>
  <si>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</si>
  <si>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</si>
  <si>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</si>
  <si>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</si>
  <si>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</si>
  <si>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</si>
  <si>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</si>
  <si>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</si>
  <si>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</si>
  <si>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</si>
  <si>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</si>
  <si>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</si>
  <si>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</si>
  <si>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</si>
  <si>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</si>
  <si>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</si>
  <si>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</si>
  <si>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</si>
  <si>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</si>
  <si>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</si>
  <si>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</si>
  <si>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</si>
  <si>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</si>
  <si>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</si>
  <si>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</si>
  <si>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</si>
  <si>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</si>
  <si>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</si>
  <si>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</si>
  <si>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</si>
  <si>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</si>
  <si>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</si>
  <si>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</si>
  <si>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</si>
  <si>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</si>
  <si>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</si>
  <si>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</si>
  <si>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</si>
  <si>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</si>
  <si>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</si>
  <si>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</si>
  <si>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</si>
  <si>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</si>
  <si>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</si>
  <si>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</si>
  <si>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</si>
  <si>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</si>
  <si>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</si>
  <si>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</si>
  <si>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</si>
  <si>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</si>
  <si>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</si>
  <si>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</si>
  <si>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</si>
  <si>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</si>
  <si>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</si>
  <si>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</si>
  <si>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</si>
  <si>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</si>
  <si>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</si>
  <si>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</si>
  <si>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</si>
  <si>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</si>
  <si>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</si>
  <si>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</si>
  <si>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</si>
  <si>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</si>
  <si>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</si>
  <si>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</si>
  <si>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</si>
  <si>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</si>
  <si>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</si>
  <si>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</si>
  <si>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</si>
  <si>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</si>
  <si>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</si>
  <si>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</si>
  <si>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</si>
  <si>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</si>
  <si>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</si>
  <si>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</si>
  <si>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</si>
  <si>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</si>
  <si>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</si>
  <si>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</si>
  <si>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</si>
  <si>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</si>
  <si>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</si>
  <si>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</si>
  <si>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</si>
  <si>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</si>
  <si>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</si>
  <si>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</si>
  <si>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</si>
  <si>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</si>
  <si>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</si>
  <si>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</si>
  <si>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</si>
  <si>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</si>
  <si>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</si>
  <si>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</si>
  <si>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</si>
  <si>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</si>
  <si>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</si>
  <si>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</si>
  <si>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</si>
  <si>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</si>
  <si>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</si>
  <si>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</si>
  <si>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</si>
  <si>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</si>
  <si>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</si>
  <si>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</si>
  <si>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</si>
  <si>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</si>
  <si>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</si>
  <si>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</si>
  <si>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</si>
  <si>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</si>
  <si>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</si>
  <si>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</si>
  <si>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</si>
  <si>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</si>
  <si>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</si>
  <si>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</si>
  <si>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</si>
  <si>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</si>
  <si>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</si>
  <si>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</si>
  <si>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</si>
  <si>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</si>
  <si>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</si>
  <si>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</si>
  <si>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</si>
  <si>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</si>
  <si>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</si>
  <si>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</si>
  <si>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</si>
  <si>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</si>
  <si>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</si>
  <si>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</si>
  <si>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</si>
  <si>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</si>
  <si>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</si>
  <si>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</si>
  <si>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</si>
  <si>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</si>
  <si>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</si>
  <si>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</si>
  <si>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</si>
  <si>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</si>
  <si>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</si>
  <si>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</si>
  <si>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</si>
  <si>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</si>
  <si>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</si>
  <si>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</si>
  <si>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</si>
  <si>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</si>
  <si>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</si>
  <si>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</si>
  <si>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</si>
  <si>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</si>
  <si>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</si>
  <si>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</si>
  <si>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</si>
  <si>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</si>
  <si>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</si>
  <si>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</si>
  <si>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</si>
  <si>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</si>
  <si>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</si>
  <si>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</si>
  <si>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</si>
  <si>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</si>
  <si>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</si>
  <si>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</si>
  <si>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</si>
  <si>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</si>
  <si>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</si>
  <si>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</si>
  <si>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</si>
  <si>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</si>
  <si>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</si>
  <si>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</si>
  <si>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</si>
  <si>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</si>
  <si>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</si>
  <si>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</si>
  <si>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</si>
  <si>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</si>
  <si>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</si>
  <si>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</si>
  <si>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</si>
  <si>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</si>
  <si>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</si>
  <si>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</si>
  <si>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</si>
  <si>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</si>
  <si>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</si>
  <si>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</si>
  <si>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</si>
  <si>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</si>
  <si>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</si>
  <si>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</si>
  <si>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</si>
  <si>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</si>
  <si>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</si>
  <si>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</si>
  <si>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</si>
  <si>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</si>
  <si>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</si>
  <si>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</si>
  <si>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</si>
  <si>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</si>
  <si>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</si>
  <si>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</si>
  <si>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</si>
  <si>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</si>
  <si>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</si>
  <si>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</si>
  <si>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</si>
  <si>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</si>
  <si>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</si>
  <si>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</si>
  <si>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</si>
  <si>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</si>
  <si>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</si>
  <si>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</si>
  <si>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</si>
  <si>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</si>
  <si>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</si>
  <si>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</si>
  <si>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</si>
  <si>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</si>
  <si>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</si>
  <si>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</si>
  <si>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</si>
  <si>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</si>
  <si>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</si>
  <si>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</si>
  <si>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</si>
  <si>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</si>
  <si>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</si>
  <si>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</si>
  <si>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</si>
  <si>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</si>
  <si>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</si>
  <si>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</si>
  <si>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</si>
  <si>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</si>
  <si>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</si>
  <si>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</si>
  <si>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</si>
  <si>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</si>
  <si>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</si>
  <si>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</si>
  <si>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</si>
  <si>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</si>
  <si>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</si>
  <si>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</si>
  <si>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</si>
  <si>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</si>
  <si>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</si>
  <si>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</si>
  <si>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</si>
  <si>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</si>
  <si>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</si>
  <si>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</si>
  <si>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</si>
  <si>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</si>
  <si>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</si>
  <si>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</si>
  <si>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</si>
  <si>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</si>
  <si>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</si>
  <si>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</si>
  <si>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</si>
  <si>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</si>
  <si>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</si>
  <si>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</si>
  <si>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</si>
  <si>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</si>
  <si>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</si>
  <si>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</si>
  <si>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</si>
  <si>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</si>
  <si>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</si>
  <si>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</si>
  <si>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</si>
  <si>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</si>
  <si>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</si>
  <si>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</si>
  <si>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</si>
  <si>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</si>
  <si>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</si>
  <si>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</si>
  <si>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</si>
  <si>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</si>
  <si>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</si>
  <si>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</si>
  <si>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</si>
  <si>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</si>
  <si>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</si>
  <si>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</si>
  <si>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</si>
  <si>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</si>
  <si>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</si>
  <si>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</si>
  <si>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</si>
  <si>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</si>
  <si>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</si>
  <si>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</si>
  <si>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</si>
  <si>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</si>
  <si>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</si>
  <si>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</si>
  <si>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</si>
  <si>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</si>
  <si>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</si>
  <si>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</si>
  <si>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</si>
  <si>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</si>
  <si>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</si>
  <si>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</si>
  <si>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</si>
  <si>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</si>
  <si>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</si>
  <si>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</si>
  <si>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</si>
  <si>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</si>
  <si>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</si>
  <si>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</si>
  <si>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</si>
  <si>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</si>
  <si>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</si>
  <si>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</si>
  <si>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</si>
  <si>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</si>
  <si>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</si>
  <si>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</si>
  <si>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</si>
  <si>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</si>
  <si>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</si>
  <si>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</si>
  <si>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</si>
  <si>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</si>
  <si>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</si>
  <si>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</si>
  <si>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</si>
  <si>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</si>
  <si>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</si>
  <si>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</si>
  <si>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</si>
  <si>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</si>
  <si>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</si>
  <si>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</si>
  <si>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</si>
  <si>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</si>
  <si>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</si>
  <si>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</si>
  <si>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</si>
  <si>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</si>
  <si>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</si>
  <si>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</si>
  <si>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</si>
  <si>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</si>
  <si>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</si>
  <si>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</si>
  <si>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</si>
  <si>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</si>
  <si>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</si>
  <si>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</si>
  <si>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</si>
  <si>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</si>
  <si>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</si>
  <si>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</si>
  <si>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</si>
  <si>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</si>
  <si>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</si>
  <si>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</si>
  <si>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</si>
  <si>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</si>
  <si>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</si>
  <si>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</si>
  <si>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</si>
  <si>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</si>
  <si>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</si>
  <si>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</si>
  <si>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</si>
  <si>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</si>
  <si>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</si>
  <si>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</si>
  <si>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</si>
  <si>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</si>
  <si>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</si>
  <si>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</si>
  <si>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</si>
  <si>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</si>
  <si>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</si>
  <si>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</si>
  <si>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</si>
  <si>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</si>
  <si>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</si>
  <si>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</si>
  <si>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</si>
  <si>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</si>
  <si>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</si>
  <si>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</si>
  <si>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</si>
  <si>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</si>
  <si>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</si>
  <si>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</si>
  <si>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</si>
  <si>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</si>
  <si>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</si>
  <si>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</si>
  <si>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</si>
  <si>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</si>
  <si>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</si>
  <si>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</si>
  <si>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</si>
  <si>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</si>
  <si>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</si>
  <si>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</si>
  <si>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</si>
  <si>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</si>
  <si>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</si>
  <si>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</si>
  <si>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</si>
  <si>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</si>
  <si>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</si>
  <si>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</si>
  <si>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</si>
  <si>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</si>
  <si>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</si>
  <si>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</si>
  <si>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</si>
  <si>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</si>
  <si>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</si>
  <si>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</si>
  <si>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</si>
  <si>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</si>
  <si>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</si>
  <si>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</si>
  <si>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</si>
  <si>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</si>
  <si>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</si>
  <si>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</si>
  <si>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</si>
  <si>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</si>
  <si>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</si>
  <si>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</si>
  <si>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</si>
  <si>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</si>
  <si>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</si>
  <si>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</si>
  <si>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</si>
  <si>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</si>
  <si>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</si>
  <si>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</si>
  <si>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</si>
  <si>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</si>
  <si>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</si>
  <si>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</si>
  <si>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</si>
  <si>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</si>
  <si>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</si>
  <si>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</si>
  <si>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</si>
  <si>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</si>
  <si>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</si>
  <si>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</si>
  <si>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</si>
  <si>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</si>
  <si>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</si>
  <si>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</si>
  <si>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</si>
  <si>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</si>
  <si>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</si>
  <si>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</si>
  <si>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</si>
  <si>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</si>
  <si>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</si>
  <si>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</si>
  <si>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</si>
  <si>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</si>
  <si>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</si>
  <si>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</si>
  <si>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</si>
  <si>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</si>
  <si>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</si>
  <si>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</si>
  <si>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</si>
  <si>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</si>
  <si>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</si>
  <si>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</si>
  <si>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</si>
  <si>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</si>
  <si>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</si>
  <si>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</si>
  <si>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</si>
  <si>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</si>
  <si>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</si>
  <si>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</si>
  <si>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</si>
  <si>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</si>
  <si>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</si>
  <si>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</si>
  <si>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</si>
  <si>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</si>
  <si>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</si>
  <si>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</si>
  <si>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</si>
  <si>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</si>
  <si>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</si>
  <si>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</si>
  <si>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</si>
  <si>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</si>
  <si>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</si>
  <si>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</si>
  <si>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</si>
  <si>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</si>
  <si>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</si>
  <si>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</si>
  <si>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</si>
  <si>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</si>
  <si>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</si>
  <si>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</si>
  <si>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</si>
  <si>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</si>
  <si>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</si>
  <si>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</si>
  <si>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</si>
  <si>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</si>
  <si>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</si>
  <si>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</si>
  <si>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</si>
  <si>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</si>
  <si>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</si>
  <si>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</si>
  <si>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</si>
  <si>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</si>
  <si>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</si>
  <si>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</si>
  <si>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</si>
  <si>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</si>
  <si>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</si>
  <si>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</si>
  <si>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</si>
  <si>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</si>
  <si>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</si>
  <si>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</si>
  <si>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</si>
  <si>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</si>
  <si>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</si>
  <si>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</si>
  <si>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</si>
  <si>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</si>
  <si>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</si>
  <si>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</si>
  <si>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</si>
  <si>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</si>
  <si>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</si>
  <si>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</si>
  <si>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</si>
  <si>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</si>
  <si>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</si>
  <si>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</si>
  <si>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</si>
  <si>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</si>
  <si>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</si>
  <si>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</si>
  <si>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</si>
  <si>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</si>
  <si>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</si>
  <si>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</si>
  <si>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</si>
  <si>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</si>
  <si>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</si>
  <si>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</si>
  <si>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</si>
  <si>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</si>
  <si>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</si>
  <si>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</si>
  <si>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</si>
  <si>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</si>
  <si>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</si>
  <si>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</si>
  <si>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</si>
  <si>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</si>
  <si>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</si>
  <si>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</si>
  <si>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</si>
  <si>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</si>
  <si>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</si>
  <si>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</si>
  <si>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</si>
  <si>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</si>
  <si>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</si>
  <si>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</si>
  <si>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</si>
  <si>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</si>
  <si>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</si>
  <si>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</si>
  <si>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</si>
  <si>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</si>
  <si>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</si>
  <si>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</si>
  <si>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</si>
  <si>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</si>
  <si>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</si>
  <si>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</si>
  <si>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</si>
  <si>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</si>
  <si>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</si>
  <si>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</si>
  <si>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</si>
  <si>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</si>
  <si>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</si>
  <si>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</si>
  <si>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</si>
  <si>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</si>
  <si>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</si>
  <si>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</si>
  <si>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</si>
  <si>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</si>
  <si>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</si>
  <si>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</si>
  <si>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</si>
  <si>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</si>
  <si>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</si>
  <si>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</si>
  <si>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</si>
  <si>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</si>
  <si>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</si>
  <si>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</si>
  <si>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</si>
  <si>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</si>
  <si>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</si>
  <si>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</si>
  <si>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</si>
  <si>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</si>
  <si>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</si>
  <si>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</si>
  <si>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</si>
  <si>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</si>
  <si>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</si>
  <si>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</si>
  <si>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</si>
  <si>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</si>
  <si>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</si>
  <si>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</si>
  <si>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</si>
  <si>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</si>
  <si>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</si>
  <si>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</si>
  <si>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</si>
  <si>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</si>
  <si>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</si>
  <si>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</si>
  <si>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</si>
  <si>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</si>
  <si>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</si>
  <si>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</si>
  <si>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</si>
  <si>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</si>
  <si>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</si>
  <si>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</si>
  <si>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</si>
  <si>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</si>
  <si>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</si>
  <si>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</si>
  <si>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</si>
  <si>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</si>
  <si>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</si>
  <si>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</si>
  <si>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</si>
  <si>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</si>
  <si>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</si>
  <si>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</si>
  <si>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</si>
  <si>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</si>
  <si>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</si>
  <si>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</si>
  <si>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</si>
  <si>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</si>
  <si>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</si>
  <si>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</si>
  <si>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</si>
  <si>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</si>
  <si>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</si>
  <si>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</si>
  <si>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</si>
  <si>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</si>
  <si>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</si>
  <si>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</si>
  <si>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</si>
  <si>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</si>
  <si>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</si>
  <si>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</si>
  <si>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</si>
  <si>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</si>
  <si>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</si>
  <si>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</si>
  <si>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</si>
  <si>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</si>
  <si>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</si>
  <si>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</si>
  <si>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</si>
  <si>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</si>
  <si>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</si>
  <si>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</si>
  <si>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</si>
  <si>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</si>
  <si>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</si>
  <si>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</si>
  <si>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</si>
  <si>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</si>
  <si>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</si>
  <si>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</si>
  <si>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</si>
  <si>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</si>
  <si>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</si>
  <si>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</si>
  <si>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</si>
  <si>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</si>
  <si>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</si>
  <si>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</si>
  <si>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</si>
  <si>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</si>
  <si>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</si>
  <si>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</si>
  <si>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</si>
  <si>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</si>
  <si>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</si>
  <si>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</si>
  <si>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</si>
  <si>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</si>
  <si>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</si>
  <si>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</si>
  <si>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</si>
  <si>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</si>
  <si>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</si>
  <si>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</si>
  <si>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</si>
  <si>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</si>
  <si>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</si>
  <si>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</si>
  <si>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</si>
  <si>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</si>
  <si>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</si>
  <si>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</si>
  <si>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</si>
  <si>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</si>
  <si>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</si>
  <si>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</si>
  <si>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</si>
  <si>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</si>
  <si>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</si>
  <si>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</si>
  <si>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</si>
  <si>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</si>
  <si>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</si>
  <si>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</si>
  <si>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</si>
  <si>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</si>
  <si>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</si>
  <si>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</si>
  <si>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</si>
  <si>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</si>
  <si>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</si>
  <si>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</si>
  <si>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</si>
  <si>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</si>
  <si>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</si>
  <si>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</si>
  <si>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</si>
  <si>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</si>
  <si>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</si>
  <si>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</si>
  <si>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</si>
  <si>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</si>
  <si>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</si>
  <si>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</si>
  <si>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</si>
  <si>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</si>
  <si>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</si>
  <si>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</si>
  <si>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</si>
  <si>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</si>
  <si>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</si>
  <si>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</si>
  <si>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</si>
  <si>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</si>
  <si>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</si>
  <si>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</si>
  <si>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</si>
  <si>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</si>
  <si>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</si>
  <si>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</si>
  <si>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</si>
  <si>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</si>
  <si>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</si>
  <si>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</si>
  <si>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</si>
  <si>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</si>
  <si>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</si>
  <si>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</si>
  <si>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</si>
  <si>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</si>
  <si>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</si>
  <si>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</si>
  <si>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</si>
  <si>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</si>
  <si>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</si>
  <si>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</si>
  <si>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</si>
  <si>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</si>
  <si>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</si>
  <si>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</si>
  <si>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</si>
  <si>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</si>
  <si>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</si>
  <si>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</si>
  <si>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</si>
  <si>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</si>
  <si>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</si>
  <si>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</si>
  <si>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</si>
  <si>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</si>
  <si>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</si>
  <si>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</si>
  <si>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</si>
  <si>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</si>
  <si>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</si>
  <si>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</si>
  <si>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</si>
  <si>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</si>
  <si>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</si>
  <si>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</si>
  <si>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</si>
  <si>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</si>
  <si>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</si>
  <si>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</si>
  <si>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</si>
  <si>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</si>
  <si>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</si>
  <si>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</si>
  <si>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</si>
  <si>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</si>
  <si>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</si>
  <si>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</si>
  <si>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</si>
  <si>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</si>
  <si>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</si>
  <si>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</si>
  <si>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</si>
  <si>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</si>
  <si>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</si>
  <si>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</si>
  <si>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</si>
  <si>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</si>
  <si>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</si>
  <si>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</si>
  <si>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</si>
  <si>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</si>
  <si>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</si>
  <si>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</si>
  <si>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</si>
  <si>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</si>
  <si>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</si>
  <si>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</si>
  <si>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</si>
  <si>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</si>
  <si>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</si>
  <si>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</si>
  <si>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</si>
  <si>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</si>
  <si>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</si>
  <si>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</si>
  <si>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</si>
  <si>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</si>
  <si>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</si>
  <si>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</si>
  <si>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</si>
  <si>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</si>
  <si>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</si>
  <si>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</si>
  <si>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</si>
  <si>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</si>
  <si>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</si>
  <si>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</si>
  <si>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</si>
  <si>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</si>
  <si>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</si>
  <si>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</si>
  <si>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</si>
  <si>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</si>
  <si>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</si>
  <si>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</si>
  <si>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</si>
  <si>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</si>
  <si>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</si>
  <si>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</si>
  <si>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</si>
  <si>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</si>
  <si>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</si>
  <si>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</si>
  <si>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</si>
  <si>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</si>
  <si>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</si>
  <si>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</si>
  <si>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</si>
  <si>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</si>
  <si>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</si>
  <si>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</si>
  <si>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</si>
  <si>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</si>
  <si>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</si>
  <si>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</si>
  <si>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</si>
  <si>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</si>
  <si>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</si>
  <si>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</si>
  <si>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</si>
  <si>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</si>
  <si>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</si>
  <si>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</si>
  <si>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</si>
  <si>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</si>
  <si>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</si>
  <si>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</si>
  <si>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</si>
  <si>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</si>
  <si>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</si>
  <si>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</si>
  <si>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</si>
  <si>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</si>
  <si>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</si>
  <si>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</si>
  <si>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</si>
  <si>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</si>
  <si>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</si>
  <si>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</si>
  <si>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</si>
  <si>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</si>
  <si>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</si>
  <si>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</si>
  <si>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</si>
  <si>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</si>
  <si>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</si>
  <si>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</si>
  <si>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</si>
  <si>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</si>
  <si>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</si>
  <si>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</si>
  <si>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</si>
  <si>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</si>
  <si>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</si>
  <si>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</si>
  <si>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</si>
  <si>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</si>
  <si>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</si>
  <si>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</si>
  <si>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</si>
  <si>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</si>
  <si>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</si>
  <si>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</si>
  <si>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</si>
  <si>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</si>
  <si>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</si>
  <si>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</si>
  <si>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</si>
  <si>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</si>
  <si>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</si>
  <si>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</si>
  <si>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</si>
  <si>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</si>
  <si>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</si>
  <si>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</si>
  <si>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</si>
  <si>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</si>
  <si>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</si>
  <si>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</si>
  <si>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</si>
  <si>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</si>
  <si>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</si>
  <si>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</si>
  <si>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</si>
  <si>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</si>
  <si>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</si>
  <si>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</si>
  <si>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</si>
  <si>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</si>
  <si>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</si>
  <si>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</si>
  <si>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</si>
  <si>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</si>
  <si>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</si>
  <si>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</si>
  <si>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</si>
  <si>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</si>
  <si>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</si>
  <si>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</si>
  <si>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</si>
  <si>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</si>
  <si>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</si>
  <si>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</si>
  <si>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</si>
  <si>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</si>
  <si>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</si>
  <si>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</si>
  <si>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</si>
  <si>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</si>
  <si>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</si>
  <si>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</si>
  <si>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</si>
  <si>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</si>
  <si>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</si>
  <si>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</si>
  <si>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</si>
  <si>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</si>
  <si>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</si>
  <si>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</si>
  <si>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</si>
  <si>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</si>
  <si>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</si>
  <si>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</si>
  <si>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</si>
  <si>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</si>
  <si>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</si>
  <si>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</si>
  <si>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</si>
  <si>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</si>
  <si>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</si>
  <si>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</si>
  <si>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</si>
  <si>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</si>
  <si>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</si>
  <si>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</si>
  <si>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</si>
  <si>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</si>
  <si>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</si>
  <si>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</si>
  <si>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</si>
  <si>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</si>
  <si>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</si>
  <si>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</si>
  <si>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</si>
  <si>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</si>
  <si>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</si>
  <si>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</si>
  <si>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</si>
  <si>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</si>
  <si>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</si>
  <si>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</si>
  <si>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</si>
  <si>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</si>
  <si>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</si>
  <si>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</si>
  <si>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</si>
  <si>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</si>
  <si>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</si>
  <si>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</si>
  <si>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</si>
  <si>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</si>
  <si>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</si>
  <si>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</si>
  <si>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</si>
  <si>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</si>
  <si>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</si>
  <si>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</si>
  <si>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</si>
  <si>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</si>
  <si>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</si>
  <si>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</si>
  <si>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</si>
  <si>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</si>
  <si>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</si>
  <si>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</si>
  <si>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</si>
  <si>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</si>
  <si>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</si>
  <si>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</si>
  <si>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</si>
  <si>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</si>
  <si>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</si>
  <si>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</si>
  <si>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</si>
  <si>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</si>
  <si>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</si>
  <si>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</si>
  <si>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</si>
  <si>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</si>
  <si>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</si>
  <si>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</si>
  <si>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</si>
  <si>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</si>
  <si>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</si>
  <si>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</si>
  <si>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</si>
  <si>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</si>
  <si>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</si>
  <si>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</si>
  <si>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</si>
  <si>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</si>
  <si>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</si>
  <si>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</si>
  <si>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</si>
  <si>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</si>
  <si>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</si>
  <si>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</si>
  <si>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</si>
  <si>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</si>
  <si>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</si>
  <si>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</si>
  <si>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</si>
  <si>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</si>
  <si>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</si>
  <si>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</si>
  <si>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</si>
  <si>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</si>
  <si>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</si>
  <si>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</si>
  <si>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</si>
  <si>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</si>
  <si>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</si>
  <si>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</si>
  <si>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</si>
  <si>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</si>
  <si>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</si>
  <si>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</si>
  <si>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</si>
  <si>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</si>
  <si>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</si>
  <si>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</si>
  <si>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</si>
  <si>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</si>
  <si>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</si>
  <si>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</si>
  <si>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</si>
  <si>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</si>
  <si>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</si>
  <si>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</si>
  <si>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</si>
  <si>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</si>
  <si>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</si>
  <si>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</si>
  <si>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</si>
  <si>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</si>
  <si>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</si>
  <si>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</si>
  <si>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</si>
  <si>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</si>
  <si>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</si>
  <si>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</si>
  <si>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</si>
  <si>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</si>
  <si>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</si>
  <si>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</si>
  <si>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</si>
  <si>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</si>
  <si>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</si>
  <si>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</si>
  <si>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</si>
  <si>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</si>
  <si>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</si>
  <si>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</si>
  <si>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</si>
  <si>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</si>
  <si>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</si>
  <si>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</si>
  <si>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</si>
  <si>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</si>
  <si>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</si>
  <si>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</si>
  <si>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</si>
  <si>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</si>
  <si>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</si>
  <si>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</si>
  <si>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</si>
  <si>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</si>
  <si>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</si>
  <si>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</si>
  <si>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</si>
  <si>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</si>
  <si>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</si>
  <si>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</si>
  <si>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</si>
  <si>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</si>
  <si>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</si>
  <si>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</si>
  <si>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</si>
  <si>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</si>
  <si>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</si>
  <si>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</si>
  <si>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</si>
  <si>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</si>
  <si>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</si>
  <si>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</si>
  <si>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</si>
  <si>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</si>
  <si>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</si>
  <si>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</si>
  <si>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</si>
  <si>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</si>
  <si>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</si>
  <si>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</si>
  <si>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</si>
  <si>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</si>
  <si>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</si>
  <si>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</si>
  <si>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</si>
  <si>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</si>
  <si>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</si>
  <si>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</si>
  <si>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</si>
  <si>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</si>
  <si>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</si>
  <si>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</si>
  <si>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</si>
  <si>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</si>
  <si>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</si>
  <si>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</si>
  <si>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</si>
  <si>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</si>
  <si>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</si>
  <si>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</si>
  <si>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</si>
  <si>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</si>
  <si>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</si>
  <si>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</si>
  <si>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</si>
  <si>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</si>
  <si>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</si>
  <si>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</si>
  <si>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</si>
  <si>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</si>
  <si>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</si>
  <si>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</si>
  <si>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</si>
  <si>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</si>
  <si>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</si>
  <si>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</si>
  <si>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</si>
  <si>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</si>
  <si>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</si>
  <si>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</si>
  <si>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</si>
  <si>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</si>
  <si>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</si>
  <si>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</si>
  <si>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</si>
  <si>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</si>
  <si>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</si>
  <si>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</si>
  <si>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</si>
  <si>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</si>
  <si>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</si>
  <si>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</si>
  <si>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</si>
  <si>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</si>
  <si>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</si>
  <si>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</si>
  <si>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</si>
  <si>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</si>
  <si>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</si>
  <si>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</si>
  <si>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</si>
  <si>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</si>
  <si>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</si>
  <si>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</si>
  <si>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</si>
  <si>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</si>
  <si>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</si>
  <si>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</si>
  <si>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</si>
  <si>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</si>
  <si>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</si>
  <si>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</si>
  <si>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</si>
  <si>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</si>
  <si>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</si>
  <si>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</si>
  <si>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</si>
  <si>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</si>
  <si>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</si>
  <si>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</si>
  <si>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</si>
  <si>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</si>
  <si>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</si>
  <si>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</si>
  <si>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</si>
  <si>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</si>
  <si>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</si>
  <si>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</si>
  <si>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</si>
  <si>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</si>
  <si>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</si>
  <si>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</si>
  <si>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</si>
  <si>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</si>
  <si>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</si>
  <si>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</si>
  <si>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</si>
  <si>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</si>
  <si>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</si>
  <si>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</si>
  <si>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</si>
  <si>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</si>
  <si>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</si>
  <si>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</si>
  <si>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</si>
  <si>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</si>
  <si>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</si>
  <si>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</si>
  <si>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</si>
  <si>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</si>
  <si>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</si>
  <si>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</si>
  <si>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</si>
  <si>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</si>
  <si>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</si>
  <si>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</si>
  <si>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</si>
  <si>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</si>
  <si>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</si>
  <si>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</si>
  <si>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</si>
  <si>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</si>
  <si>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</si>
  <si>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</si>
  <si>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</si>
  <si>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</si>
  <si>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</si>
  <si>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</si>
  <si>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</si>
  <si>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</si>
  <si>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</si>
  <si>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</si>
  <si>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</si>
  <si>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</si>
  <si>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</si>
  <si>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</si>
  <si>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</si>
  <si>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</si>
  <si>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</si>
  <si>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</si>
  <si>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</si>
  <si>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</si>
  <si>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</si>
  <si>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</si>
  <si>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</si>
  <si>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</si>
  <si>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</si>
  <si>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</si>
  <si>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</si>
  <si>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</si>
  <si>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</si>
  <si>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</si>
  <si>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</si>
  <si>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</si>
  <si>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</si>
  <si>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</si>
  <si>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</si>
  <si>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</si>
  <si>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</si>
  <si>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</si>
  <si>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</si>
  <si>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</si>
  <si>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</si>
  <si>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</si>
  <si>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</si>
  <si>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</si>
  <si>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</si>
  <si>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</si>
  <si>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</si>
  <si>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</si>
  <si>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</si>
  <si>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</si>
  <si>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</si>
  <si>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</si>
  <si>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</si>
  <si>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</si>
  <si>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</si>
  <si>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</si>
  <si>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</si>
  <si>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</si>
  <si>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</si>
  <si>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</si>
  <si>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</si>
  <si>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</si>
  <si>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</si>
  <si>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</si>
  <si>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</si>
  <si>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</si>
  <si>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</si>
  <si>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</si>
  <si>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</si>
  <si>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</si>
  <si>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</si>
  <si>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</si>
  <si>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</si>
  <si>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</si>
  <si>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</si>
  <si>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</si>
  <si>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</si>
  <si>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</si>
  <si>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</si>
  <si>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</si>
  <si>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</si>
  <si>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</si>
  <si>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</si>
  <si>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</si>
  <si>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</si>
  <si>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</si>
  <si>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</si>
  <si>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</si>
  <si>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</si>
  <si>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</si>
  <si>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</si>
  <si>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</si>
  <si>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</si>
  <si>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</si>
  <si>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</si>
  <si>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</si>
  <si>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</si>
  <si>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</si>
  <si>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</si>
  <si>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</si>
  <si>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</si>
  <si>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</si>
  <si>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</si>
  <si>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</si>
  <si>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</si>
  <si>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</si>
  <si>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</si>
  <si>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</si>
  <si>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</si>
  <si>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</si>
  <si>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</si>
  <si>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</si>
  <si>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</si>
  <si>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</si>
  <si>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</si>
  <si>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</si>
  <si>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</si>
  <si>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</si>
  <si>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</si>
  <si>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</si>
  <si>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</si>
  <si>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</si>
  <si>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</si>
  <si>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</si>
  <si>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</si>
  <si>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</si>
  <si>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</si>
  <si>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</si>
  <si>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</si>
  <si>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</si>
  <si>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</si>
  <si>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</si>
  <si>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</si>
  <si>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</si>
  <si>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</si>
  <si>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</si>
  <si>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</si>
  <si>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</si>
  <si>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</si>
  <si>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</si>
  <si>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</si>
  <si>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</si>
  <si>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</si>
  <si>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</si>
  <si>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</si>
  <si>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</si>
  <si>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</si>
  <si>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</si>
  <si>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</si>
  <si>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</si>
  <si>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</si>
  <si>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</si>
  <si>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</si>
  <si>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</si>
  <si>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</si>
  <si>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</si>
  <si>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</si>
  <si>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</si>
  <si>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</si>
  <si>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</si>
  <si>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</si>
  <si>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</si>
  <si>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</si>
  <si>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</si>
  <si>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</si>
  <si>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</si>
  <si>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</si>
  <si>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</si>
  <si>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</si>
  <si>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</si>
  <si>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</si>
  <si>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</si>
  <si>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</si>
  <si>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</si>
  <si>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</si>
  <si>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</si>
  <si>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</si>
  <si>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</si>
  <si>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</si>
  <si>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</si>
  <si>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</si>
  <si>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</si>
  <si>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</si>
  <si>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</si>
  <si>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</si>
  <si>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</si>
  <si>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</si>
  <si>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</si>
  <si>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</si>
  <si>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</si>
  <si>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</si>
  <si>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</si>
  <si>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</si>
  <si>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</si>
  <si>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</si>
  <si>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</si>
  <si>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</si>
  <si>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</si>
  <si>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</si>
  <si>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</si>
  <si>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</si>
  <si>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</si>
  <si>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</si>
  <si>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</si>
  <si>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</si>
  <si>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</si>
  <si>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</si>
  <si>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</si>
  <si>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</si>
  <si>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</si>
  <si>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</si>
  <si>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</si>
  <si>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</si>
  <si>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</si>
  <si>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</si>
  <si>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</si>
  <si>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</si>
  <si>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</si>
  <si>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</si>
  <si>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</si>
  <si>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</si>
  <si>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</si>
  <si>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</si>
  <si>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</si>
  <si>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</si>
  <si>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</si>
  <si>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</si>
  <si>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</si>
  <si>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</si>
  <si>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</si>
  <si>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</si>
  <si>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</si>
  <si>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</si>
  <si>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</si>
  <si>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</si>
  <si>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</si>
  <si>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</si>
  <si>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</si>
  <si>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</si>
  <si>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</si>
  <si>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</si>
  <si>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</si>
  <si>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</si>
  <si>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</si>
  <si>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</si>
  <si>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</si>
  <si>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</si>
  <si>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</si>
  <si>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</si>
  <si>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</si>
  <si>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</si>
  <si>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</si>
  <si>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</si>
  <si>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</si>
  <si>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</si>
  <si>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</si>
  <si>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</si>
  <si>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</si>
  <si>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</si>
  <si>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</si>
  <si>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</si>
  <si>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</si>
  <si>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</si>
  <si>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</si>
  <si>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</si>
  <si>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</si>
  <si>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</si>
  <si>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</si>
  <si>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</si>
  <si>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</si>
  <si>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</si>
  <si>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</si>
  <si>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</si>
  <si>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</si>
  <si>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</si>
  <si>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</si>
  <si>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</si>
  <si>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</si>
  <si>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</si>
  <si>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</si>
  <si>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</si>
  <si>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</si>
  <si>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</si>
  <si>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</si>
  <si>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</si>
  <si>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</si>
  <si>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</si>
  <si>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</si>
  <si>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</si>
  <si>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</si>
  <si>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</si>
  <si>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</si>
  <si>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</si>
  <si>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</si>
  <si>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</si>
  <si>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</si>
  <si>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</si>
  <si>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</si>
  <si>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</si>
  <si>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</si>
  <si>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</si>
  <si>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</si>
  <si>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</si>
  <si>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</si>
  <si>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</si>
  <si>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</si>
  <si>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</si>
  <si>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</si>
  <si>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</si>
  <si>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</si>
  <si>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</si>
  <si>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</si>
  <si>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</si>
  <si>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</si>
  <si>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</si>
  <si>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</si>
  <si>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</si>
  <si>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</si>
  <si>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</si>
  <si>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</si>
  <si>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</si>
  <si>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</si>
  <si>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</si>
  <si>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</si>
  <si>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</si>
  <si>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</si>
  <si>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</si>
  <si>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</si>
  <si>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</si>
  <si>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</si>
  <si>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</si>
  <si>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</si>
  <si>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</si>
  <si>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</si>
  <si>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</si>
  <si>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</si>
  <si>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</si>
  <si>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</si>
  <si>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</si>
  <si>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</si>
  <si>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</si>
  <si>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</si>
  <si>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</si>
  <si>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</si>
  <si>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</si>
  <si>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</si>
  <si>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</si>
  <si>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</si>
  <si>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</si>
  <si>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</si>
  <si>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</si>
  <si>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</si>
  <si>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</si>
  <si>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</si>
  <si>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</si>
  <si>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</si>
  <si>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</si>
  <si>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</si>
  <si>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</si>
  <si>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</si>
  <si>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</si>
  <si>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</si>
  <si>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</si>
  <si>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</si>
  <si>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</si>
  <si>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</si>
  <si>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</si>
  <si>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</si>
  <si>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</si>
  <si>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</si>
  <si>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</si>
  <si>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</si>
  <si>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</si>
  <si>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</si>
  <si>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</si>
  <si>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</si>
  <si>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</si>
  <si>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</si>
  <si>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</si>
  <si>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</si>
  <si>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</si>
  <si>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</si>
  <si>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</si>
  <si>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</si>
  <si>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</si>
  <si>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</si>
  <si>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</si>
  <si>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</si>
  <si>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</si>
  <si>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</si>
  <si>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</si>
  <si>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</si>
  <si>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</si>
  <si>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</si>
  <si>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</si>
  <si>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</si>
  <si>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</si>
  <si>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</si>
  <si>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</si>
  <si>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</si>
  <si>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</si>
  <si>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</si>
  <si>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</si>
  <si>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</si>
  <si>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</si>
  <si>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</si>
  <si>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</si>
  <si>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</si>
  <si>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</si>
  <si>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</si>
  <si>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</si>
  <si>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</si>
  <si>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</si>
  <si>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</si>
  <si>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</si>
  <si>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</si>
  <si>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</si>
  <si>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</si>
  <si>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</si>
  <si>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</si>
  <si>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</si>
  <si>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</si>
  <si>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</si>
  <si>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</si>
  <si>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</si>
  <si>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</si>
  <si>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</si>
  <si>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</si>
  <si>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</si>
  <si>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</si>
  <si>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</si>
  <si>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</si>
  <si>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</si>
  <si>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</si>
  <si>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</si>
  <si>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</si>
  <si>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</si>
  <si>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</si>
  <si>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</si>
  <si>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</si>
  <si>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</si>
  <si>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</si>
  <si>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</si>
  <si>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</si>
  <si>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</si>
  <si>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</si>
  <si>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</si>
  <si>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</si>
  <si>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</si>
  <si>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</si>
  <si>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</si>
  <si>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</si>
  <si>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</si>
  <si>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</si>
  <si>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</si>
  <si>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</si>
  <si>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</si>
  <si>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</si>
  <si>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</si>
  <si>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</si>
  <si>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</si>
  <si>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</si>
  <si>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</si>
  <si>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</si>
  <si>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</si>
  <si>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</si>
  <si>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</si>
  <si>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</si>
  <si>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</si>
  <si>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</si>
  <si>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</si>
  <si>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</si>
  <si>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</si>
  <si>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</si>
  <si>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</si>
  <si>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</si>
  <si>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</si>
  <si>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</si>
  <si>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</si>
  <si>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</si>
  <si>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</si>
  <si>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</si>
  <si>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</si>
  <si>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</si>
  <si>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</si>
  <si>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</si>
  <si>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</si>
  <si>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</si>
  <si>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</si>
  <si>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</si>
  <si>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</si>
  <si>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</si>
  <si>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</si>
  <si>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</si>
  <si>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</si>
  <si>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</si>
  <si>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</si>
  <si>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</si>
  <si>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</si>
  <si>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</si>
  <si>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</si>
  <si>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</si>
  <si>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</si>
  <si>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</si>
  <si>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</si>
  <si>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</si>
  <si>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</si>
  <si>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</si>
  <si>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</si>
  <si>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</si>
  <si>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</si>
  <si>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</si>
  <si>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</si>
  <si>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</si>
  <si>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</si>
  <si>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</si>
  <si>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</si>
  <si>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</si>
  <si>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</si>
  <si>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</si>
  <si>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</si>
  <si>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</si>
  <si>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</si>
  <si>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</si>
  <si>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</si>
  <si>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</si>
  <si>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</si>
  <si>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</si>
  <si>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</si>
  <si>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</si>
  <si>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</si>
  <si>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</si>
  <si>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</si>
  <si>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</si>
  <si>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</si>
  <si>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</si>
  <si>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</si>
  <si>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</si>
  <si>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</si>
  <si>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</si>
  <si>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</si>
  <si>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</si>
  <si>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</si>
  <si>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</si>
  <si>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</si>
  <si>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</si>
  <si>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</si>
  <si>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</si>
  <si>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</si>
  <si>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</si>
  <si>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</si>
  <si>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</si>
  <si>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</si>
  <si>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</si>
  <si>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</si>
  <si>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</si>
  <si>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</si>
  <si>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</si>
  <si>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</si>
  <si>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</si>
  <si>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</si>
  <si>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</si>
  <si>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</si>
  <si>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</si>
  <si>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</si>
  <si>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</si>
  <si>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</si>
  <si>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</si>
  <si>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</si>
  <si>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</si>
  <si>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</si>
  <si>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</si>
  <si>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</si>
  <si>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</si>
  <si>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</si>
  <si>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</si>
  <si>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</si>
  <si>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</si>
  <si>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</si>
  <si>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</si>
  <si>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</si>
  <si>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</si>
  <si>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</si>
  <si>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</si>
  <si>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</si>
  <si>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</si>
  <si>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</si>
  <si>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</si>
  <si>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</si>
  <si>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</si>
  <si>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</si>
  <si>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</si>
  <si>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</si>
  <si>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</si>
  <si>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</si>
  <si>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</si>
  <si>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</si>
  <si>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</si>
  <si>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</si>
  <si>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</si>
  <si>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</si>
  <si>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</si>
  <si>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</si>
  <si>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</si>
  <si>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</si>
  <si>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</si>
  <si>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</si>
  <si>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</si>
  <si>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</si>
  <si>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</si>
  <si>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</si>
  <si>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</si>
  <si>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</si>
  <si>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</si>
  <si>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</si>
  <si>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</si>
  <si>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</si>
  <si>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</si>
  <si>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</si>
  <si>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</si>
  <si>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</si>
  <si>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</si>
  <si>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</si>
  <si>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</si>
  <si>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</si>
  <si>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</si>
  <si>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</si>
  <si>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</si>
  <si>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</si>
  <si>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</si>
  <si>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</si>
  <si>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</si>
  <si>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</si>
  <si>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</si>
  <si>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</si>
  <si>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</si>
  <si>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</si>
  <si>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</si>
  <si>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</si>
  <si>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</si>
  <si>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</si>
  <si>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</si>
  <si>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</si>
  <si>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</si>
  <si>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</si>
  <si>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</si>
  <si>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</si>
  <si>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</si>
  <si>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</si>
  <si>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</si>
  <si>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</si>
  <si>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</si>
  <si>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</si>
  <si>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</si>
  <si>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</si>
  <si>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</si>
  <si>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</si>
  <si>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</si>
  <si>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</si>
  <si>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</si>
  <si>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</si>
  <si>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</si>
  <si>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</si>
  <si>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</si>
  <si>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</si>
  <si>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</si>
  <si>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</si>
  <si>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</si>
  <si>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</si>
  <si>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</si>
  <si>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</si>
  <si>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</si>
  <si>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</si>
  <si>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</si>
  <si>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</si>
  <si>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</si>
  <si>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</si>
  <si>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</si>
  <si>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</si>
  <si>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</si>
  <si>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</si>
  <si>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</si>
  <si>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</si>
  <si>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</si>
  <si>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</si>
  <si>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</si>
  <si>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</si>
  <si>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</si>
  <si>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</si>
  <si>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</si>
  <si>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</si>
  <si>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</si>
  <si>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</si>
  <si>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</si>
  <si>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</si>
  <si>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</si>
  <si>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</si>
  <si>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</si>
  <si>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</si>
  <si>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</si>
  <si>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</si>
  <si>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</si>
  <si>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</si>
  <si>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</si>
  <si>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</si>
  <si>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</si>
  <si>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</si>
  <si>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</si>
  <si>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</si>
  <si>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</si>
  <si>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</si>
  <si>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</si>
  <si>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</si>
  <si>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</si>
  <si>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</si>
  <si>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</si>
  <si>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</si>
  <si>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</si>
  <si>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</si>
  <si>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</si>
  <si>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</si>
  <si>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</si>
  <si>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</si>
  <si>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</si>
  <si>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</si>
  <si>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</si>
  <si>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</si>
  <si>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</si>
  <si>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</si>
  <si>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</si>
  <si>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</si>
  <si>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</si>
  <si>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</si>
  <si>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</si>
  <si>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</si>
  <si>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</si>
  <si>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</si>
  <si>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</si>
  <si>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</si>
  <si>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</si>
  <si>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</si>
  <si>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</si>
  <si>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</si>
  <si>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</si>
  <si>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</si>
  <si>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</si>
  <si>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</si>
  <si>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</si>
  <si>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</si>
  <si>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</si>
  <si>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</si>
  <si>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</si>
  <si>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</si>
  <si>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</si>
  <si>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</si>
  <si>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</si>
  <si>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</si>
  <si>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</si>
  <si>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</si>
  <si>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</si>
  <si>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</si>
  <si>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</si>
  <si>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</si>
  <si>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</si>
  <si>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</si>
  <si>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</si>
  <si>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</si>
  <si>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</si>
  <si>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</si>
  <si>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</si>
  <si>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</si>
  <si>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</si>
  <si>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</si>
  <si>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</si>
  <si>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</si>
  <si>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</si>
  <si>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</si>
  <si>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</si>
  <si>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</si>
  <si>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</si>
  <si>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</si>
  <si>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</si>
  <si>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</si>
  <si>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</si>
  <si>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</si>
  <si>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</si>
  <si>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</si>
  <si>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</si>
  <si>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</si>
  <si>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</si>
  <si>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</si>
  <si>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</si>
  <si>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</si>
  <si>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</si>
  <si>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</si>
  <si>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</si>
  <si>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</si>
  <si>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</si>
  <si>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</si>
  <si>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</si>
  <si>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</si>
  <si>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</si>
  <si>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</si>
  <si>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</si>
  <si>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</si>
  <si>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</si>
  <si>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</si>
  <si>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</si>
  <si>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</si>
  <si>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</si>
  <si>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</si>
  <si>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</si>
  <si>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</si>
  <si>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</si>
  <si>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</si>
  <si>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</si>
  <si>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</si>
  <si>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</si>
  <si>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</si>
  <si>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</si>
  <si>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</si>
  <si>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</si>
  <si>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</si>
  <si>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</si>
  <si>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</si>
  <si>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</si>
  <si>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</si>
  <si>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</si>
  <si>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</si>
  <si>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</si>
  <si>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</si>
  <si>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</si>
  <si>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</si>
  <si>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</si>
  <si>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</si>
  <si>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</si>
  <si>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</si>
  <si>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</si>
  <si>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</si>
  <si>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</si>
  <si>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</si>
  <si>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</si>
  <si>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</si>
  <si>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</si>
  <si>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</si>
  <si>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</si>
  <si>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</si>
  <si>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</si>
  <si>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</si>
  <si>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</si>
  <si>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</si>
  <si>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</si>
  <si>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</si>
  <si>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</si>
  <si>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</si>
  <si>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</si>
  <si>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</si>
  <si>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</si>
  <si>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</si>
  <si>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</si>
  <si>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</si>
  <si>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</si>
  <si>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</si>
  <si>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</si>
  <si>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</si>
  <si>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</si>
  <si>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</si>
  <si>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</si>
  <si>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</si>
  <si>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</si>
  <si>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</si>
  <si>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</si>
  <si>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</si>
  <si>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</si>
  <si>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</si>
  <si>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</si>
  <si>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</si>
  <si>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</si>
  <si>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</si>
  <si>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</si>
  <si>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</si>
  <si>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</si>
  <si>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</si>
  <si>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</si>
  <si>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</si>
  <si>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</si>
  <si>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</si>
  <si>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</si>
  <si>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</si>
  <si>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</si>
  <si>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</si>
  <si>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</si>
  <si>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</si>
  <si>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</si>
  <si>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</si>
  <si>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</si>
  <si>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</si>
  <si>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</si>
  <si>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</si>
  <si>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</si>
  <si>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</si>
  <si>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</si>
  <si>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</si>
  <si>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</si>
  <si>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</si>
  <si>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</si>
  <si>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</si>
  <si>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</si>
  <si>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</si>
  <si>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</si>
  <si>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</si>
  <si>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</si>
  <si>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</si>
  <si>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</si>
  <si>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</si>
  <si>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</si>
  <si>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</si>
  <si>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</si>
  <si>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</si>
  <si>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</si>
  <si>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</si>
  <si>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</si>
  <si>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</si>
  <si>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</si>
  <si>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</si>
  <si>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</si>
  <si>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</si>
  <si>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</si>
  <si>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</si>
  <si>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</si>
  <si>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</si>
  <si>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</si>
  <si>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</si>
  <si>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</si>
  <si>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</si>
  <si>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</si>
  <si>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</si>
  <si>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</si>
  <si>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</si>
  <si>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</si>
  <si>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</si>
  <si>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</si>
  <si>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</si>
  <si>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</si>
  <si>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</si>
  <si>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</si>
  <si>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</si>
  <si>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</si>
  <si>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</si>
  <si>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</si>
  <si>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</si>
  <si>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</si>
  <si>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</si>
  <si>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</si>
  <si>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</si>
  <si>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</si>
  <si>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</si>
  <si>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</si>
  <si>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</si>
  <si>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</si>
  <si>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</si>
  <si>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</si>
  <si>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</si>
  <si>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</si>
  <si>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</si>
  <si>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</si>
  <si>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</si>
  <si>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</si>
  <si>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</si>
  <si>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</si>
  <si>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</si>
  <si>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</si>
  <si>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</si>
  <si>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</si>
  <si>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</si>
  <si>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</si>
  <si>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</si>
  <si>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</si>
  <si>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</si>
  <si>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</si>
  <si>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</si>
  <si>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</si>
  <si>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</si>
  <si>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</si>
  <si>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</si>
  <si>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</si>
  <si>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</si>
  <si>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</si>
  <si>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</si>
  <si>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</si>
  <si>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</si>
  <si>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</si>
  <si>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</si>
  <si>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</si>
  <si>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</si>
  <si>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</si>
  <si>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</si>
  <si>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</si>
  <si>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</si>
  <si>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</si>
  <si>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</si>
  <si>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</si>
  <si>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</si>
  <si>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</si>
  <si>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</si>
  <si>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</si>
  <si>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</si>
  <si>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</si>
  <si>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</si>
  <si>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</si>
  <si>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</si>
  <si>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</si>
  <si>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</si>
  <si>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</si>
  <si>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</si>
  <si>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</si>
  <si>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</si>
  <si>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</si>
  <si>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</si>
  <si>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</si>
  <si>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</si>
  <si>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</si>
  <si>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</si>
  <si>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</si>
  <si>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</si>
  <si>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</si>
  <si>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</si>
  <si>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</si>
  <si>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</si>
  <si>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</si>
  <si>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</si>
  <si>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</si>
  <si>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</si>
  <si>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</si>
  <si>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</si>
  <si>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</si>
  <si>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</si>
  <si>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</si>
  <si>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</si>
  <si>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</si>
  <si>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</si>
  <si>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</si>
  <si>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</si>
  <si>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</si>
  <si>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</si>
  <si>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</si>
  <si>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</si>
  <si>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</si>
  <si>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</si>
  <si>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</si>
  <si>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</si>
  <si>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</si>
  <si>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</si>
  <si>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</si>
  <si>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</si>
  <si>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</si>
  <si>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</si>
  <si>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</si>
  <si>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</si>
  <si>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</si>
  <si>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</si>
  <si>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</si>
  <si>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</si>
  <si>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</si>
  <si>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</si>
  <si>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</si>
  <si>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</si>
  <si>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</si>
  <si>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</si>
  <si>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</si>
  <si>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</si>
  <si>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</si>
  <si>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</si>
  <si>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</si>
  <si>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</si>
  <si>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</si>
  <si>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</si>
  <si>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</si>
  <si>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</si>
  <si>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</si>
  <si>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</si>
  <si>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</si>
  <si>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</si>
  <si>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</si>
  <si>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</si>
  <si>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</si>
  <si>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</si>
  <si>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</si>
  <si>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</si>
  <si>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</si>
  <si>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</si>
  <si>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</si>
  <si>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</si>
  <si>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</si>
  <si>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</si>
  <si>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</si>
  <si>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</si>
  <si>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</si>
  <si>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</si>
  <si>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</si>
  <si>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</si>
  <si>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</si>
  <si>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</si>
  <si>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</si>
  <si>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</si>
  <si>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</si>
  <si>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</si>
  <si>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</si>
  <si>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</si>
  <si>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</si>
  <si>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</si>
  <si>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</si>
  <si>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</si>
  <si>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</si>
  <si>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</si>
  <si>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</si>
  <si>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</si>
  <si>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</si>
  <si>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</si>
  <si>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</si>
  <si>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</si>
  <si>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</si>
  <si>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</si>
  <si>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</si>
  <si>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</si>
  <si>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</si>
  <si>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</si>
  <si>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</si>
  <si>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</si>
  <si>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</si>
  <si>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</si>
  <si>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</si>
  <si>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</si>
  <si>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</si>
  <si>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</si>
  <si>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</si>
  <si>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</si>
  <si>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</si>
  <si>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</si>
  <si>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</si>
  <si>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</si>
  <si>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</si>
  <si>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</si>
  <si>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</si>
  <si>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</si>
  <si>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</si>
  <si>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</si>
  <si>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</si>
  <si>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</si>
  <si>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</si>
  <si>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</si>
  <si>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</si>
  <si>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</si>
  <si>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</si>
  <si>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</si>
  <si>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</si>
  <si>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</si>
  <si>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</si>
  <si>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</si>
  <si>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</si>
  <si>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</si>
  <si>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</si>
  <si>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</si>
  <si>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</si>
  <si>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</si>
  <si>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</si>
  <si>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</si>
  <si>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</si>
  <si>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</si>
  <si>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</si>
  <si>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</si>
  <si>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</si>
  <si>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</si>
  <si>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</si>
  <si>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</si>
  <si>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</si>
  <si>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</si>
  <si>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</si>
  <si>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</si>
  <si>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</si>
  <si>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</si>
  <si>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</si>
  <si>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</si>
  <si>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</si>
  <si>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</si>
  <si>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</si>
  <si>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</si>
  <si>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</si>
  <si>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</si>
  <si>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</si>
  <si>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</si>
  <si>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</si>
  <si>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</si>
  <si>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</si>
  <si>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</si>
  <si>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</si>
  <si>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</si>
  <si>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</si>
  <si>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</si>
  <si>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</si>
  <si>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</si>
  <si>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</si>
  <si>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</si>
  <si>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</si>
  <si>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</si>
  <si>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</si>
  <si>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</si>
  <si>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</si>
  <si>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</si>
  <si>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</si>
  <si>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</si>
  <si>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</si>
  <si>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</si>
  <si>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</si>
  <si>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</si>
  <si>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</si>
  <si>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</si>
  <si>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</si>
  <si>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</si>
  <si>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</si>
  <si>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</si>
  <si>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</si>
  <si>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</si>
  <si>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</si>
  <si>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</si>
  <si>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</si>
  <si>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</si>
  <si>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</si>
  <si>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</si>
  <si>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</si>
  <si>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</si>
  <si>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</si>
  <si>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</si>
  <si>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</si>
  <si>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</si>
  <si>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</si>
  <si>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</si>
  <si>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</si>
  <si>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</si>
  <si>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</si>
  <si>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</si>
  <si>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</si>
  <si>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</si>
  <si>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</si>
  <si>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</si>
  <si>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</si>
  <si>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</si>
  <si>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</si>
  <si>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</si>
  <si>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</si>
  <si>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</si>
  <si>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</si>
  <si>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</si>
  <si>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</si>
  <si>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</si>
  <si>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</si>
  <si>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</si>
  <si>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</si>
  <si>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</si>
  <si>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</si>
  <si>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</si>
  <si>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</si>
  <si>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</si>
  <si>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</si>
  <si>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</si>
  <si>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</si>
  <si>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</si>
  <si>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</si>
  <si>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</si>
  <si>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</si>
  <si>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</si>
  <si>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</si>
  <si>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</si>
  <si>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</si>
  <si>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</si>
  <si>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</si>
  <si>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</si>
  <si>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</si>
  <si>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</si>
  <si>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</si>
  <si>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</si>
  <si>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</si>
  <si>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</si>
  <si>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</si>
  <si>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</si>
  <si>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</si>
  <si>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</si>
  <si>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</si>
  <si>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</si>
  <si>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</si>
  <si>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</si>
  <si>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</si>
  <si>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</si>
  <si>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</si>
  <si>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</si>
  <si>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</si>
  <si>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</si>
  <si>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</si>
  <si>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</si>
  <si>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</si>
  <si>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</si>
  <si>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</si>
  <si>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</si>
  <si>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</si>
  <si>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</si>
  <si>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</si>
  <si>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</si>
  <si>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</si>
  <si>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</si>
  <si>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</si>
  <si>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</si>
  <si>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</si>
  <si>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</si>
  <si>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</si>
  <si>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</si>
  <si>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</si>
  <si>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</si>
  <si>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</si>
  <si>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</si>
  <si>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</si>
  <si>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</si>
  <si>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</si>
  <si>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</si>
  <si>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</si>
  <si>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</si>
  <si>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</si>
  <si>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</si>
  <si>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</si>
  <si>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</si>
  <si>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</si>
  <si>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</si>
  <si>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</si>
  <si>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</si>
  <si>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</si>
  <si>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</si>
  <si>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</si>
  <si>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</si>
  <si>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</si>
  <si>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</si>
  <si>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</si>
  <si>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</si>
  <si>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</si>
  <si>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</si>
  <si>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</si>
  <si>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</si>
  <si>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</si>
  <si>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</si>
  <si>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</si>
  <si>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</si>
  <si>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</si>
  <si>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</si>
  <si>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</si>
  <si>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</si>
  <si>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</si>
  <si>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</si>
  <si>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</si>
  <si>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</si>
  <si>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</si>
  <si>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</si>
  <si>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</si>
  <si>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</si>
  <si>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</si>
  <si>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</si>
  <si>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</si>
  <si>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</si>
  <si>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</si>
  <si>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</si>
  <si>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</si>
  <si>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</si>
  <si>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</si>
  <si>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</si>
  <si>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</si>
  <si>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</si>
  <si>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</si>
  <si>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</si>
  <si>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</si>
  <si>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</si>
  <si>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</si>
  <si>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</si>
  <si>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</si>
  <si>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</si>
  <si>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</si>
  <si>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</si>
  <si>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</si>
  <si>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</si>
  <si>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</si>
  <si>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</si>
  <si>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</si>
  <si>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</si>
  <si>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</si>
  <si>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</si>
  <si>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</si>
  <si>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</si>
  <si>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</si>
  <si>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</si>
  <si>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</si>
  <si>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</si>
  <si>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</si>
  <si>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</si>
  <si>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</si>
  <si>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</si>
  <si>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</si>
  <si>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</si>
  <si>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</si>
  <si>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</si>
  <si>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</si>
  <si>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</si>
  <si>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</si>
  <si>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</si>
  <si>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</si>
  <si>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</si>
  <si>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</si>
  <si>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</si>
  <si>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</si>
  <si>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</si>
  <si>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</si>
  <si>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</si>
  <si>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</si>
  <si>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</si>
  <si>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</si>
  <si>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</si>
  <si>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</si>
  <si>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</si>
  <si>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</si>
  <si>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</si>
  <si>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</si>
  <si>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</si>
  <si>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</si>
  <si>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</si>
  <si>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</si>
  <si>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</si>
  <si>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</si>
  <si>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</si>
  <si>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</si>
  <si>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</si>
  <si>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</si>
  <si>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</si>
  <si>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</si>
  <si>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</si>
  <si>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</si>
  <si>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</si>
  <si>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</si>
  <si>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</si>
  <si>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</si>
  <si>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</si>
  <si>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</si>
  <si>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</si>
  <si>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</si>
  <si>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</si>
  <si>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</si>
  <si>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</si>
  <si>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</si>
  <si>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</si>
  <si>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</si>
  <si>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</si>
  <si>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</si>
  <si>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</si>
  <si>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</si>
  <si>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</si>
  <si>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</si>
  <si>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</si>
  <si>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</si>
  <si>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</si>
  <si>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</si>
  <si>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</si>
  <si>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</si>
  <si>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</si>
  <si>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</si>
  <si>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</si>
  <si>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</si>
  <si>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</si>
  <si>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</si>
  <si>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</si>
  <si>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</si>
  <si>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</si>
  <si>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</si>
  <si>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</si>
  <si>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</si>
  <si>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</si>
  <si>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</si>
  <si>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</si>
  <si>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</si>
  <si>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</si>
  <si>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</si>
  <si>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</si>
  <si>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</si>
  <si>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</si>
  <si>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</si>
  <si>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</si>
  <si>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</si>
  <si>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</si>
  <si>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</si>
  <si>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</si>
  <si>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</si>
  <si>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</si>
  <si>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</si>
  <si>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</si>
  <si>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</si>
  <si>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</si>
  <si>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</si>
  <si>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</si>
  <si>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</si>
  <si>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</si>
  <si>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</si>
  <si>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</si>
  <si>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</si>
  <si>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</si>
  <si>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</si>
  <si>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</si>
  <si>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</si>
  <si>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</si>
  <si>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</si>
  <si>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</si>
  <si>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</si>
  <si>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</si>
  <si>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</si>
  <si>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</si>
  <si>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</si>
  <si>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</si>
  <si>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</si>
  <si>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</si>
  <si>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</si>
  <si>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</si>
  <si>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</si>
  <si>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</si>
  <si>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</si>
  <si>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</si>
  <si>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</si>
  <si>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</si>
  <si>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</si>
  <si>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</si>
  <si>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</si>
  <si>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</si>
  <si>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</si>
  <si>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</si>
  <si>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</si>
  <si>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</si>
  <si>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</si>
  <si>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</si>
  <si>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</si>
  <si>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</si>
  <si>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</si>
  <si>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</si>
  <si>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</si>
  <si>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</si>
  <si>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</si>
  <si>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</si>
  <si>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</si>
  <si>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</si>
  <si>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</si>
  <si>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</si>
  <si>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</si>
  <si>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</si>
  <si>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</si>
  <si>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</si>
  <si>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</si>
  <si>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</si>
  <si>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</si>
  <si>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</si>
  <si>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</si>
  <si>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</si>
  <si>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</si>
  <si>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</si>
  <si>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</si>
  <si>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</si>
  <si>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</si>
  <si>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</si>
  <si>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</si>
  <si>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</si>
  <si>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</si>
  <si>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</si>
  <si>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</si>
  <si>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</si>
  <si>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</si>
  <si>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</si>
  <si>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</si>
  <si>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</si>
  <si>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</si>
  <si>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</si>
  <si>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</si>
  <si>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</si>
  <si>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</si>
  <si>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</si>
  <si>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</si>
  <si>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</si>
  <si>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</si>
  <si>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</si>
  <si>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</si>
  <si>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</si>
  <si>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</si>
  <si>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</si>
  <si>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</si>
  <si>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</si>
  <si>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</si>
  <si>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</si>
  <si>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</si>
  <si>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</si>
  <si>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</si>
  <si>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</si>
  <si>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</si>
  <si>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</si>
  <si>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</si>
  <si>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</si>
  <si>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</si>
  <si>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</si>
  <si>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</si>
  <si>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</si>
  <si>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</si>
  <si>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</si>
  <si>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</si>
  <si>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</si>
  <si>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</si>
  <si>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</si>
  <si>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</si>
  <si>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</si>
  <si>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</si>
  <si>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</si>
  <si>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</si>
  <si>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</si>
  <si>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</si>
  <si>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</si>
  <si>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</si>
  <si>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</si>
  <si>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</si>
  <si>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</si>
  <si>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</si>
  <si>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</si>
  <si>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</si>
  <si>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</si>
  <si>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</si>
  <si>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</si>
  <si>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</si>
  <si>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</si>
  <si>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</si>
  <si>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</si>
  <si>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</si>
  <si>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</si>
  <si>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</si>
  <si>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</si>
  <si>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</si>
  <si>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</si>
  <si>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</si>
  <si>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</si>
  <si>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</si>
  <si>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</si>
  <si>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</si>
  <si>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</si>
  <si>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</si>
  <si>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</si>
  <si>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</si>
  <si>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</si>
  <si>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</si>
  <si>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</si>
  <si>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</si>
  <si>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</si>
  <si>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</si>
  <si>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</si>
  <si>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</si>
  <si>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</si>
  <si>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</si>
  <si>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</si>
  <si>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</si>
  <si>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</si>
  <si>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</si>
  <si>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</si>
  <si>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</si>
  <si>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</si>
  <si>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</si>
  <si>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</si>
  <si>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</si>
  <si>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</si>
  <si>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</si>
  <si>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</si>
  <si>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</si>
  <si>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</si>
  <si>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</si>
  <si>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</si>
  <si>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</si>
  <si>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</si>
  <si>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</si>
  <si>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</si>
  <si>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</si>
  <si>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</si>
  <si>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</si>
  <si>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</si>
  <si>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</si>
  <si>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</si>
  <si>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</si>
  <si>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</si>
  <si>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</si>
  <si>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</si>
  <si>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</si>
  <si>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</si>
  <si>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</si>
  <si>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</si>
  <si>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</si>
  <si>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</si>
  <si>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</si>
  <si>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</si>
  <si>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</si>
  <si>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</si>
  <si>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</si>
  <si>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</si>
  <si>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</si>
  <si>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</si>
  <si>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</si>
  <si>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</si>
  <si>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</si>
  <si>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</si>
  <si>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</si>
  <si>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</si>
  <si>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</si>
  <si>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</si>
  <si>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</si>
  <si>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</si>
  <si>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</si>
  <si>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</si>
  <si>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</si>
  <si>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</si>
  <si>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</si>
  <si>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</si>
  <si>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</si>
  <si>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</si>
  <si>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</si>
  <si>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</si>
  <si>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</si>
  <si>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</si>
  <si>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</si>
  <si>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</si>
  <si>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</si>
  <si>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</si>
  <si>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</si>
  <si>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</si>
  <si>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</si>
  <si>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</si>
  <si>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</si>
  <si>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</si>
  <si>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</si>
  <si>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</si>
  <si>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</si>
  <si>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</si>
  <si>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</si>
  <si>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</si>
  <si>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</si>
  <si>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</si>
  <si>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</si>
  <si>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</si>
  <si>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</si>
  <si>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</si>
  <si>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</si>
  <si>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</si>
  <si>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</si>
  <si>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</si>
  <si>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</si>
  <si>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</si>
  <si>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</si>
  <si>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</si>
  <si>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</si>
  <si>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</si>
  <si>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</si>
  <si>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</si>
  <si>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</si>
  <si>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</si>
  <si>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</si>
  <si>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</si>
  <si>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</si>
  <si>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</si>
  <si>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</si>
  <si>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</si>
  <si>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</si>
  <si>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</si>
  <si>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</si>
  <si>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</si>
  <si>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</si>
  <si>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</si>
  <si>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</si>
  <si>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</si>
  <si>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</si>
  <si>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</si>
  <si>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</si>
  <si>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</si>
  <si>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</si>
  <si>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</si>
  <si>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</si>
  <si>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</si>
  <si>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</si>
  <si>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</si>
  <si>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</si>
  <si>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</si>
  <si>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</si>
  <si>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</si>
  <si>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</si>
  <si>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</si>
  <si>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</si>
  <si>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</si>
  <si>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</si>
  <si>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</si>
  <si>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</si>
  <si>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</si>
  <si>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</si>
  <si>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</si>
  <si>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</si>
  <si>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</si>
  <si>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</si>
  <si>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</si>
  <si>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</si>
  <si>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</si>
  <si>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</si>
  <si>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</si>
  <si>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</si>
  <si>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</si>
  <si>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</si>
  <si>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</si>
  <si>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</si>
  <si>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</si>
  <si>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</si>
  <si>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</si>
  <si>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</si>
  <si>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</si>
  <si>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</si>
  <si>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</si>
  <si>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</si>
  <si>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</si>
  <si>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</si>
  <si>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</si>
  <si>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</si>
  <si>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</si>
  <si>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</si>
  <si>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</si>
  <si>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</si>
  <si>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</si>
  <si>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</si>
  <si>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</si>
  <si>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</si>
  <si>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</si>
  <si>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</si>
  <si>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</si>
  <si>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</si>
  <si>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</si>
  <si>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</si>
  <si>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</si>
  <si>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</si>
  <si>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</si>
  <si>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</si>
  <si>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</si>
  <si>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</si>
  <si>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</si>
  <si>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</si>
  <si>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</si>
  <si>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</si>
  <si>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</si>
  <si>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</si>
  <si>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</si>
  <si>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</si>
  <si>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</si>
  <si>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</si>
  <si>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</si>
  <si>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</si>
  <si>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</si>
  <si>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</si>
  <si>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</si>
  <si>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</si>
  <si>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</si>
  <si>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</si>
  <si>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</si>
  <si>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</si>
  <si>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</si>
  <si>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</si>
  <si>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</si>
  <si>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</si>
  <si>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</si>
  <si>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</si>
  <si>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</si>
  <si>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</si>
  <si>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</si>
  <si>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</si>
  <si>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</si>
  <si>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</si>
  <si>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</si>
  <si>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</si>
  <si>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</si>
  <si>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</si>
  <si>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</si>
  <si>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</si>
  <si>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</si>
  <si>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</si>
  <si>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</si>
  <si>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</si>
  <si>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</si>
  <si>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</si>
  <si>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</si>
  <si>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</si>
  <si>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</si>
  <si>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</si>
  <si>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</si>
  <si>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</si>
  <si>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</si>
  <si>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</si>
  <si>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</si>
  <si>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</si>
  <si>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</si>
  <si>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</si>
  <si>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</si>
  <si>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</si>
  <si>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</si>
  <si>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</si>
  <si>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</si>
  <si>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</si>
  <si>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</si>
  <si>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</si>
  <si>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</si>
  <si>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</si>
  <si>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</si>
  <si>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</si>
  <si>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</si>
  <si>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</si>
  <si>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</si>
  <si>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</si>
  <si>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</si>
  <si>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</si>
  <si>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</si>
  <si>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</si>
  <si>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</si>
  <si>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</si>
  <si>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</si>
  <si>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</si>
  <si>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</si>
  <si>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</si>
  <si>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</si>
  <si>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</si>
  <si>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</si>
  <si>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</si>
  <si>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</si>
  <si>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</si>
  <si>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</si>
  <si>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</si>
  <si>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</si>
  <si>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</si>
  <si>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</si>
  <si>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</si>
  <si>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</si>
  <si>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</si>
  <si>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</si>
  <si>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</si>
  <si>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</si>
  <si>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</si>
  <si>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</si>
  <si>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</si>
  <si>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</si>
  <si>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</si>
  <si>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</si>
  <si>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</si>
  <si>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</si>
  <si>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</si>
  <si>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</si>
  <si>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</si>
  <si>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</si>
  <si>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</si>
  <si>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</si>
  <si>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</si>
  <si>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</si>
  <si>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</si>
  <si>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</si>
  <si>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</si>
  <si>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</si>
  <si>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</si>
  <si>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</si>
  <si>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</si>
  <si>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</si>
  <si>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</si>
  <si>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</si>
  <si>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</si>
  <si>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</si>
  <si>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</si>
  <si>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</si>
  <si>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</si>
  <si>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</si>
  <si>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</si>
  <si>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</si>
  <si>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</si>
  <si>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</si>
  <si>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</si>
  <si>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</si>
  <si>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</si>
  <si>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</si>
  <si>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</si>
  <si>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</si>
  <si>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</si>
  <si>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</si>
  <si>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</si>
  <si>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</si>
  <si>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</si>
  <si>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</si>
  <si>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</si>
  <si>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</si>
  <si>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</si>
  <si>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</si>
  <si>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</si>
  <si>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</si>
  <si>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</si>
  <si>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</si>
  <si>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</si>
  <si>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</si>
  <si>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</si>
  <si>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</si>
  <si>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</si>
  <si>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</si>
  <si>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</si>
  <si>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</si>
  <si>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</si>
  <si>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</si>
  <si>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</si>
  <si>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</si>
  <si>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</si>
  <si>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</si>
  <si>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</si>
  <si>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</si>
  <si>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</si>
  <si>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</si>
  <si>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</si>
  <si>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</si>
  <si>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</si>
  <si>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</si>
  <si>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</si>
  <si>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</si>
  <si>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</si>
  <si>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</si>
  <si>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</si>
  <si>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</si>
  <si>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</si>
  <si>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</si>
  <si>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</si>
  <si>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</si>
  <si>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</si>
  <si>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</si>
  <si>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</si>
  <si>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</si>
  <si>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</si>
  <si>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</si>
  <si>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</si>
  <si>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</si>
  <si>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</si>
  <si>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</si>
  <si>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</si>
  <si>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</si>
  <si>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</si>
  <si>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</si>
  <si>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</si>
  <si>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</si>
  <si>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</si>
  <si>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</si>
  <si>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</si>
  <si>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</si>
  <si>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</si>
  <si>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</si>
  <si>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</si>
  <si>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</si>
  <si>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</si>
  <si>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</si>
  <si>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</si>
  <si>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</si>
  <si>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</si>
  <si>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</si>
  <si>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</si>
  <si>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</si>
  <si>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</si>
  <si>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</si>
  <si>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</si>
  <si>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</si>
  <si>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</si>
  <si>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</si>
  <si>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</si>
  <si>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</si>
  <si>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</si>
  <si>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</si>
  <si>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</si>
  <si>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</si>
  <si>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</si>
  <si>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</si>
  <si>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</si>
  <si>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</si>
  <si>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</si>
  <si>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</si>
  <si>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</si>
  <si>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</si>
  <si>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</si>
  <si>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</si>
  <si>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</si>
  <si>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</si>
  <si>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</si>
  <si>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</si>
  <si>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</si>
  <si>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</si>
  <si>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</si>
  <si>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</si>
  <si>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</si>
  <si>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</si>
  <si>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</si>
  <si>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</si>
  <si>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</si>
  <si>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</si>
  <si>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</si>
  <si>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</si>
  <si>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</si>
  <si>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</si>
  <si>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</si>
  <si>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</si>
  <si>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</si>
  <si>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</si>
  <si>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</si>
  <si>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</si>
  <si>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</si>
  <si>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</si>
  <si>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</si>
  <si>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</si>
  <si>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</si>
  <si>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</si>
  <si>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</si>
  <si>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</si>
  <si>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</si>
  <si>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</si>
  <si>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</si>
  <si>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</si>
  <si>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</si>
  <si>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</si>
  <si>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</si>
  <si>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</si>
  <si>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</si>
  <si>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</si>
  <si>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</si>
  <si>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</si>
  <si>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</si>
  <si>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</si>
  <si>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</si>
  <si>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</si>
  <si>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</si>
  <si>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</si>
  <si>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</si>
  <si>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</si>
  <si>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</si>
  <si>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</si>
  <si>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</si>
  <si>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</si>
  <si>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</si>
  <si>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</si>
  <si>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</si>
  <si>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</si>
  <si>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</si>
  <si>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</si>
  <si>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</si>
  <si>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</si>
  <si>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</si>
  <si>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</si>
  <si>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</si>
  <si>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</si>
  <si>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</si>
  <si>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</si>
  <si>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</si>
  <si>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</si>
  <si>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</si>
  <si>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</si>
  <si>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</si>
  <si>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</si>
  <si>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</si>
  <si>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</si>
  <si>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</si>
  <si>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</si>
  <si>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</si>
  <si>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</si>
  <si>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</si>
  <si>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</si>
  <si>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</si>
  <si>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</si>
  <si>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</si>
  <si>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</si>
  <si>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</si>
  <si>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</si>
  <si>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</si>
  <si>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</si>
  <si>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</si>
  <si>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</si>
  <si>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</si>
  <si>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</si>
  <si>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</si>
  <si>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</si>
  <si>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</si>
  <si>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</si>
  <si>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</si>
  <si>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</si>
  <si>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</si>
  <si>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</si>
  <si>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</si>
  <si>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</si>
  <si>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</si>
  <si>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</si>
  <si>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</si>
  <si>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</si>
  <si>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</si>
  <si>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</si>
  <si>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</si>
  <si>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</si>
  <si>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</si>
  <si>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</si>
  <si>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</si>
  <si>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</si>
  <si>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</si>
  <si>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</si>
  <si>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</si>
  <si>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</si>
  <si>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</si>
  <si>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</si>
  <si>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</si>
  <si>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</si>
  <si>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</si>
  <si>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</si>
  <si>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</si>
  <si>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</si>
  <si>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</si>
  <si>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</si>
  <si>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</si>
  <si>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</si>
  <si>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</si>
  <si>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</si>
  <si>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</si>
  <si>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</si>
  <si>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</si>
  <si>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</si>
  <si>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</si>
  <si>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</si>
  <si>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</si>
  <si>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</si>
  <si>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</si>
  <si>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</si>
  <si>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</si>
  <si>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</si>
  <si>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</si>
  <si>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</si>
  <si>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</si>
  <si>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</si>
  <si>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</si>
  <si>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</si>
  <si>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</si>
  <si>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</si>
  <si>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</si>
  <si>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</si>
  <si>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</si>
  <si>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</si>
  <si>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</si>
  <si>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</si>
  <si>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</si>
  <si>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</si>
  <si>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</si>
  <si>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</si>
  <si>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</si>
  <si>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</si>
  <si>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</si>
  <si>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</si>
  <si>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</si>
  <si>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</si>
  <si>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</si>
  <si>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</si>
  <si>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</si>
  <si>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</si>
  <si>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</si>
  <si>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</si>
  <si>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</si>
  <si>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</si>
  <si>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</si>
  <si>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</si>
  <si>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</si>
  <si>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</si>
  <si>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</si>
  <si>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</si>
  <si>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</si>
  <si>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</si>
  <si>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</si>
  <si>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</si>
  <si>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</si>
  <si>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</si>
  <si>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</si>
  <si>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</si>
  <si>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</si>
  <si>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</si>
  <si>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</si>
  <si>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</si>
  <si>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</si>
  <si>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</si>
  <si>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</si>
  <si>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</si>
  <si>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</si>
  <si>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</si>
  <si>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</si>
  <si>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</si>
  <si>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</si>
  <si>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</si>
  <si>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</si>
  <si>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</si>
  <si>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</si>
  <si>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</si>
  <si>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</si>
  <si>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</si>
  <si>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</si>
  <si>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</si>
  <si>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</si>
  <si>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</si>
  <si>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</si>
  <si>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</si>
  <si>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</si>
  <si>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</si>
  <si>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</si>
  <si>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</si>
  <si>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</si>
  <si>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</si>
  <si>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</si>
  <si>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</si>
  <si>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</si>
  <si>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</si>
  <si>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</si>
  <si>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</si>
  <si>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</si>
  <si>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</si>
  <si>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</si>
  <si>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</si>
  <si>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</si>
  <si>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</si>
  <si>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</si>
  <si>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</si>
  <si>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</si>
  <si>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</si>
  <si>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</si>
  <si>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</si>
  <si>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</si>
  <si>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</si>
  <si>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</si>
  <si>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</si>
  <si>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</si>
  <si>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</si>
  <si>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</si>
  <si>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</si>
  <si>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</si>
  <si>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</si>
  <si>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</si>
  <si>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</si>
  <si>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</si>
  <si>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</si>
  <si>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</si>
  <si>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</si>
  <si>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</si>
  <si>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</si>
  <si>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</si>
  <si>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</si>
  <si>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</si>
  <si>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</si>
  <si>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</si>
  <si>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</si>
  <si>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</si>
  <si>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</si>
  <si>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</si>
  <si>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</si>
  <si>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</si>
  <si>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</si>
  <si>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</si>
  <si>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</si>
  <si>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</si>
  <si>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</si>
  <si>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</si>
  <si>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</si>
  <si>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</si>
  <si>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</si>
  <si>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</si>
  <si>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</si>
  <si>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</si>
  <si>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</si>
  <si>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</si>
  <si>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</si>
  <si>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</si>
  <si>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</si>
  <si>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</si>
  <si>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</si>
  <si>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</si>
  <si>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</si>
  <si>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</si>
  <si>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</si>
  <si>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</si>
  <si>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</si>
  <si>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</si>
  <si>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</si>
  <si>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</si>
  <si>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</si>
  <si>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</si>
  <si>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</si>
  <si>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</si>
  <si>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</si>
  <si>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</si>
  <si>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</si>
  <si>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</si>
  <si>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</si>
  <si>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</si>
  <si>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</si>
  <si>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</si>
  <si>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</si>
  <si>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</si>
  <si>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</si>
  <si>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</si>
  <si>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</si>
  <si>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</si>
  <si>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</si>
  <si>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</si>
  <si>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</si>
  <si>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</si>
  <si>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</si>
  <si>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</si>
  <si>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</si>
  <si>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</si>
  <si>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</si>
  <si>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</si>
  <si>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</si>
  <si>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</si>
  <si>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</si>
  <si>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</si>
  <si>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</si>
  <si>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</si>
  <si>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</si>
  <si>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</si>
  <si>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</si>
  <si>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</si>
  <si>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</si>
  <si>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</si>
  <si>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</si>
  <si>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</si>
  <si>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</si>
  <si>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</si>
  <si>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</si>
  <si>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</si>
  <si>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</si>
  <si>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</si>
  <si>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</si>
  <si>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</si>
  <si>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</si>
  <si>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</si>
  <si>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</si>
  <si>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</si>
  <si>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</si>
  <si>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</si>
  <si>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</si>
  <si>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</si>
  <si>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</si>
  <si>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</si>
  <si>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</si>
  <si>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</si>
  <si>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</si>
  <si>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</si>
  <si>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</si>
  <si>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</si>
  <si>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</si>
  <si>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</si>
  <si>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</si>
  <si>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</si>
  <si>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</si>
  <si>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</si>
  <si>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</si>
  <si>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</si>
  <si>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</si>
  <si>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</si>
  <si>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</si>
  <si>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</si>
  <si>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</si>
  <si>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</si>
  <si>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</si>
  <si>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</si>
  <si>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</si>
  <si>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</si>
  <si>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</si>
  <si>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</si>
  <si>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</si>
  <si>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</si>
  <si>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</si>
  <si>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</si>
  <si>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</si>
  <si>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</si>
  <si>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</si>
  <si>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</si>
  <si>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</si>
  <si>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</si>
  <si>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</si>
  <si>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</si>
  <si>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</si>
  <si>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</si>
  <si>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</si>
  <si>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</si>
  <si>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</si>
  <si>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</si>
  <si>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</si>
  <si>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</si>
  <si>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</si>
  <si>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</si>
  <si>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</si>
  <si>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</si>
  <si>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</si>
  <si>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</si>
  <si>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</si>
  <si>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</si>
  <si>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</si>
  <si>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</si>
  <si>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</si>
  <si>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</si>
  <si>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</si>
  <si>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</si>
  <si>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</si>
  <si>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</si>
  <si>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</si>
  <si>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</si>
  <si>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</si>
  <si>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</si>
  <si>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</si>
  <si>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</si>
  <si>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</si>
  <si>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</si>
  <si>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</si>
  <si>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</si>
  <si>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</si>
  <si>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</si>
  <si>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</si>
  <si>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</si>
  <si>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</si>
  <si>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</si>
  <si>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</si>
  <si>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</si>
  <si>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</si>
  <si>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</si>
  <si>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</si>
  <si>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</si>
  <si>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</si>
  <si>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</si>
  <si>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</si>
  <si>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</si>
  <si>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</si>
  <si>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</si>
  <si>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</si>
  <si>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</si>
  <si>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</si>
  <si>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</si>
  <si>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</si>
  <si>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</si>
  <si>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</si>
  <si>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</si>
  <si>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</si>
  <si>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</si>
  <si>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</si>
  <si>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</si>
  <si>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</si>
  <si>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</si>
  <si>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</si>
  <si>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</si>
  <si>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</si>
  <si>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</si>
  <si>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</si>
  <si>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</si>
  <si>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</si>
  <si>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</si>
  <si>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</si>
  <si>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</si>
  <si>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</si>
  <si>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</si>
  <si>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</si>
  <si>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</si>
  <si>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</si>
  <si>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</si>
  <si>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</si>
  <si>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</si>
  <si>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</si>
  <si>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</si>
  <si>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</si>
  <si>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</si>
  <si>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</si>
  <si>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</si>
  <si>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</si>
  <si>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</si>
  <si>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</si>
  <si>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</si>
  <si>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</si>
  <si>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</si>
  <si>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</si>
  <si>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</si>
  <si>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</si>
  <si>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</si>
  <si>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</si>
  <si>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</si>
  <si>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</si>
  <si>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</si>
  <si>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</si>
  <si>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</si>
  <si>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</si>
  <si>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</si>
  <si>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</si>
  <si>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</si>
  <si>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</si>
  <si>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</si>
  <si>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</si>
  <si>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</si>
  <si>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</si>
  <si>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</si>
  <si>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</si>
  <si>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</si>
  <si>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</si>
  <si>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</si>
  <si>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</si>
  <si>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</si>
  <si>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</si>
  <si>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</si>
  <si>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</si>
  <si>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</si>
  <si>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</si>
  <si>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</si>
  <si>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</si>
  <si>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</si>
  <si>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</si>
  <si>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</si>
  <si>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</si>
  <si>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</si>
  <si>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</si>
  <si>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</si>
  <si>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</si>
  <si>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</si>
  <si>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</si>
  <si>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</si>
  <si>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</si>
  <si>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</si>
  <si>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</si>
  <si>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</si>
  <si>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</si>
  <si>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</si>
  <si>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</si>
  <si>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</si>
  <si>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</si>
  <si>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</si>
  <si>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</si>
  <si>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</si>
  <si>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</si>
  <si>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</si>
  <si>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</si>
  <si>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</si>
  <si>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</si>
  <si>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</si>
  <si>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</si>
  <si>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</si>
  <si>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</si>
  <si>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</si>
  <si>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</si>
  <si>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</si>
  <si>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</si>
  <si>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</si>
  <si>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</si>
  <si>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</si>
  <si>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</si>
  <si>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</si>
  <si>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</si>
  <si>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</si>
  <si>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</si>
  <si>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</si>
  <si>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</si>
  <si>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</si>
  <si>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</si>
  <si>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</si>
  <si>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</si>
  <si>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</si>
  <si>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</si>
  <si>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</si>
  <si>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</si>
  <si>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</si>
  <si>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</si>
  <si>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</si>
  <si>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</si>
  <si>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</si>
  <si>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</si>
  <si>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</si>
  <si>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</si>
  <si>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</si>
  <si>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</si>
  <si>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</si>
  <si>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</si>
  <si>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</si>
  <si>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</si>
  <si>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</si>
  <si>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</si>
  <si>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</si>
  <si>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</si>
  <si>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</si>
  <si>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</si>
  <si>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</si>
  <si>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</si>
  <si>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</si>
  <si>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</si>
  <si>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</si>
  <si>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</si>
  <si>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</si>
  <si>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</si>
  <si>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</si>
  <si>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</si>
  <si>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</si>
  <si>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</si>
  <si>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</si>
  <si>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</si>
  <si>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</si>
  <si>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</si>
  <si>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</si>
  <si>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</si>
  <si>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</si>
  <si>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</si>
  <si>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</si>
  <si>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</si>
  <si>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</si>
  <si>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</si>
  <si>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</si>
  <si>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</si>
  <si>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</si>
  <si>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</si>
  <si>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</si>
  <si>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</si>
  <si>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</si>
  <si>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</si>
  <si>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</si>
  <si>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</si>
  <si>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</si>
  <si>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</si>
  <si>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</si>
  <si>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</si>
  <si>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</si>
  <si>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</si>
  <si>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</si>
  <si>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</si>
  <si>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</si>
  <si>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</si>
  <si>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</si>
  <si>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</si>
  <si>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</si>
  <si>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</si>
  <si>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</si>
  <si>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</si>
  <si>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</si>
  <si>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</si>
  <si>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</si>
  <si>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</si>
  <si>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</si>
  <si>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</si>
  <si>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</si>
  <si>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</si>
  <si>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</si>
  <si>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</si>
  <si>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</si>
  <si>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</si>
  <si>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</si>
  <si>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</si>
  <si>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</si>
  <si>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</si>
  <si>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</si>
  <si>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</si>
  <si>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</si>
  <si>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</si>
  <si>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</si>
  <si>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</si>
  <si>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</si>
  <si>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</si>
  <si>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</si>
  <si>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</si>
  <si>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</si>
  <si>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</si>
  <si>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</si>
  <si>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</si>
  <si>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</si>
  <si>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</si>
  <si>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</si>
  <si>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</si>
  <si>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</si>
  <si>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</si>
  <si>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</si>
  <si>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</si>
  <si>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</si>
  <si>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</si>
  <si>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</si>
  <si>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</si>
  <si>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</si>
  <si>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</si>
  <si>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</si>
  <si>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</si>
  <si>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</si>
  <si>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</si>
  <si>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</si>
  <si>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</si>
  <si>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</si>
  <si>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</si>
  <si>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</si>
  <si>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</si>
  <si>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</si>
  <si>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</si>
  <si>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</si>
  <si>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</si>
  <si>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</si>
  <si>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</si>
  <si>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</si>
  <si>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</si>
  <si>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</si>
  <si>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</si>
  <si>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</si>
  <si>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</si>
  <si>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</si>
  <si>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</si>
  <si>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</si>
  <si>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</si>
  <si>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</si>
  <si>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</si>
  <si>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</si>
  <si>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</si>
  <si>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</si>
  <si>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</si>
  <si>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</si>
  <si>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</si>
  <si>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</si>
  <si>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</si>
  <si>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</si>
  <si>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</si>
  <si>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</si>
  <si>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</si>
  <si>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</si>
  <si>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</si>
  <si>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</si>
  <si>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</si>
  <si>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</si>
  <si>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</si>
  <si>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</si>
  <si>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</si>
  <si>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</si>
  <si>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</si>
  <si>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</si>
  <si>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</si>
  <si>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</si>
  <si>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</si>
  <si>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</si>
  <si>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</si>
  <si>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</si>
  <si>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</si>
  <si>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</si>
  <si>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</si>
  <si>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</si>
  <si>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</si>
  <si>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</si>
  <si>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</si>
  <si>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</si>
  <si>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</si>
  <si>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</si>
  <si>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</si>
  <si>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</si>
  <si>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</si>
  <si>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</si>
  <si>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</si>
  <si>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</si>
  <si>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</si>
  <si>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</si>
  <si>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</si>
  <si>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</si>
  <si>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</si>
  <si>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</si>
  <si>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</si>
  <si>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</si>
  <si>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</si>
  <si>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</si>
  <si>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</si>
  <si>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</si>
  <si>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</si>
  <si>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</si>
  <si>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</si>
  <si>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</si>
  <si>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</si>
  <si>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</si>
  <si>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</si>
  <si>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</si>
  <si>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</si>
  <si>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</si>
  <si>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</si>
  <si>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</si>
  <si>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</si>
  <si>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</si>
  <si>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</si>
  <si>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</si>
  <si>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</si>
  <si>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</si>
  <si>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</si>
  <si>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</si>
  <si>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</si>
  <si>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</si>
  <si>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</si>
  <si>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</si>
  <si>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</si>
  <si>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</si>
  <si>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</si>
  <si>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</si>
  <si>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</si>
  <si>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</si>
  <si>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</si>
  <si>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</si>
  <si>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</si>
  <si>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</si>
  <si>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</si>
  <si>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</si>
  <si>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</si>
  <si>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</si>
  <si>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</si>
  <si>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</si>
  <si>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</si>
  <si>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</si>
  <si>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</si>
  <si>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</si>
  <si>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</si>
  <si>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</si>
  <si>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</si>
  <si>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</si>
  <si>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</si>
  <si>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</si>
  <si>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</si>
  <si>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</si>
  <si>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</si>
  <si>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</si>
  <si>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</si>
  <si>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</si>
  <si>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</si>
  <si>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</si>
  <si>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</si>
  <si>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</si>
  <si>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</si>
  <si>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</si>
  <si>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</si>
  <si>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</si>
  <si>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</si>
  <si>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</si>
  <si>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</si>
  <si>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</si>
  <si>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</si>
  <si>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</si>
  <si>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</si>
  <si>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</si>
  <si>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</si>
  <si>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</si>
  <si>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</si>
  <si>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</si>
  <si>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</si>
  <si>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</si>
  <si>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</si>
  <si>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</si>
  <si>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</si>
  <si>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</si>
  <si>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</si>
  <si>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</si>
  <si>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</si>
  <si>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</si>
  <si>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</si>
  <si>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</si>
  <si>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</si>
  <si>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</si>
  <si>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</si>
  <si>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</si>
  <si>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</si>
  <si>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</si>
  <si>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</si>
  <si>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</si>
  <si>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</si>
  <si>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</si>
  <si>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</si>
  <si>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</si>
  <si>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</si>
  <si>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</si>
  <si>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</si>
  <si>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</si>
  <si>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</si>
  <si>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</si>
  <si>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</si>
  <si>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</si>
  <si>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</si>
  <si>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</si>
  <si>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</si>
  <si>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</si>
  <si>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</si>
  <si>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</si>
  <si>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</si>
  <si>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</si>
  <si>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</si>
  <si>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</si>
  <si>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</si>
  <si>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</si>
  <si>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</si>
  <si>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</si>
  <si>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</si>
  <si>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</si>
  <si>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</si>
  <si>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</si>
  <si>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</si>
  <si>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</si>
  <si>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</si>
  <si>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</si>
  <si>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</si>
  <si>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</si>
  <si>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</si>
  <si>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</si>
  <si>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</si>
  <si>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</si>
  <si>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</si>
  <si>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</si>
  <si>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</si>
  <si>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</si>
  <si>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</si>
  <si>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</si>
  <si>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</si>
  <si>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</si>
  <si>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</si>
  <si>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</si>
  <si>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</si>
  <si>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</si>
  <si>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</si>
  <si>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</si>
  <si>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</si>
  <si>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</si>
  <si>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</si>
  <si>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</si>
  <si>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</si>
  <si>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</si>
  <si>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</si>
  <si>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</si>
  <si>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</si>
  <si>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</si>
  <si>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</si>
  <si>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</si>
  <si>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</si>
  <si>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</si>
  <si>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</si>
  <si>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</si>
  <si>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</si>
  <si>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</si>
  <si>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</si>
  <si>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</si>
  <si>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</si>
  <si>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</si>
  <si>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</si>
  <si>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</si>
  <si>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</si>
  <si>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</si>
  <si>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</si>
  <si>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</si>
  <si>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</si>
  <si>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</si>
  <si>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</si>
  <si>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</si>
  <si>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</si>
  <si>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</si>
  <si>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</si>
  <si>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</si>
  <si>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</si>
  <si>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</si>
  <si>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</si>
  <si>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</si>
  <si>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</si>
  <si>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</si>
  <si>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</si>
  <si>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</si>
  <si>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</si>
  <si>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</si>
  <si>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</si>
  <si>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</si>
  <si>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</si>
  <si>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</si>
  <si>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</si>
  <si>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</si>
  <si>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</si>
  <si>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</si>
  <si>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</si>
  <si>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</si>
  <si>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</si>
  <si>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</si>
  <si>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</si>
  <si>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</si>
  <si>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</si>
  <si>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</si>
  <si>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</si>
  <si>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</si>
  <si>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</si>
  <si>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</si>
  <si>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</si>
  <si>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</si>
  <si>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</si>
  <si>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</si>
  <si>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</si>
  <si>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</si>
  <si>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</si>
  <si>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</si>
  <si>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</si>
  <si>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</si>
  <si>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</si>
  <si>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</si>
  <si>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</si>
  <si>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</si>
  <si>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</si>
  <si>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</si>
  <si>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</si>
  <si>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</si>
  <si>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</si>
  <si>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</si>
  <si>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</si>
  <si>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</si>
  <si>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</si>
  <si>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</si>
  <si>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</si>
  <si>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</si>
  <si>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</si>
  <si>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</si>
  <si>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</si>
  <si>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</si>
  <si>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</si>
  <si>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</si>
  <si>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</si>
  <si>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</si>
  <si>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</si>
  <si>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</si>
  <si>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</si>
  <si>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</si>
  <si>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</si>
  <si>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</si>
  <si>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</si>
  <si>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</si>
  <si>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</si>
  <si>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</si>
  <si>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</si>
  <si>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</si>
  <si>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</si>
  <si>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</si>
  <si>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</si>
  <si>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</si>
  <si>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</si>
  <si>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</si>
  <si>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</si>
  <si>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</si>
  <si>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</si>
  <si>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</si>
  <si>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</si>
  <si>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</si>
  <si>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</si>
  <si>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</si>
  <si>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</si>
  <si>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</si>
  <si>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</si>
  <si>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</si>
  <si>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</si>
  <si>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</si>
  <si>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</si>
  <si>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</si>
  <si>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</si>
  <si>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</si>
  <si>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</si>
  <si>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</si>
  <si>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</si>
  <si>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</si>
  <si>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</si>
  <si>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</si>
  <si>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</si>
  <si>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</si>
  <si>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</si>
  <si>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</si>
  <si>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</si>
  <si>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</si>
  <si>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</si>
  <si>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</si>
  <si>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</si>
  <si>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</si>
  <si>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</si>
  <si>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</si>
  <si>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</si>
  <si>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</si>
  <si>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</si>
  <si>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</si>
  <si>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</si>
  <si>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</si>
  <si>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</si>
  <si>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</si>
  <si>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</si>
  <si>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</si>
  <si>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</si>
  <si>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</si>
  <si>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</si>
  <si>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</si>
  <si>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</si>
  <si>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</si>
  <si>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</si>
  <si>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</si>
  <si>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</si>
  <si>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</si>
  <si>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</si>
  <si>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</si>
  <si>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</si>
  <si>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</si>
  <si>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</si>
  <si>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</si>
  <si>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</si>
  <si>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</si>
  <si>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</si>
  <si>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</si>
  <si>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</si>
  <si>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</si>
  <si>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</si>
  <si>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</si>
  <si>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</si>
  <si>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</si>
  <si>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</si>
  <si>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</si>
  <si>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</si>
  <si>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</si>
  <si>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</si>
  <si>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</si>
  <si>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</si>
  <si>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</si>
  <si>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</si>
  <si>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</si>
  <si>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</si>
  <si>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</si>
  <si>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</si>
  <si>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</si>
  <si>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</si>
  <si>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</si>
  <si>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</si>
  <si>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</si>
  <si>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</si>
  <si>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</si>
  <si>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</si>
  <si>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</si>
  <si>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</si>
  <si>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</si>
  <si>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</si>
  <si>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</si>
  <si>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</si>
  <si>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</si>
  <si>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</si>
  <si>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</si>
  <si>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</si>
  <si>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</si>
  <si>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</si>
  <si>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</si>
  <si>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</si>
  <si>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</si>
  <si>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</si>
  <si>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</si>
  <si>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</si>
  <si>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</si>
  <si>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</si>
  <si>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</si>
  <si>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</si>
  <si>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</si>
  <si>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</si>
  <si>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</si>
  <si>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</si>
  <si>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</si>
  <si>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</si>
  <si>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</si>
  <si>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</si>
  <si>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</si>
  <si>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</si>
  <si>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</si>
  <si>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</si>
  <si>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</si>
  <si>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</si>
  <si>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</si>
  <si>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</si>
  <si>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</si>
  <si>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</si>
  <si>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</si>
  <si>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</si>
  <si>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</si>
  <si>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</si>
  <si>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</si>
  <si>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</si>
  <si>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</si>
  <si>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</si>
  <si>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</si>
  <si>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</si>
  <si>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</si>
  <si>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</si>
  <si>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</si>
  <si>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</si>
  <si>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</si>
  <si>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</si>
  <si>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</si>
  <si>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</si>
  <si>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</si>
  <si>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</si>
  <si>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</si>
  <si>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</si>
  <si>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</si>
  <si>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</si>
  <si>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</si>
  <si>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</si>
  <si>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</si>
  <si>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</si>
  <si>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</si>
  <si>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</si>
  <si>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</si>
  <si>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</si>
  <si>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</si>
  <si>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</si>
  <si>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</si>
  <si>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</si>
  <si>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</si>
  <si>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</si>
  <si>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</si>
  <si>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</si>
  <si>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</si>
  <si>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</si>
  <si>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</si>
  <si>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</si>
  <si>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</si>
  <si>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</si>
  <si>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</si>
  <si>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</si>
  <si>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</si>
  <si>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</si>
  <si>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</si>
  <si>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</si>
  <si>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</si>
  <si>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</si>
  <si>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</si>
  <si>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</si>
  <si>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</si>
  <si>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</si>
  <si>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</si>
  <si>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</si>
  <si>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</si>
  <si>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</si>
  <si>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</si>
  <si>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</si>
  <si>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</si>
  <si>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</si>
  <si>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</si>
  <si>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</si>
  <si>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</si>
  <si>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</si>
  <si>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</si>
  <si>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</si>
  <si>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</si>
  <si>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</si>
  <si>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</si>
  <si>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</si>
  <si>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</si>
  <si>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</si>
  <si>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</si>
  <si>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</si>
  <si>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</si>
  <si>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</si>
  <si>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</si>
  <si>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</si>
  <si>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</si>
  <si>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</si>
  <si>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</si>
  <si>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</si>
  <si>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</si>
  <si>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</si>
  <si>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</si>
  <si>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</si>
  <si>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</si>
  <si>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</si>
  <si>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</si>
  <si>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</si>
  <si>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</si>
  <si>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</si>
  <si>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</si>
  <si>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</si>
  <si>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</si>
  <si>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</si>
  <si>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</si>
  <si>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</si>
  <si>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</si>
  <si>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</si>
  <si>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</si>
  <si>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</si>
  <si>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</si>
  <si>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</si>
  <si>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</si>
  <si>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</si>
  <si>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</si>
  <si>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</si>
  <si>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</si>
  <si>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</si>
  <si>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</si>
  <si>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</si>
  <si>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</si>
  <si>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</si>
  <si>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</si>
  <si>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</si>
  <si>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</si>
  <si>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</si>
  <si>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</si>
  <si>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</si>
  <si>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</si>
  <si>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</si>
  <si>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</si>
  <si>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</si>
  <si>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</si>
  <si>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</si>
  <si>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</si>
  <si>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</si>
  <si>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</si>
  <si>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</si>
  <si>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</si>
  <si>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</si>
  <si>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</si>
  <si>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</si>
  <si>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</si>
  <si>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</si>
  <si>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</si>
  <si>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</si>
  <si>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</si>
  <si>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</si>
  <si>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</si>
  <si>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</si>
  <si>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</si>
  <si>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</si>
  <si>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</si>
  <si>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</si>
  <si>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</si>
  <si>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</si>
  <si>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</si>
  <si>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</si>
  <si>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</si>
  <si>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</si>
  <si>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</si>
  <si>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</si>
  <si>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</si>
  <si>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</si>
  <si>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</si>
  <si>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</si>
  <si>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</si>
  <si>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</si>
  <si>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</si>
  <si>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</si>
  <si>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</si>
  <si>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</si>
  <si>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</si>
  <si>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</si>
  <si>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</si>
  <si>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</si>
  <si>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</si>
  <si>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</si>
  <si>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</si>
  <si>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</si>
  <si>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</si>
  <si>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</si>
  <si>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</si>
  <si>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</si>
  <si>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</si>
  <si>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</si>
  <si>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</si>
  <si>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</si>
  <si>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</si>
  <si>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</si>
  <si>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</si>
  <si>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</si>
  <si>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</si>
  <si>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</si>
  <si>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</si>
  <si>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</si>
  <si>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</si>
  <si>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</si>
  <si>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</si>
  <si>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</si>
  <si>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</si>
  <si>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</si>
  <si>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</si>
  <si>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</si>
  <si>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</si>
  <si>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</si>
  <si>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</si>
  <si>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</si>
  <si>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</si>
  <si>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</si>
  <si>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</si>
  <si>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</si>
  <si>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</si>
  <si>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</si>
  <si>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</si>
  <si>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</si>
  <si>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</si>
  <si>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</si>
  <si>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</si>
  <si>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</si>
  <si>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</si>
  <si>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</si>
  <si>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</si>
  <si>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</si>
  <si>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</si>
  <si>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</si>
  <si>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</si>
  <si>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</si>
  <si>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</si>
  <si>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</si>
  <si>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</si>
  <si>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</si>
  <si>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</si>
  <si>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</si>
  <si>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</si>
  <si>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</si>
  <si>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</si>
  <si>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</si>
  <si>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</si>
  <si>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</si>
  <si>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</si>
  <si>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</si>
  <si>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</si>
  <si>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</si>
  <si>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</si>
  <si>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</si>
  <si>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</si>
  <si>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</si>
  <si>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</si>
  <si>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</si>
  <si>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</si>
  <si>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</si>
  <si>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</si>
  <si>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</si>
  <si>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</si>
  <si>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</si>
  <si>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</si>
  <si>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</si>
  <si>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</si>
  <si>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</si>
  <si>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</si>
  <si>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</si>
  <si>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</si>
  <si>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</si>
  <si>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</si>
  <si>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</si>
  <si>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</si>
  <si>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</si>
  <si>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</si>
  <si>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</si>
  <si>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</si>
  <si>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</si>
  <si>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</si>
  <si>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</si>
  <si>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</si>
  <si>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</si>
  <si>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</si>
  <si>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</si>
  <si>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</si>
  <si>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</si>
  <si>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</si>
  <si>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</si>
  <si>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</si>
  <si>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</si>
  <si>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</si>
  <si>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</si>
  <si>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</si>
  <si>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</si>
  <si>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</si>
  <si>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</si>
  <si>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</si>
  <si>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</si>
  <si>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</si>
  <si>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</si>
  <si>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</si>
  <si>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</si>
  <si>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</si>
  <si>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</si>
  <si>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</si>
  <si>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</si>
  <si>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</si>
  <si>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</si>
  <si>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</si>
  <si>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</si>
  <si>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</si>
  <si>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</si>
  <si>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</si>
  <si>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</si>
  <si>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</si>
  <si>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</si>
  <si>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</si>
  <si>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</si>
  <si>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</si>
  <si>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</si>
  <si>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</si>
  <si>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</si>
  <si>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</si>
  <si>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</si>
  <si>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</si>
  <si>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</si>
  <si>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</si>
  <si>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</si>
  <si>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</si>
  <si>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</si>
  <si>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</si>
  <si>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</si>
  <si>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</si>
  <si>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</si>
  <si>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</si>
  <si>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</si>
  <si>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</si>
  <si>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</si>
  <si>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</si>
  <si>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</si>
  <si>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</si>
  <si>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</si>
  <si>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</si>
  <si>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</si>
  <si>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</si>
  <si>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</si>
  <si>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</si>
  <si>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</si>
  <si>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</si>
  <si>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</si>
  <si>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</si>
  <si>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</si>
  <si>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</si>
  <si>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</si>
  <si>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</si>
  <si>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</si>
  <si>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</si>
  <si>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</si>
  <si>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</si>
  <si>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</si>
  <si>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</si>
  <si>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</si>
  <si>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</si>
  <si>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</si>
  <si>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</si>
  <si>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</si>
  <si>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</si>
  <si>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</si>
  <si>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</si>
  <si>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</si>
  <si>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</si>
  <si>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</si>
  <si>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</si>
  <si>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</si>
  <si>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</si>
  <si>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</si>
  <si>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</si>
  <si>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</si>
  <si>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</si>
  <si>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</si>
  <si>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</si>
  <si>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</si>
  <si>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</si>
  <si>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</si>
  <si>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</si>
  <si>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</si>
  <si>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</si>
  <si>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</si>
  <si>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</si>
  <si>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</si>
  <si>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</si>
  <si>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</si>
  <si>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</si>
  <si>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</si>
  <si>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</si>
  <si>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</si>
  <si>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</si>
  <si>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</si>
  <si>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</si>
  <si>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</si>
  <si>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</si>
  <si>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</si>
  <si>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</si>
  <si>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</si>
  <si>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</si>
  <si>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</si>
  <si>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</si>
  <si>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</si>
  <si>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</si>
  <si>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</si>
  <si>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</si>
  <si>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</si>
  <si>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</si>
  <si>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</si>
  <si>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</si>
  <si>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</si>
  <si>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</si>
  <si>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</si>
  <si>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</si>
  <si>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</si>
  <si>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</si>
  <si>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</si>
  <si>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</si>
  <si>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</si>
  <si>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</si>
  <si>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</si>
  <si>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</si>
  <si>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</si>
  <si>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</si>
  <si>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</si>
  <si>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</si>
  <si>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</si>
  <si>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</si>
  <si>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</si>
  <si>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</si>
  <si>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</si>
  <si>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</si>
  <si>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</si>
  <si>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</si>
  <si>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</si>
  <si>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</si>
  <si>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</si>
  <si>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</si>
  <si>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</si>
  <si>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</si>
  <si>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</si>
  <si>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</si>
  <si>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</si>
  <si>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</si>
  <si>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</si>
  <si>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</si>
  <si>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</si>
  <si>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</si>
  <si>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</si>
  <si>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</si>
  <si>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</si>
  <si>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</si>
  <si>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</si>
  <si>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</si>
  <si>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</si>
  <si>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</si>
  <si>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</si>
  <si>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</si>
  <si>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</si>
  <si>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</si>
  <si>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</si>
  <si>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</si>
  <si>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</si>
  <si>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</si>
  <si>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</si>
  <si>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</si>
  <si>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</si>
  <si>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</si>
  <si>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</si>
  <si>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</si>
  <si>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</si>
  <si>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</si>
  <si>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</si>
  <si>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</si>
  <si>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</si>
  <si>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</si>
  <si>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</si>
  <si>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</si>
  <si>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</si>
  <si>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</si>
  <si>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</si>
  <si>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</si>
  <si>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</si>
  <si>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</si>
  <si>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</si>
  <si>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</si>
  <si>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</si>
  <si>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</si>
  <si>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</si>
  <si>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</si>
  <si>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</si>
  <si>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</si>
  <si>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</si>
  <si>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</si>
  <si>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</si>
  <si>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</si>
  <si>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</si>
  <si>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</si>
  <si>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</si>
  <si>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</si>
  <si>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</si>
  <si>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</si>
  <si>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</si>
  <si>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</si>
  <si>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</si>
  <si>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</si>
  <si>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</si>
  <si>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</si>
  <si>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</si>
  <si>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</si>
  <si>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</si>
  <si>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</si>
  <si>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</si>
  <si>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</si>
  <si>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</si>
  <si>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</si>
  <si>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</si>
  <si>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</si>
  <si>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</si>
  <si>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</si>
  <si>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</si>
  <si>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</si>
  <si>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</si>
  <si>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</si>
  <si>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</si>
  <si>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</si>
  <si>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</si>
  <si>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</si>
  <si>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</si>
  <si>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</si>
  <si>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</si>
  <si>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</si>
  <si>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</si>
  <si>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</si>
  <si>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</si>
  <si>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</si>
  <si>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</si>
  <si>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</si>
  <si>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</si>
  <si>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</si>
  <si>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</si>
  <si>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</si>
  <si>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</si>
  <si>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</si>
  <si>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</si>
  <si>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</si>
  <si>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</si>
  <si>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</si>
  <si>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</si>
  <si>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</si>
  <si>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</si>
  <si>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</si>
  <si>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</si>
  <si>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</si>
  <si>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</si>
  <si>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</si>
  <si>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</si>
  <si>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</si>
  <si>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</si>
  <si>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</si>
  <si>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</si>
  <si>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</si>
  <si>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</si>
  <si>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</si>
  <si>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</si>
  <si>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</si>
  <si>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</si>
  <si>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</si>
  <si>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</si>
  <si>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</si>
  <si>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</si>
  <si>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</si>
  <si>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</si>
  <si>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</si>
  <si>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</si>
  <si>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</si>
  <si>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</si>
  <si>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</si>
  <si>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</si>
  <si>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</si>
  <si>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</si>
  <si>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</si>
  <si>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</si>
  <si>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</si>
  <si>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</si>
  <si>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</si>
  <si>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</si>
  <si>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</si>
  <si>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</si>
  <si>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</si>
  <si>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</si>
  <si>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</si>
  <si>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</si>
  <si>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</si>
  <si>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</si>
  <si>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</si>
  <si>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</si>
  <si>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</si>
  <si>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</si>
  <si>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</si>
  <si>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</si>
  <si>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</si>
  <si>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</si>
  <si>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</si>
  <si>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</si>
  <si>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</si>
  <si>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</si>
  <si>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</si>
  <si>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</si>
  <si>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</si>
  <si>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</si>
  <si>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</si>
  <si>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</si>
  <si>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</si>
  <si>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</si>
  <si>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</si>
  <si>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</si>
  <si>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</si>
  <si>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</si>
  <si>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</si>
  <si>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</si>
  <si>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</si>
  <si>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</si>
  <si>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</si>
  <si>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</si>
  <si>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</si>
  <si>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</si>
  <si>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</si>
  <si>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</si>
  <si>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</si>
  <si>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</si>
  <si>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</si>
  <si>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</si>
  <si>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</si>
  <si>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</si>
  <si>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</si>
  <si>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</si>
  <si>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</si>
  <si>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</si>
  <si>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</si>
  <si>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</si>
  <si>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</si>
  <si>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</si>
  <si>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</si>
  <si>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</si>
  <si>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</si>
  <si>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</si>
  <si>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</si>
  <si>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</si>
  <si>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</si>
  <si>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</si>
  <si>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</si>
  <si>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</si>
  <si>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</si>
  <si>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</si>
  <si>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</si>
  <si>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</si>
  <si>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</si>
  <si>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</si>
  <si>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</si>
  <si>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</si>
  <si>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</si>
  <si>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</si>
  <si>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</si>
  <si>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</si>
  <si>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</si>
  <si>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</si>
  <si>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</si>
  <si>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</si>
  <si>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</si>
  <si>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</si>
  <si>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</si>
  <si>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</si>
  <si>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</si>
  <si>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</si>
  <si>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</si>
  <si>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</si>
  <si>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</si>
  <si>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</si>
  <si>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</si>
  <si>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</si>
  <si>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</si>
  <si>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</si>
  <si>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</si>
  <si>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</si>
  <si>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</si>
  <si>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</si>
  <si>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</si>
  <si>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</si>
  <si>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</si>
  <si>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</si>
  <si>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</si>
  <si>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</si>
  <si>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</si>
  <si>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</si>
  <si>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</si>
  <si>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</si>
  <si>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</si>
  <si>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</si>
  <si>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</si>
  <si>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</si>
  <si>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</si>
  <si>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</si>
  <si>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</si>
  <si>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</si>
  <si>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</si>
  <si>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</si>
  <si>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</si>
  <si>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</si>
  <si>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</si>
  <si>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</si>
  <si>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</si>
  <si>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</si>
  <si>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</si>
  <si>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</si>
  <si>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</si>
  <si>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</si>
  <si>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</si>
  <si>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</si>
  <si>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</si>
  <si>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</si>
  <si>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</si>
  <si>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</si>
  <si>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</si>
  <si>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</si>
  <si>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</si>
  <si>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</si>
  <si>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</si>
  <si>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</si>
  <si>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</si>
  <si>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</si>
  <si>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</si>
  <si>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</si>
  <si>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</si>
  <si>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</si>
  <si>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</si>
  <si>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</si>
  <si>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</si>
  <si>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</si>
  <si>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</si>
  <si>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</si>
  <si>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</si>
  <si>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</si>
  <si>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</si>
  <si>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</si>
  <si>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</si>
  <si>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</si>
  <si>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</si>
  <si>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</si>
  <si>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</si>
  <si>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</si>
  <si>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</si>
  <si>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</si>
  <si>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</si>
  <si>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</si>
  <si>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</si>
  <si>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</si>
  <si>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</si>
  <si>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</si>
  <si>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</si>
  <si>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</si>
  <si>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</si>
  <si>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</si>
  <si>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</si>
  <si>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</si>
  <si>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</si>
  <si>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</si>
  <si>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</si>
  <si>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</si>
  <si>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</si>
  <si>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</si>
  <si>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</si>
  <si>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</si>
  <si>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</si>
  <si>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</si>
  <si>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</si>
  <si>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</si>
  <si>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</si>
  <si>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</si>
  <si>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</si>
  <si>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</si>
  <si>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</si>
  <si>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</si>
  <si>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</si>
  <si>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</si>
  <si>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</si>
  <si>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</si>
  <si>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</si>
  <si>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</si>
  <si>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</si>
  <si>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</si>
  <si>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</si>
  <si>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</si>
  <si>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</si>
  <si>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</si>
  <si>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</si>
  <si>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</si>
  <si>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</si>
  <si>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</si>
  <si>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</si>
  <si>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</si>
  <si>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</si>
  <si>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</si>
  <si>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</si>
  <si>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</si>
  <si>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</si>
  <si>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</si>
  <si>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</si>
  <si>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</si>
  <si>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</si>
  <si>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</si>
  <si>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</si>
  <si>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</si>
  <si>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</si>
  <si>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</si>
  <si>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</si>
  <si>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</si>
  <si>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</si>
  <si>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</si>
  <si>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</si>
  <si>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</si>
  <si>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</si>
  <si>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</si>
  <si>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</si>
  <si>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</si>
  <si>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</si>
  <si>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</si>
  <si>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</si>
  <si>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</si>
  <si>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</si>
  <si>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</si>
  <si>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</si>
  <si>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</si>
  <si>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</si>
  <si>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</si>
  <si>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</si>
  <si>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</si>
  <si>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</si>
  <si>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</si>
  <si>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</si>
  <si>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</si>
  <si>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</si>
  <si>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</si>
  <si>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</si>
  <si>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</si>
  <si>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</si>
  <si>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</si>
  <si>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</si>
  <si>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</si>
  <si>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</si>
  <si>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</si>
  <si>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</si>
  <si>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</si>
  <si>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</si>
  <si>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</si>
  <si>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</si>
  <si>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</si>
  <si>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</si>
  <si>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</si>
  <si>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</si>
  <si>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</si>
  <si>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</si>
  <si>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</si>
  <si>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</si>
  <si>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</si>
  <si>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</si>
  <si>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</si>
  <si>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</si>
  <si>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</si>
  <si>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</si>
  <si>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</si>
  <si>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</si>
  <si>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</si>
  <si>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</si>
  <si>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</si>
  <si>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</si>
  <si>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</si>
  <si>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</si>
  <si>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</si>
  <si>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</si>
  <si>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</si>
  <si>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</si>
  <si>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</si>
  <si>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</si>
  <si>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</si>
  <si>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</si>
  <si>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</si>
  <si>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</si>
  <si>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</si>
  <si>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</si>
  <si>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</si>
  <si>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</si>
  <si>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</si>
  <si>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</si>
  <si>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</si>
  <si>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</si>
  <si>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</si>
  <si>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</si>
  <si>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</si>
  <si>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</si>
  <si>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</si>
  <si>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</si>
  <si>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</si>
  <si>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</si>
  <si>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</si>
  <si>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</si>
  <si>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</si>
  <si>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</si>
  <si>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</si>
  <si>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</si>
  <si>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</si>
  <si>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</si>
  <si>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</si>
  <si>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</si>
  <si>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</si>
  <si>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</si>
  <si>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</si>
  <si>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</si>
  <si>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</si>
  <si>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</si>
  <si>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</si>
  <si>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</si>
  <si>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</si>
  <si>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</si>
  <si>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</si>
  <si>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</si>
  <si>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</si>
  <si>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</si>
  <si>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</si>
  <si>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</si>
  <si>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</si>
  <si>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</si>
  <si>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</si>
  <si>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</si>
  <si>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</si>
  <si>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</si>
  <si>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</si>
  <si>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</si>
  <si>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</si>
  <si>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</si>
  <si>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</si>
  <si>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</si>
  <si>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</si>
  <si>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</si>
  <si>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</si>
  <si>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</si>
  <si>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</si>
  <si>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</si>
  <si>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</si>
  <si>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</si>
  <si>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</si>
  <si>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</si>
  <si>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</si>
  <si>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</si>
  <si>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</si>
  <si>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</si>
  <si>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</si>
  <si>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</si>
  <si>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</si>
  <si>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</si>
  <si>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</si>
  <si>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</si>
  <si>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</si>
  <si>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</si>
  <si>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</si>
  <si>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</si>
  <si>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</si>
  <si>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</si>
  <si>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</si>
  <si>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</si>
  <si>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</si>
  <si>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</si>
  <si>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</si>
  <si>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</si>
  <si>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</si>
  <si>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</si>
  <si>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</si>
  <si>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</si>
  <si>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</si>
  <si>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</si>
  <si>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</si>
  <si>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</si>
  <si>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</si>
  <si>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</si>
  <si>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</si>
  <si>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</si>
  <si>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</si>
  <si>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</si>
  <si>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</si>
  <si>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</si>
  <si>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</si>
  <si>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</si>
  <si>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</si>
  <si>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</si>
  <si>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</si>
  <si>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</si>
  <si>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</si>
  <si>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</si>
  <si>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</si>
  <si>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</si>
  <si>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</si>
  <si>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</si>
  <si>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</si>
  <si>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</si>
  <si>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</si>
  <si>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</si>
  <si>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</si>
  <si>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</si>
  <si>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</si>
  <si>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</si>
  <si>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</si>
  <si>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</si>
  <si>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</si>
  <si>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</si>
  <si>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</si>
  <si>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</si>
  <si>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</si>
  <si>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</si>
  <si>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</si>
  <si>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</si>
  <si>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</si>
  <si>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</si>
  <si>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</si>
  <si>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</si>
  <si>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</si>
  <si>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</si>
  <si>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</si>
  <si>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</si>
  <si>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</si>
  <si>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</si>
  <si>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</si>
  <si>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</si>
  <si>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</si>
  <si>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</si>
  <si>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</si>
  <si>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</si>
  <si>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</si>
  <si>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</si>
  <si>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</si>
  <si>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</si>
  <si>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</si>
  <si>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</si>
  <si>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</si>
  <si>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</si>
  <si>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</si>
  <si>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</si>
  <si>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</si>
  <si>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</si>
  <si>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</si>
  <si>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</si>
  <si>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</si>
  <si>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</si>
  <si>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</si>
  <si>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</si>
  <si>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</si>
  <si>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</si>
  <si>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</si>
  <si>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</si>
  <si>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</si>
  <si>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</si>
  <si>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</si>
  <si>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</si>
  <si>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</si>
  <si>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</si>
  <si>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</si>
  <si>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</si>
  <si>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</si>
  <si>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</si>
  <si>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</si>
  <si>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</si>
  <si>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</si>
  <si>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</si>
  <si>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</si>
  <si>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</si>
  <si>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</si>
  <si>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</si>
  <si>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</si>
  <si>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</si>
  <si>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</si>
  <si>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</si>
  <si>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</si>
  <si>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</si>
  <si>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</si>
  <si>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</si>
  <si>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</si>
  <si>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</si>
  <si>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</si>
  <si>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</si>
  <si>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</si>
  <si>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</si>
  <si>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</si>
  <si>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</si>
  <si>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</si>
  <si>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</si>
  <si>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</si>
  <si>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</si>
  <si>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</si>
  <si>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</si>
  <si>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</si>
  <si>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</si>
  <si>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</si>
  <si>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</si>
  <si>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</si>
  <si>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</si>
  <si>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</si>
  <si>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</si>
  <si>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</si>
  <si>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</si>
  <si>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</si>
  <si>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</si>
  <si>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</si>
  <si>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</si>
  <si>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</si>
  <si>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</si>
  <si>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</si>
  <si>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</si>
  <si>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</si>
  <si>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</si>
  <si>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</si>
  <si>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</si>
  <si>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</si>
  <si>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</si>
  <si>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</si>
  <si>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</si>
  <si>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</si>
  <si>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</si>
  <si>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</si>
  <si>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</si>
  <si>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</si>
  <si>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</si>
  <si>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</si>
  <si>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</si>
  <si>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</si>
  <si>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</si>
  <si>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</si>
  <si>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</si>
  <si>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</si>
  <si>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</si>
  <si>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</si>
  <si>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</si>
  <si>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</si>
  <si>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</si>
  <si>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</si>
  <si>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</si>
  <si>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</si>
  <si>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</si>
  <si>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</si>
  <si>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</si>
  <si>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</si>
  <si>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</si>
  <si>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</si>
  <si>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</si>
  <si>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</si>
  <si>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</si>
  <si>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</si>
  <si>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</si>
  <si>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</si>
  <si>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</si>
  <si>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</si>
  <si>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</si>
  <si>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</si>
  <si>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</si>
  <si>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</si>
  <si>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</si>
  <si>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</si>
  <si>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</si>
  <si>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</si>
  <si>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</si>
  <si>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</si>
  <si>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</si>
  <si>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</si>
  <si>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</si>
  <si>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</si>
  <si>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</si>
  <si>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</si>
  <si>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</si>
  <si>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</si>
  <si>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</si>
  <si>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</si>
  <si>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</si>
  <si>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</si>
  <si>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</si>
  <si>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</si>
  <si>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</si>
  <si>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</si>
  <si>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</si>
  <si>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</si>
  <si>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</si>
  <si>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</si>
  <si>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</si>
  <si>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</si>
  <si>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</si>
  <si>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</si>
  <si>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</si>
  <si>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</si>
  <si>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</si>
  <si>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</si>
  <si>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</si>
  <si>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</si>
  <si>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</si>
  <si>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</si>
  <si>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</si>
  <si>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</si>
  <si>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</si>
  <si>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</si>
  <si>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</si>
  <si>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</si>
  <si>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</si>
  <si>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</si>
  <si>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</si>
  <si>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</si>
  <si>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</si>
  <si>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</si>
  <si>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</si>
  <si>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</si>
  <si>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</si>
  <si>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</si>
  <si>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</si>
  <si>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</si>
  <si>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</si>
  <si>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</si>
  <si>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</si>
  <si>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</si>
  <si>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</si>
  <si>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</si>
  <si>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</si>
  <si>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</si>
  <si>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</si>
  <si>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</si>
  <si>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</si>
  <si>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</si>
  <si>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</si>
  <si>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</si>
  <si>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</si>
  <si>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</si>
  <si>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</si>
  <si>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</si>
  <si>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</si>
  <si>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</si>
  <si>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</si>
  <si>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</si>
  <si>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</si>
  <si>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</si>
  <si>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</si>
  <si>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</si>
  <si>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</si>
  <si>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</si>
  <si>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</si>
  <si>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</si>
  <si>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</si>
  <si>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</si>
  <si>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</si>
  <si>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</si>
  <si>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</si>
  <si>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</si>
  <si>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</si>
  <si>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</si>
  <si>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</si>
  <si>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</si>
  <si>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</si>
  <si>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</si>
  <si>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</si>
  <si>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</si>
  <si>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</si>
  <si>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</si>
  <si>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</si>
  <si>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</si>
  <si>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</si>
  <si>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</si>
  <si>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</si>
  <si>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</si>
  <si>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</si>
  <si>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</si>
  <si>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</si>
  <si>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</si>
  <si>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</si>
  <si>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</si>
  <si>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</si>
  <si>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</si>
  <si>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</si>
  <si>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</si>
  <si>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</si>
  <si>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</si>
  <si>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</si>
  <si>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</si>
  <si>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</si>
  <si>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</si>
  <si>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</si>
  <si>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</si>
  <si>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</si>
  <si>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</si>
  <si>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</si>
  <si>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</si>
  <si>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</si>
  <si>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</si>
  <si>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</si>
  <si>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</si>
  <si>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</si>
  <si>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</si>
  <si>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</si>
  <si>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</si>
  <si>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</si>
  <si>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</si>
  <si>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</si>
  <si>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</si>
  <si>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</si>
  <si>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</si>
  <si>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</si>
  <si>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</si>
  <si>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</si>
  <si>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</si>
  <si>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</si>
  <si>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</si>
  <si>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</si>
  <si>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</si>
  <si>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</si>
  <si>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</si>
  <si>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</si>
  <si>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</si>
  <si>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</si>
  <si>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</si>
  <si>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</si>
  <si>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</si>
  <si>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</si>
  <si>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</si>
  <si>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</si>
  <si>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</si>
  <si>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</si>
  <si>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</si>
  <si>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</si>
  <si>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</si>
  <si>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</si>
  <si>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</si>
  <si>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</si>
  <si>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</si>
  <si>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</si>
  <si>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</si>
  <si>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</si>
  <si>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</si>
  <si>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</si>
  <si>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</si>
  <si>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</si>
  <si>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</si>
  <si>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</si>
  <si>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</si>
  <si>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</si>
  <si>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</si>
  <si>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</si>
  <si>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</si>
  <si>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</si>
  <si>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</si>
  <si>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</si>
  <si>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</si>
  <si>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</si>
  <si>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</si>
  <si>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</si>
  <si>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</si>
  <si>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</si>
  <si>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</si>
  <si>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</si>
  <si>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</si>
  <si>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</si>
  <si>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</si>
  <si>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</si>
  <si>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</si>
  <si>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</si>
  <si>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</si>
  <si>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</si>
  <si>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</si>
  <si>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</si>
  <si>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</si>
  <si>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</si>
  <si>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</si>
  <si>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</si>
  <si>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</si>
  <si>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</si>
  <si>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</si>
  <si>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</si>
  <si>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</si>
  <si>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</si>
  <si>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</si>
  <si>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</si>
  <si>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</si>
  <si>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</si>
  <si>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</si>
  <si>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</si>
  <si>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</si>
  <si>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</si>
  <si>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</si>
  <si>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</si>
  <si>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</si>
  <si>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</si>
  <si>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</si>
  <si>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</si>
  <si>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</si>
  <si>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</si>
  <si>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</si>
  <si>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</si>
  <si>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</si>
  <si>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</si>
  <si>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</si>
  <si>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</si>
  <si>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</si>
  <si>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</si>
  <si>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</si>
  <si>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</si>
  <si>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</si>
  <si>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</si>
  <si>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</si>
  <si>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</si>
  <si>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</si>
  <si>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</si>
  <si>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</si>
  <si>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</si>
  <si>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</si>
  <si>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</si>
  <si>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</si>
  <si>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</si>
  <si>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</si>
  <si>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</si>
  <si>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</si>
  <si>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</si>
  <si>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</si>
  <si>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</si>
  <si>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</si>
  <si>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</si>
  <si>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</si>
  <si>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</si>
  <si>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</si>
  <si>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</si>
  <si>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</si>
  <si>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</si>
  <si>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</si>
  <si>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</si>
  <si>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</si>
  <si>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</si>
  <si>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</si>
  <si>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</si>
  <si>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</si>
  <si>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</si>
  <si>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</si>
  <si>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</si>
  <si>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</si>
  <si>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</si>
  <si>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</si>
  <si>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</si>
  <si>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</si>
  <si>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</si>
  <si>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</si>
  <si>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</si>
  <si>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</si>
  <si>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</si>
  <si>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</si>
  <si>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</si>
  <si>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</si>
  <si>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</si>
  <si>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</si>
  <si>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</si>
  <si>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</si>
  <si>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</si>
  <si>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</si>
  <si>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</si>
  <si>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</si>
  <si>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</si>
  <si>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</si>
  <si>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</si>
  <si>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</si>
  <si>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</si>
  <si>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</si>
  <si>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</si>
  <si>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</si>
  <si>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</si>
  <si>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</si>
  <si>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</si>
  <si>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</si>
  <si>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</si>
  <si>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</si>
  <si>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</si>
  <si>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</si>
  <si>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</si>
  <si>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</si>
  <si>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</si>
  <si>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</si>
  <si>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</si>
  <si>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</si>
  <si>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</si>
  <si>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</si>
  <si>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</si>
  <si>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</si>
  <si>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</si>
  <si>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</si>
  <si>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</si>
  <si>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</si>
  <si>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</si>
  <si>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</si>
  <si>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</si>
  <si>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</si>
  <si>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</si>
  <si>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</si>
  <si>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</si>
  <si>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</si>
  <si>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</si>
  <si>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</si>
  <si>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</si>
  <si>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</si>
  <si>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</si>
  <si>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</si>
  <si>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</si>
  <si>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</si>
  <si>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</si>
  <si>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</si>
  <si>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</si>
  <si>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</si>
  <si>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</si>
  <si>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</si>
  <si>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</si>
  <si>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</si>
  <si>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</si>
  <si>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</si>
  <si>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</si>
  <si>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</si>
  <si>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</si>
  <si>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</si>
  <si>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</si>
  <si>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</si>
  <si>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</si>
  <si>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</si>
  <si>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</si>
  <si>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</si>
  <si>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</si>
  <si>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</si>
  <si>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</si>
  <si>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</si>
  <si>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</si>
  <si>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</si>
  <si>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</si>
  <si>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</si>
  <si>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</si>
  <si>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</si>
  <si>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</si>
  <si>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</si>
  <si>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</si>
  <si>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</si>
  <si>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</si>
  <si>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</si>
  <si>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</si>
  <si>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</si>
  <si>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</si>
  <si>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</si>
  <si>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</si>
  <si>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</si>
  <si>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</si>
  <si>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</si>
  <si>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</si>
  <si>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</si>
  <si>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</si>
  <si>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</si>
  <si>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</si>
  <si>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</si>
  <si>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</si>
  <si>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</si>
  <si>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</si>
  <si>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</si>
  <si>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</si>
  <si>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</si>
  <si>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</si>
  <si>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</si>
  <si>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</si>
  <si>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</si>
  <si>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</si>
  <si>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</si>
  <si>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</si>
  <si>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</si>
  <si>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</si>
  <si>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</si>
  <si>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</si>
  <si>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</si>
  <si>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</si>
  <si>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</si>
  <si>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</si>
  <si>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</si>
  <si>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</si>
  <si>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</si>
  <si>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</si>
  <si>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</si>
  <si>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</si>
  <si>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</si>
  <si>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</si>
  <si>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</si>
  <si>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</si>
  <si>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</si>
  <si>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</si>
  <si>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</si>
  <si>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</si>
  <si>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</si>
  <si>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</si>
  <si>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</si>
  <si>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</si>
  <si>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</si>
  <si>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</si>
  <si>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</si>
  <si>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</si>
  <si>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</si>
  <si>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</si>
  <si>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</si>
  <si>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</si>
  <si>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</si>
  <si>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</si>
  <si>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</si>
  <si>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</si>
  <si>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</si>
  <si>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</si>
  <si>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</si>
  <si>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</si>
  <si>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</si>
  <si>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</si>
  <si>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</si>
  <si>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</si>
  <si>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</si>
  <si>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</si>
  <si>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</si>
  <si>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</si>
  <si>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</si>
  <si>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</si>
  <si>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</si>
  <si>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</si>
  <si>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</si>
  <si>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</si>
  <si>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</si>
  <si>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</si>
  <si>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</si>
  <si>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</si>
  <si>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</si>
  <si>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</si>
  <si>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</si>
  <si>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</si>
  <si>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</si>
  <si>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</si>
  <si>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</si>
  <si>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</si>
  <si>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</si>
  <si>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</si>
  <si>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</si>
  <si>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</si>
  <si>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</si>
  <si>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</si>
  <si>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</si>
  <si>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</si>
  <si>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</si>
  <si>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</si>
  <si>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</si>
  <si>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</si>
  <si>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</si>
  <si>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</si>
  <si>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</si>
  <si>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</si>
  <si>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</si>
  <si>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</si>
  <si>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</si>
  <si>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</si>
  <si>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</si>
  <si>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</si>
  <si>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</si>
  <si>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</si>
  <si>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</si>
  <si>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</si>
  <si>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</si>
  <si>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</si>
  <si>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</si>
  <si>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</si>
  <si>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</si>
  <si>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</si>
  <si>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</si>
  <si>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</si>
  <si>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</si>
  <si>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</si>
  <si>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</si>
  <si>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</si>
  <si>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</si>
  <si>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</si>
  <si>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</si>
  <si>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</si>
  <si>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</si>
  <si>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</si>
  <si>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</si>
  <si>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</si>
  <si>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</si>
  <si>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</si>
  <si>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</si>
  <si>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</si>
  <si>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</si>
  <si>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</si>
  <si>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</si>
  <si>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</si>
  <si>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</si>
  <si>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</si>
  <si>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</si>
  <si>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</si>
  <si>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</si>
  <si>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</si>
  <si>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</si>
  <si>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</si>
  <si>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</si>
  <si>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</si>
  <si>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</si>
  <si>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</si>
  <si>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</si>
  <si>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</si>
  <si>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</si>
  <si>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</si>
  <si>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</si>
  <si>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</si>
  <si>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</si>
  <si>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</si>
  <si>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</si>
  <si>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</si>
  <si>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</si>
  <si>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</si>
  <si>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</si>
  <si>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</si>
  <si>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</si>
  <si>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</si>
  <si>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</si>
  <si>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</si>
  <si>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</si>
  <si>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</si>
  <si>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</si>
  <si>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</si>
  <si>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</si>
  <si>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</si>
  <si>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</si>
  <si>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</si>
  <si>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</si>
  <si>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</si>
  <si>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</si>
  <si>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</si>
  <si>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</si>
  <si>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</si>
  <si>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</si>
  <si>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</si>
  <si>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</si>
  <si>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</si>
  <si>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</si>
  <si>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</si>
  <si>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</si>
  <si>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</si>
  <si>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</si>
  <si>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</si>
  <si>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</si>
  <si>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</si>
  <si>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</si>
  <si>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</si>
  <si>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</si>
  <si>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</si>
  <si>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</si>
  <si>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</si>
  <si>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</si>
  <si>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</si>
  <si>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</si>
  <si>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</si>
  <si>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</si>
  <si>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</si>
  <si>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</si>
  <si>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</si>
  <si>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</si>
  <si>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</si>
  <si>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</si>
  <si>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</si>
  <si>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</si>
  <si>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</si>
  <si>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</si>
  <si>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</si>
  <si>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</si>
  <si>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</si>
  <si>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</si>
  <si>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</si>
  <si>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</si>
  <si>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</si>
  <si>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</si>
  <si>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</si>
  <si>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</si>
  <si>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</si>
  <si>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</si>
  <si>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</si>
  <si>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</si>
  <si>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</si>
  <si>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</si>
  <si>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</si>
  <si>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</si>
  <si>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</si>
  <si>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</si>
  <si>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</si>
  <si>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</si>
  <si>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</si>
  <si>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</si>
  <si>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</si>
  <si>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</si>
  <si>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</si>
  <si>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</si>
  <si>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</si>
  <si>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</si>
  <si>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</si>
  <si>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</si>
  <si>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</si>
  <si>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</si>
  <si>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</si>
  <si>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</si>
  <si>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</si>
  <si>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</si>
  <si>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</si>
  <si>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</si>
  <si>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</si>
  <si>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</si>
  <si>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</si>
  <si>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</si>
  <si>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</si>
  <si>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</si>
  <si>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</si>
  <si>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</si>
  <si>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</si>
  <si>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</si>
  <si>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</si>
  <si>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</si>
  <si>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</si>
  <si>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</si>
  <si>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</si>
  <si>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</si>
  <si>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</si>
  <si>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</si>
  <si>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</si>
  <si>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</si>
  <si>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</si>
  <si>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</si>
  <si>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</si>
  <si>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</si>
  <si>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</si>
  <si>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</si>
  <si>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</si>
  <si>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</si>
  <si>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</si>
  <si>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</si>
  <si>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</si>
  <si>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</si>
  <si>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</si>
  <si>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</si>
  <si>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</si>
  <si>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</si>
  <si>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</si>
  <si>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</si>
  <si>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</si>
  <si>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</si>
  <si>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</si>
  <si>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</si>
  <si>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</si>
  <si>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</si>
  <si>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</si>
  <si>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</si>
  <si>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</si>
  <si>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</si>
  <si>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</si>
  <si>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</si>
  <si>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</si>
  <si>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</si>
  <si>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</si>
  <si>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</si>
  <si>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</si>
  <si>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</si>
  <si>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</si>
  <si>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</si>
  <si>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</si>
  <si>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</si>
  <si>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</si>
  <si>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</si>
  <si>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</si>
  <si>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</si>
  <si>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</si>
  <si>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</si>
  <si>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</si>
  <si>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</si>
  <si>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</si>
  <si>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</si>
  <si>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</si>
  <si>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</si>
  <si>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</si>
  <si>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</si>
  <si>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</si>
  <si>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</si>
  <si>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</si>
  <si>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</si>
  <si>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</si>
  <si>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</si>
  <si>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</si>
  <si>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</si>
  <si>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</si>
  <si>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</si>
  <si>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</si>
  <si>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</si>
  <si>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</si>
  <si>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</si>
  <si>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</si>
  <si>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</si>
  <si>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</si>
  <si>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</si>
  <si>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</si>
  <si>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</si>
  <si>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</si>
  <si>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</si>
  <si>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</si>
  <si>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</si>
  <si>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</si>
  <si>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</si>
  <si>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</si>
  <si>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</si>
  <si>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</si>
  <si>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</si>
  <si>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</si>
  <si>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</si>
  <si>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</si>
  <si>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</si>
  <si>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</si>
  <si>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</si>
  <si>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</si>
  <si>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</si>
  <si>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</si>
  <si>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</si>
  <si>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</si>
  <si>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</si>
  <si>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</si>
  <si>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</si>
  <si>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</si>
  <si>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</si>
  <si>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</si>
  <si>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</si>
  <si>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</si>
  <si>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</si>
  <si>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</si>
  <si>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</si>
  <si>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</si>
  <si>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</si>
  <si>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</si>
  <si>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</si>
  <si>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</si>
  <si>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</si>
  <si>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</si>
  <si>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</si>
  <si>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</si>
  <si>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</si>
  <si>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</si>
  <si>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</si>
  <si>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</si>
  <si>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</si>
  <si>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</si>
  <si>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</si>
  <si>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</si>
  <si>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</si>
  <si>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</si>
  <si>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</si>
  <si>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</si>
  <si>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</si>
  <si>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</si>
  <si>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</si>
  <si>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</si>
  <si>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</si>
  <si>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</si>
  <si>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</si>
  <si>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</si>
  <si>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</si>
  <si>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</si>
  <si>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</si>
  <si>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</si>
  <si>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</si>
  <si>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</si>
  <si>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</si>
  <si>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</si>
  <si>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</si>
  <si>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</si>
  <si>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</si>
  <si>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</si>
  <si>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</si>
  <si>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</si>
  <si>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</si>
  <si>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</si>
  <si>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</si>
  <si>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</si>
  <si>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</si>
  <si>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</si>
  <si>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</si>
  <si>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</si>
  <si>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</si>
  <si>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</si>
  <si>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</si>
  <si>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</si>
  <si>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</si>
  <si>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</si>
  <si>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</si>
  <si>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</si>
  <si>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</si>
  <si>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</si>
  <si>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</si>
  <si>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</si>
  <si>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</si>
  <si>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</si>
  <si>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</si>
  <si>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</si>
  <si>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</si>
  <si>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</si>
  <si>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</si>
  <si>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</si>
  <si>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</si>
  <si>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</si>
  <si>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</si>
  <si>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</si>
  <si>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</si>
  <si>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</si>
  <si>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</si>
  <si>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</si>
  <si>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</si>
  <si>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</si>
  <si>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</si>
  <si>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</si>
  <si>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</si>
  <si>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</si>
  <si>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</si>
  <si>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</si>
  <si>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</si>
  <si>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</si>
  <si>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</si>
  <si>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</si>
  <si>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</si>
  <si>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</si>
  <si>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</si>
  <si>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</si>
  <si>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</si>
  <si>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</si>
  <si>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</si>
  <si>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</si>
  <si>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</si>
  <si>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</si>
  <si>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</si>
  <si>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</si>
  <si>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</si>
  <si>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</si>
  <si>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</si>
  <si>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</si>
  <si>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</si>
  <si>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</si>
  <si>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</si>
  <si>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</si>
  <si>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</si>
  <si>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</si>
  <si>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</si>
  <si>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</si>
  <si>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</si>
  <si>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</si>
  <si>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</si>
  <si>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</si>
  <si>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</si>
  <si>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</si>
  <si>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</si>
  <si>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</si>
  <si>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</si>
  <si>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</si>
  <si>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</si>
  <si>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</si>
  <si>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</si>
  <si>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</si>
  <si>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</si>
  <si>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</si>
  <si>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</si>
  <si>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</si>
  <si>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</si>
  <si>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</si>
  <si>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</si>
  <si>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</si>
  <si>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</si>
  <si>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</si>
  <si>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</si>
  <si>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</si>
  <si>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</si>
  <si>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</si>
  <si>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</si>
  <si>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</si>
  <si>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</si>
  <si>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</si>
  <si>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</si>
  <si>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</si>
  <si>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</si>
  <si>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</si>
  <si>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</si>
  <si>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</si>
  <si>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</si>
  <si>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</si>
  <si>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</si>
  <si>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</si>
  <si>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</si>
  <si>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</si>
  <si>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</si>
  <si>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</si>
  <si>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</si>
  <si>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</si>
  <si>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</si>
  <si>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</si>
  <si>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</si>
  <si>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</si>
  <si>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</si>
  <si>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</si>
  <si>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</si>
  <si>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</si>
  <si>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</si>
  <si>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</si>
  <si>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</si>
  <si>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</si>
  <si>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</si>
  <si>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</si>
  <si>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</si>
  <si>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</si>
  <si>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</si>
  <si>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</si>
  <si>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</si>
  <si>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</si>
  <si>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</si>
  <si>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</si>
  <si>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</si>
  <si>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</si>
  <si>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</si>
  <si>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</si>
  <si>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</si>
  <si>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</si>
  <si>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</si>
  <si>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</si>
  <si>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</si>
  <si>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</si>
  <si>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</si>
  <si>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</si>
  <si>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</si>
  <si>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</si>
  <si>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</si>
  <si>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</si>
  <si>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</si>
  <si>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</si>
  <si>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</si>
  <si>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</si>
  <si>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</si>
  <si>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</si>
  <si>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</si>
  <si>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</si>
  <si>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</si>
  <si>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</si>
  <si>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</si>
  <si>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</si>
  <si>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</si>
  <si>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</si>
  <si>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</si>
  <si>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</si>
  <si>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</si>
  <si>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</si>
  <si>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</si>
  <si>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</si>
  <si>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</si>
  <si>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</si>
  <si>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</si>
  <si>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</si>
  <si>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</si>
  <si>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</si>
  <si>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</si>
  <si>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</si>
  <si>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</si>
  <si>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</si>
  <si>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</si>
  <si>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</si>
  <si>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</si>
  <si>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</si>
  <si>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</si>
  <si>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</si>
  <si>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</si>
  <si>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</si>
  <si>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</si>
  <si>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</si>
  <si>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</si>
  <si>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</si>
  <si>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</si>
  <si>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</si>
  <si>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</si>
  <si>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</si>
  <si>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</si>
  <si>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</si>
  <si>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</si>
  <si>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</si>
  <si>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</si>
  <si>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</si>
  <si>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</si>
  <si>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</si>
  <si>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</si>
  <si>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</si>
  <si>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</si>
  <si>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</si>
  <si>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</si>
  <si>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</si>
  <si>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</si>
  <si>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</si>
  <si>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</si>
  <si>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</si>
  <si>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</si>
  <si>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</si>
  <si>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</si>
  <si>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</si>
  <si>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</si>
  <si>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</si>
  <si>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</si>
  <si>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</si>
  <si>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</si>
  <si>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</si>
  <si>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</si>
  <si>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</si>
  <si>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</si>
  <si>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</si>
  <si>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</si>
  <si>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</si>
  <si>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</si>
  <si>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</si>
  <si>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</si>
  <si>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</si>
  <si>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</si>
  <si>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</si>
  <si>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</si>
  <si>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</si>
  <si>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</si>
  <si>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</si>
  <si>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</si>
  <si>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</si>
  <si>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</si>
  <si>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</si>
  <si>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</si>
  <si>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</si>
  <si>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</si>
  <si>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</si>
  <si>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</si>
  <si>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</si>
  <si>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</si>
  <si>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</si>
  <si>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</si>
  <si>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</si>
  <si>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</si>
  <si>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</si>
  <si>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</si>
  <si>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</si>
  <si>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</si>
  <si>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</si>
  <si>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</si>
  <si>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</si>
  <si>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</si>
  <si>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</si>
  <si>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</si>
  <si>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</si>
  <si>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</si>
  <si>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</si>
  <si>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</si>
  <si>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</si>
  <si>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</si>
  <si>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</si>
  <si>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</si>
  <si>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</si>
  <si>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</si>
  <si>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</si>
  <si>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</si>
  <si>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</si>
  <si>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</si>
  <si>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</si>
  <si>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</si>
  <si>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</si>
  <si>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</si>
  <si>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</si>
  <si>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</si>
  <si>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</si>
  <si>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</si>
  <si>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</si>
  <si>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</si>
  <si>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</si>
  <si>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</si>
  <si>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</si>
  <si>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</si>
  <si>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</si>
  <si>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</si>
  <si>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</si>
  <si>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</si>
  <si>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</si>
  <si>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</si>
  <si>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</si>
  <si>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</si>
  <si>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</si>
  <si>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</si>
  <si>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</si>
  <si>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</si>
  <si>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</si>
  <si>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</si>
  <si>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</si>
  <si>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</si>
  <si>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</si>
  <si>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</si>
  <si>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</si>
  <si>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</si>
  <si>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</si>
  <si>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</si>
  <si>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</si>
  <si>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</si>
  <si>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</si>
  <si>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</si>
  <si>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</si>
  <si>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</si>
  <si>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</si>
  <si>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</si>
  <si>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</si>
  <si>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</si>
  <si>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</si>
  <si>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</si>
  <si>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</si>
  <si>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</si>
  <si>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</si>
  <si>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</si>
  <si>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</si>
  <si>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</si>
  <si>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</si>
  <si>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</si>
  <si>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</si>
  <si>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</si>
  <si>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</si>
  <si>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</si>
  <si>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</si>
  <si>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</si>
  <si>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</si>
  <si>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</si>
  <si>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</si>
  <si>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</si>
  <si>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</si>
  <si>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</si>
  <si>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</si>
  <si>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</si>
  <si>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</si>
  <si>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</si>
  <si>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</si>
  <si>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</si>
  <si>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</si>
  <si>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</si>
  <si>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</si>
  <si>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</si>
  <si>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</si>
  <si>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</si>
  <si>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</si>
  <si>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</si>
  <si>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</si>
  <si>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</si>
  <si>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</si>
  <si>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</si>
  <si>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</si>
  <si>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</si>
  <si>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</si>
  <si>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</si>
  <si>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</si>
  <si>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</si>
  <si>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</si>
  <si>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</si>
  <si>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</si>
  <si>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</si>
  <si>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</si>
  <si>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</si>
  <si>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</si>
  <si>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</si>
  <si>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</si>
  <si>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</si>
  <si>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</si>
  <si>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</si>
  <si>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</si>
  <si>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</si>
  <si>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</si>
  <si>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</si>
  <si>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</si>
  <si>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</si>
  <si>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</si>
  <si>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</si>
  <si>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</si>
  <si>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</si>
  <si>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</si>
  <si>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</si>
  <si>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</si>
  <si>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</si>
  <si>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</si>
  <si>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</si>
  <si>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</si>
  <si>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</si>
  <si>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</si>
  <si>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</si>
  <si>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</si>
  <si>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</si>
  <si>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</si>
  <si>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</si>
  <si>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</si>
  <si>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</si>
  <si>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</si>
  <si>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</si>
  <si>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</si>
  <si>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</si>
  <si>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</si>
  <si>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</si>
  <si>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</si>
  <si>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</si>
  <si>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</si>
  <si>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</si>
  <si>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</si>
  <si>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</si>
  <si>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</si>
  <si>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</si>
  <si>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</si>
  <si>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</si>
  <si>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</si>
  <si>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</si>
  <si>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</si>
  <si>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</si>
  <si>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</si>
  <si>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</si>
  <si>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</si>
  <si>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</si>
  <si>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</si>
  <si>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</si>
  <si>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</si>
  <si>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</si>
  <si>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</si>
  <si>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</si>
  <si>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</si>
  <si>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</si>
  <si>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</si>
  <si>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</si>
  <si>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</si>
  <si>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</si>
  <si>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</si>
  <si>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</si>
  <si>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</si>
  <si>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</si>
  <si>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</si>
  <si>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</si>
  <si>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</si>
  <si>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</si>
  <si>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</si>
  <si>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</si>
  <si>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</si>
  <si>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</si>
  <si>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</si>
  <si>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</si>
  <si>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</si>
  <si>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</si>
  <si>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</si>
  <si>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</si>
  <si>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</si>
  <si>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</si>
  <si>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</si>
  <si>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</si>
  <si>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</si>
  <si>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</si>
  <si>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</si>
  <si>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</si>
  <si>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</si>
  <si>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</si>
  <si>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</si>
  <si>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</si>
  <si>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</si>
  <si>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</si>
  <si>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</si>
  <si>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</si>
  <si>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</si>
  <si>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</si>
  <si>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</si>
  <si>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</si>
  <si>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</si>
  <si>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</si>
  <si>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</si>
  <si>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</si>
  <si>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</si>
  <si>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</si>
  <si>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</si>
  <si>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</si>
  <si>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</si>
  <si>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</si>
  <si>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</si>
  <si>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</si>
  <si>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</si>
  <si>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</si>
  <si>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</si>
  <si>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</si>
  <si>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</si>
  <si>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</si>
  <si>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</si>
  <si>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</si>
  <si>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</si>
  <si>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</si>
  <si>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</si>
  <si>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</si>
  <si>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</si>
  <si>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</si>
  <si>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</si>
  <si>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</si>
  <si>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</si>
  <si>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</si>
  <si>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</si>
  <si>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</si>
  <si>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</si>
  <si>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</si>
  <si>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</si>
  <si>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</si>
  <si>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</si>
  <si>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</si>
  <si>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</si>
  <si>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</si>
  <si>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</si>
  <si>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</si>
  <si>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</si>
  <si>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</si>
  <si>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</si>
  <si>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</si>
  <si>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</si>
  <si>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</si>
  <si>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</si>
  <si>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</si>
  <si>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</si>
  <si>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</si>
  <si>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</si>
  <si>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</si>
  <si>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</si>
  <si>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</si>
  <si>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</si>
  <si>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</si>
  <si>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</si>
  <si>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</si>
  <si>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</si>
  <si>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</si>
  <si>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</si>
  <si>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</si>
  <si>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</si>
  <si>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</si>
  <si>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</si>
  <si>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</si>
  <si>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</si>
  <si>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</si>
  <si>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</si>
  <si>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</si>
  <si>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</si>
  <si>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</si>
  <si>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</si>
  <si>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</si>
  <si>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</si>
  <si>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</si>
  <si>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</si>
  <si>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</si>
  <si>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</si>
  <si>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</si>
  <si>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</si>
  <si>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</si>
  <si>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</si>
  <si>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</si>
  <si>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</si>
  <si>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</si>
  <si>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</si>
  <si>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</si>
  <si>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</si>
  <si>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</si>
  <si>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</si>
  <si>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</si>
  <si>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</si>
  <si>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</si>
  <si>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</si>
  <si>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</si>
  <si>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</si>
  <si>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</si>
  <si>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</si>
  <si>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</si>
  <si>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</si>
  <si>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</si>
  <si>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</si>
  <si>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</si>
  <si>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</si>
  <si>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</si>
  <si>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</si>
  <si>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</si>
  <si>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</si>
  <si>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</si>
  <si>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</si>
  <si>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</si>
  <si>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</si>
  <si>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</si>
  <si>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</si>
  <si>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</si>
  <si>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</si>
  <si>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</si>
  <si>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</si>
  <si>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</si>
  <si>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</si>
  <si>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</si>
  <si>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</si>
  <si>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</si>
  <si>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</si>
  <si>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</si>
  <si>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</si>
  <si>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</si>
  <si>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</si>
  <si>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</si>
  <si>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</si>
  <si>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</si>
  <si>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</si>
  <si>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</si>
  <si>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</si>
  <si>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</si>
  <si>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</si>
  <si>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</si>
  <si>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</si>
  <si>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</si>
  <si>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</si>
  <si>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</si>
  <si>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</si>
  <si>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</si>
  <si>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</si>
  <si>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</si>
  <si>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</si>
  <si>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</si>
  <si>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</si>
  <si>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</si>
  <si>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</si>
  <si>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</si>
  <si>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</si>
  <si>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</si>
  <si>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</si>
  <si>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</si>
  <si>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</si>
  <si>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</si>
  <si>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</si>
  <si>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</si>
  <si>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</si>
  <si>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</si>
  <si>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</si>
  <si>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</si>
  <si>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</si>
  <si>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</si>
  <si>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</si>
  <si>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</si>
  <si>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</si>
  <si>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</si>
  <si>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</si>
  <si>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</si>
  <si>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</si>
  <si>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</si>
  <si>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</si>
  <si>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</si>
  <si>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</si>
  <si>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</si>
  <si>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</si>
  <si>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</si>
  <si>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</si>
  <si>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</si>
  <si>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</si>
  <si>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</si>
  <si>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</si>
  <si>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</si>
  <si>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</si>
  <si>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</si>
  <si>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</si>
  <si>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</si>
  <si>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</si>
  <si>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</si>
  <si>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</si>
  <si>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</si>
  <si>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</si>
  <si>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</si>
  <si>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</si>
  <si>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</si>
  <si>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</si>
  <si>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</si>
  <si>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</si>
  <si>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</si>
  <si>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</si>
  <si>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</si>
  <si>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</si>
  <si>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</si>
  <si>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</si>
  <si>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</si>
  <si>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</si>
  <si>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</si>
  <si>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</si>
  <si>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</si>
  <si>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</si>
  <si>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</si>
  <si>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</si>
  <si>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</si>
  <si>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</si>
  <si>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</si>
  <si>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</si>
  <si>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</si>
  <si>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</si>
  <si>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</si>
  <si>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</si>
  <si>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</si>
  <si>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</si>
  <si>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</si>
  <si>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</si>
  <si>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</si>
  <si>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</si>
  <si>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</si>
  <si>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</si>
  <si>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</si>
  <si>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</si>
  <si>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</si>
  <si>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</si>
  <si>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</si>
  <si>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</si>
  <si>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</si>
  <si>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</si>
  <si>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</si>
  <si>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</si>
  <si>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</si>
  <si>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</si>
  <si>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</si>
  <si>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</si>
  <si>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</si>
  <si>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</si>
  <si>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</si>
  <si>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</si>
  <si>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</si>
  <si>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</si>
  <si>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</si>
  <si>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</si>
  <si>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</si>
  <si>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</si>
  <si>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</si>
  <si>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</si>
  <si>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</si>
  <si>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</si>
  <si>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</si>
  <si>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</si>
  <si>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</si>
  <si>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</si>
  <si>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</si>
  <si>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</si>
  <si>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</si>
  <si>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</si>
  <si>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</si>
  <si>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</si>
  <si>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</si>
  <si>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</si>
  <si>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</si>
  <si>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</si>
  <si>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</si>
  <si>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</si>
  <si>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</si>
  <si>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</si>
  <si>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</si>
  <si>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</si>
  <si>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</si>
  <si>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</si>
  <si>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</si>
  <si>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</si>
  <si>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</si>
  <si>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</si>
  <si>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</si>
  <si>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</si>
  <si>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</si>
  <si>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</si>
  <si>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</si>
  <si>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</si>
  <si>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</si>
  <si>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</si>
  <si>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</si>
  <si>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</si>
  <si>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</si>
  <si>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</si>
  <si>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</si>
  <si>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</si>
  <si>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</si>
  <si>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</si>
  <si>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</si>
  <si>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</si>
  <si>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</si>
  <si>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</si>
  <si>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</si>
  <si>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</si>
  <si>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</si>
  <si>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</si>
  <si>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</si>
  <si>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</si>
  <si>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</si>
  <si>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</si>
  <si>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</si>
  <si>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</si>
  <si>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</si>
  <si>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</si>
  <si>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</si>
  <si>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</si>
  <si>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</si>
  <si>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</si>
  <si>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</si>
  <si>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</si>
  <si>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</si>
  <si>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</si>
  <si>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</si>
  <si>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</si>
  <si>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</si>
  <si>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</si>
  <si>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</si>
  <si>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</si>
  <si>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</si>
  <si>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</si>
  <si>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</si>
  <si>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</si>
  <si>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</si>
  <si>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</si>
  <si>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</si>
  <si>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</si>
  <si>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</si>
  <si>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</si>
  <si>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</si>
  <si>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</si>
  <si>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</si>
  <si>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</si>
  <si>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</si>
  <si>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</si>
  <si>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</si>
  <si>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</si>
  <si>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</si>
  <si>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</si>
  <si>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</si>
  <si>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</si>
  <si>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</si>
  <si>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</si>
  <si>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</si>
  <si>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</si>
  <si>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</si>
  <si>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</si>
  <si>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</si>
  <si>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</si>
  <si>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</si>
  <si>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</si>
  <si>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</si>
  <si>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</si>
  <si>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</si>
  <si>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</si>
  <si>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</si>
  <si>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</si>
  <si>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</si>
  <si>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</si>
  <si>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</si>
  <si>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</si>
  <si>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</si>
  <si>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</si>
  <si>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</si>
  <si>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</si>
  <si>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</si>
  <si>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</si>
  <si>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</si>
  <si>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</si>
  <si>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</si>
  <si>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</si>
  <si>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</si>
  <si>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</si>
  <si>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</si>
  <si>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</si>
  <si>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</si>
  <si>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</si>
  <si>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</si>
  <si>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</si>
  <si>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</si>
  <si>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</si>
  <si>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</si>
  <si>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</si>
  <si>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</si>
  <si>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</si>
  <si>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</si>
  <si>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</si>
  <si>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</si>
  <si>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</si>
  <si>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</si>
  <si>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</si>
  <si>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</si>
  <si>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</si>
  <si>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</si>
  <si>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</si>
  <si>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</si>
  <si>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</si>
  <si>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</si>
  <si>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</si>
  <si>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</si>
  <si>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</si>
  <si>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</si>
  <si>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</si>
  <si>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</si>
  <si>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</si>
  <si>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</si>
  <si>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</si>
  <si>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</si>
  <si>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</si>
  <si>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</si>
  <si>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</si>
  <si>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</si>
  <si>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</si>
  <si>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</si>
  <si>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</si>
  <si>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</si>
  <si>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</si>
  <si>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</si>
  <si>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</si>
  <si>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</si>
  <si>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</si>
  <si>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</si>
  <si>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</si>
  <si>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</si>
  <si>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</si>
  <si>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</si>
  <si>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</si>
  <si>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</si>
  <si>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</si>
  <si>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</si>
  <si>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</si>
  <si>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</si>
  <si>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</si>
  <si>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</si>
  <si>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</si>
  <si>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</si>
  <si>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</si>
  <si>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</si>
  <si>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</si>
  <si>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</si>
  <si>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</si>
  <si>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</si>
  <si>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</si>
  <si>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</si>
  <si>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</si>
  <si>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</si>
  <si>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</si>
  <si>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</si>
  <si>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</si>
  <si>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</si>
  <si>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</si>
  <si>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</si>
  <si>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</si>
  <si>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</si>
  <si>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</si>
  <si>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</si>
  <si>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</si>
  <si>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</si>
  <si>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</si>
  <si>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</si>
  <si>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</si>
  <si>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</si>
  <si>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</si>
  <si>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</si>
  <si>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</si>
  <si>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</si>
  <si>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</si>
  <si>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</si>
  <si>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</si>
  <si>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</si>
  <si>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</si>
  <si>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</si>
  <si>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</si>
  <si>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</si>
  <si>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</si>
  <si>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</si>
  <si>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</si>
  <si>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</si>
  <si>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</si>
  <si>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</si>
  <si>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</si>
  <si>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</si>
  <si>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</si>
  <si>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</si>
  <si>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</si>
  <si>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</si>
  <si>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</si>
  <si>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</si>
  <si>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</si>
  <si>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</si>
  <si>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</si>
  <si>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</si>
  <si>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</si>
  <si>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</si>
  <si>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</si>
  <si>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</si>
  <si>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</si>
  <si>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</si>
  <si>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</si>
  <si>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</si>
  <si>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</si>
  <si>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</si>
  <si>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</si>
  <si>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</si>
  <si>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</si>
  <si>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</si>
  <si>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</si>
  <si>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</si>
  <si>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</si>
  <si>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</si>
  <si>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</si>
  <si>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</si>
  <si>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</si>
  <si>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</si>
  <si>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</si>
  <si>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</si>
  <si>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</si>
  <si>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</si>
  <si>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</si>
  <si>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</si>
  <si>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</si>
  <si>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</si>
  <si>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</si>
  <si>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</si>
  <si>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</si>
  <si>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</si>
  <si>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</si>
  <si>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</si>
  <si>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</si>
  <si>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</si>
  <si>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</si>
  <si>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</si>
  <si>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</si>
  <si>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</si>
  <si>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</si>
  <si>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</si>
  <si>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</si>
  <si>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</si>
  <si>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</si>
  <si>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</si>
  <si>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</si>
  <si>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</si>
  <si>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</si>
  <si>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</si>
  <si>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</si>
  <si>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</si>
  <si>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</si>
  <si>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</si>
  <si>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</si>
  <si>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</si>
  <si>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</si>
  <si>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</si>
  <si>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</si>
  <si>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</si>
  <si>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</si>
  <si>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</si>
  <si>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</si>
  <si>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</si>
  <si>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</si>
  <si>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</si>
  <si>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</si>
  <si>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</si>
  <si>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</si>
  <si>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</si>
  <si>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</si>
  <si>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</si>
  <si>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</si>
  <si>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</si>
  <si>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</si>
  <si>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</si>
  <si>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</si>
  <si>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</si>
  <si>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</si>
  <si>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</si>
  <si>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</si>
  <si>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</si>
  <si>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</si>
  <si>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</si>
  <si>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</si>
  <si>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</si>
  <si>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</si>
  <si>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</si>
  <si>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</si>
  <si>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</si>
  <si>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</si>
  <si>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</si>
  <si>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</si>
  <si>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</si>
  <si>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</si>
  <si>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</si>
  <si>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</si>
  <si>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</si>
  <si>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</si>
  <si>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</si>
  <si>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</si>
  <si>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</si>
  <si>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</si>
  <si>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</si>
  <si>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</si>
  <si>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</si>
  <si>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</si>
  <si>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</si>
  <si>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</si>
  <si>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</si>
  <si>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</si>
  <si>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</si>
  <si>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</si>
  <si>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</si>
  <si>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</si>
  <si>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</si>
  <si>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</si>
  <si>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</si>
  <si>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</si>
  <si>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</si>
  <si>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</si>
  <si>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</si>
  <si>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</si>
  <si>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</si>
  <si>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</si>
  <si>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</si>
  <si>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</si>
  <si>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</si>
  <si>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</si>
  <si>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</si>
  <si>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</si>
  <si>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</si>
  <si>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</si>
  <si>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</si>
  <si>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</si>
  <si>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</si>
  <si>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</si>
  <si>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</si>
  <si>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</si>
  <si>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</si>
  <si>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</si>
  <si>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</si>
  <si>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</si>
  <si>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</si>
  <si>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</si>
  <si>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</si>
  <si>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</si>
  <si>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</si>
  <si>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</si>
  <si>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</si>
  <si>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</si>
  <si>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</si>
  <si>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</si>
  <si>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</si>
  <si>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</si>
  <si>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</si>
  <si>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</si>
  <si>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</si>
  <si>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</si>
  <si>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</si>
  <si>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</si>
  <si>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</si>
  <si>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</si>
  <si>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</si>
  <si>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</si>
  <si>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</si>
  <si>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</si>
  <si>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</si>
  <si>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</si>
  <si>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</si>
  <si>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</si>
  <si>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</si>
  <si>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</si>
  <si>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</si>
  <si>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</si>
  <si>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</si>
  <si>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</si>
  <si>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</si>
  <si>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</si>
  <si>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</si>
  <si>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</si>
  <si>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</si>
  <si>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</si>
  <si>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</si>
  <si>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</si>
  <si>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</si>
  <si>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</si>
  <si>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</si>
  <si>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</si>
  <si>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</si>
  <si>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</si>
  <si>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</si>
  <si>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</si>
  <si>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</si>
  <si>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</si>
  <si>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</si>
  <si>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</si>
  <si>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</si>
  <si>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</si>
  <si>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</si>
  <si>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</si>
  <si>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</si>
  <si>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</si>
  <si>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</si>
  <si>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</si>
  <si>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</si>
  <si>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</si>
  <si>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</si>
  <si>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</si>
  <si>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</si>
  <si>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</si>
  <si>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</si>
  <si>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</si>
  <si>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</si>
  <si>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</si>
  <si>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</si>
  <si>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</si>
  <si>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</si>
  <si>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</si>
  <si>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</si>
  <si>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</si>
  <si>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</si>
  <si>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</si>
  <si>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</si>
  <si>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</si>
  <si>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</si>
  <si>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</si>
  <si>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</si>
  <si>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</si>
  <si>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</si>
  <si>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</si>
  <si>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</si>
  <si>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</si>
  <si>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</si>
  <si>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</si>
  <si>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</si>
  <si>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</si>
  <si>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</si>
  <si>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</si>
  <si>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</si>
  <si>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</si>
  <si>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</si>
  <si>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</si>
  <si>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</si>
  <si>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</si>
  <si>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</si>
  <si>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</si>
  <si>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</si>
  <si>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</si>
  <si>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</si>
  <si>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</si>
  <si>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</si>
  <si>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</si>
  <si>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</si>
  <si>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</si>
  <si>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</si>
  <si>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</si>
  <si>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</si>
  <si>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</si>
  <si>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</si>
  <si>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</si>
  <si>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</si>
  <si>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</si>
  <si>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</si>
  <si>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</si>
  <si>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</si>
  <si>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</si>
  <si>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</si>
  <si>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</si>
  <si>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</si>
  <si>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</si>
  <si>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</si>
  <si>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</si>
  <si>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</si>
  <si>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</si>
  <si>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</si>
  <si>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</si>
  <si>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</si>
  <si>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</si>
  <si>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</si>
  <si>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</si>
  <si>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</si>
  <si>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</si>
  <si>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</si>
  <si>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</si>
  <si>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</si>
  <si>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</si>
  <si>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</si>
  <si>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</si>
  <si>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</si>
  <si>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</si>
  <si>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</si>
  <si>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</si>
  <si>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</si>
  <si>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</si>
  <si>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</si>
  <si>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</si>
  <si>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</si>
  <si>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</si>
  <si>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</si>
  <si>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</si>
  <si>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</si>
  <si>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</si>
  <si>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</si>
  <si>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</si>
  <si>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</si>
  <si>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</si>
  <si>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</si>
  <si>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</si>
  <si>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</si>
  <si>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</si>
  <si>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</si>
  <si>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</si>
  <si>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</si>
  <si>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</si>
  <si>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</si>
  <si>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</si>
  <si>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</si>
  <si>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</si>
  <si>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</si>
  <si>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</si>
  <si>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</si>
  <si>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</si>
  <si>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</si>
  <si>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</si>
  <si>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</si>
  <si>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</si>
  <si>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</si>
  <si>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</si>
  <si>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</si>
  <si>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</si>
  <si>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</si>
  <si>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</si>
  <si>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</si>
  <si>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</si>
  <si>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</si>
  <si>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</si>
  <si>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</si>
  <si>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</si>
  <si>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</si>
  <si>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</si>
  <si>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</si>
  <si>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</si>
  <si>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</si>
  <si>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</si>
  <si>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</si>
  <si>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</si>
  <si>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</si>
  <si>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</si>
  <si>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</si>
  <si>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</si>
  <si>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</si>
  <si>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</si>
  <si>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</si>
  <si>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</si>
  <si>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</si>
  <si>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</si>
  <si>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</si>
  <si>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</si>
  <si>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</si>
  <si>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</si>
  <si>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</si>
  <si>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</si>
  <si>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</si>
  <si>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</si>
  <si>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</si>
  <si>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</si>
  <si>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</si>
  <si>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</si>
  <si>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</si>
  <si>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</si>
  <si>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</si>
  <si>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</si>
  <si>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</si>
  <si>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</si>
  <si>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</si>
  <si>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</si>
  <si>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</si>
  <si>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</si>
  <si>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</si>
  <si>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</si>
  <si>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</si>
  <si>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</si>
  <si>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</si>
  <si>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</si>
  <si>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</si>
  <si>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</si>
  <si>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</si>
  <si>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</si>
  <si>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</si>
  <si>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</si>
  <si>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</si>
  <si>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</si>
  <si>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</si>
  <si>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</si>
  <si>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</si>
  <si>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</si>
  <si>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</si>
  <si>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</si>
  <si>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</si>
  <si>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</si>
  <si>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</si>
  <si>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</si>
  <si>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</si>
  <si>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</si>
  <si>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</si>
  <si>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</si>
  <si>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</si>
  <si>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</si>
  <si>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</si>
  <si>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</si>
  <si>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</si>
  <si>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</si>
  <si>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</si>
  <si>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</si>
  <si>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</si>
  <si>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</si>
  <si>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</si>
  <si>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</si>
  <si>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</si>
  <si>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</si>
  <si>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</si>
  <si>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</si>
  <si>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</si>
  <si>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</si>
  <si>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</si>
  <si>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</si>
  <si>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</si>
  <si>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</si>
  <si>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</si>
  <si>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</si>
  <si>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</si>
  <si>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</si>
  <si>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</si>
  <si>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</si>
  <si>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</si>
  <si>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</si>
  <si>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</si>
  <si>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</si>
  <si>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</si>
  <si>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</si>
  <si>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</si>
  <si>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</si>
  <si>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</si>
  <si>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</si>
  <si>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</si>
  <si>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</si>
  <si>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</si>
  <si>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</si>
  <si>
    <t>20P/0805/50V/C0G</t>
  </si>
  <si>
    <t>CAP SM 0805 20pF 50V C0G</t>
  </si>
  <si>
    <t>20pF</t>
  </si>
  <si>
    <t>CAP0805_C0G</t>
  </si>
  <si>
    <t>https://weblib.samsungsem.com/mlcc/mlcc-ec-data-sheet.do?partNumber=CL21C200JBANNN</t>
  </si>
  <si>
    <t>CL21C200JBANNNC</t>
  </si>
  <si>
    <t>1276-1829-2-ND</t>
  </si>
  <si>
    <t>C1798</t>
  </si>
  <si>
    <t>C137758</t>
  </si>
  <si>
    <t>C137753</t>
  </si>
  <si>
    <t>C128060</t>
  </si>
  <si>
    <t>BZT52C68V</t>
  </si>
  <si>
    <t>C5365518</t>
  </si>
  <si>
    <t>Preci-Dip</t>
  </si>
  <si>
    <t>803-87-024-10-001101</t>
  </si>
  <si>
    <t>1212-1252-ND</t>
  </si>
  <si>
    <t>Sullins Connector Solutions</t>
  </si>
  <si>
    <t>PRPC012DAAN-RC</t>
  </si>
  <si>
    <t>S2011EC-12-ND</t>
  </si>
  <si>
    <t>SOCK_254_2X12_700</t>
  </si>
  <si>
    <t>HEAD_254_2X12_834_250</t>
  </si>
  <si>
    <t>Header_2x12_8.34mm_2.5mm</t>
  </si>
  <si>
    <t>Header 100 mil 2x12, Height 8.34mm, flange height 2.5mm</t>
  </si>
  <si>
    <t>Socket 2.100mil 2x12, height 7mm</t>
  </si>
  <si>
    <t>Socket_2x12_7mm</t>
  </si>
  <si>
    <t>Socket_2x12</t>
  </si>
  <si>
    <t>SLB4-F6.3 GREEN-YELLOW-1MM-UP</t>
  </si>
  <si>
    <t>SLB4-F6.3 BLACK-1MM-UP</t>
  </si>
  <si>
    <t>SLB4-F6.3 RED-1MM-UP</t>
  </si>
  <si>
    <t>SLB4-F6.3 BLUE-1MM-UP</t>
  </si>
  <si>
    <t>SLB4-F6.3 YELLOW-1MM-UP</t>
  </si>
  <si>
    <t>SLB4-F6.3 GREEN-1MM-UP</t>
  </si>
  <si>
    <t>SLB4-F6.3 PURPLE-1MM-UP</t>
  </si>
  <si>
    <t>SLB4-F6.3 BROWN-1MM-UP</t>
  </si>
  <si>
    <t>SLB4-F6.3 GREY-1MM-UP</t>
  </si>
  <si>
    <t>SLB4-F6.3 WHITE-1MM-UP</t>
  </si>
  <si>
    <t>PCB/Stäubli-1MM-UP.PcbLib</t>
  </si>
  <si>
    <t>SLB4-F6.3 GREEN-YELLOW-1.5MM-UP</t>
  </si>
  <si>
    <t>PCB/Stäubli-1.5MM-UP.PcbLib</t>
  </si>
  <si>
    <t>SLB4-F6.3 BLACK-1.5MM-UP</t>
  </si>
  <si>
    <t>SLB4-F6.3 RED-1.5MM-UP</t>
  </si>
  <si>
    <t>SLB4-F6.3 BLUE-1.5MM-UP</t>
  </si>
  <si>
    <t>SLB4-F6.3 YELLOW-1.5MM-UP</t>
  </si>
  <si>
    <t>SLB4-F6.3 GREEN-1.5MM-UP</t>
  </si>
  <si>
    <t>SLB4-F6.3 PURPLE-1.5MM-UP</t>
  </si>
  <si>
    <t>SLB4-F6.3 BROWN-1.5MM-UP</t>
  </si>
  <si>
    <t>SLB4-F6.3 GREY-1.5MM-UP</t>
  </si>
  <si>
    <t>SLB4-F6.3 WHITE-1.5MM-UP</t>
  </si>
  <si>
    <t>SLB4-F6.3 GREEN-YELLOW-2MM-UP</t>
  </si>
  <si>
    <t>PCB/Stäubli-2MM-UP.PcbLib</t>
  </si>
  <si>
    <t>SLB4-F6.3 BLACK-2MM-UP</t>
  </si>
  <si>
    <t>SLB4-F6.3 RED-2MM-UP</t>
  </si>
  <si>
    <t>SLB4-F6.3 BLUE-2MM-UP</t>
  </si>
  <si>
    <t>SLB4-F6.3 YELLOW-2MM-UP</t>
  </si>
  <si>
    <t>SLB4-F6.3 GREEN-2MM-UP</t>
  </si>
  <si>
    <t>SLB4-F6.3 PURPLE-2MM-UP</t>
  </si>
  <si>
    <t>SLB4-F6.3 BROWN-2MM-UP</t>
  </si>
  <si>
    <t>SLB4-F6.3 GREY-2MM-UP</t>
  </si>
  <si>
    <t>SLB4-F6.3 WHITE-2MM-UP</t>
  </si>
  <si>
    <t>SLB4-F6.3 GREEN-YELLOW-1MM-DOWN</t>
  </si>
  <si>
    <t>PCB/Stäubli-1MM-DOWN.PcbLib</t>
  </si>
  <si>
    <t>SLB4-F6.3 BLACK-1MM-DOWN</t>
  </si>
  <si>
    <t>SLB4-F6.3 RED-1MM-DOWN</t>
  </si>
  <si>
    <t>SLB4-F6.3 BLUE-1MM-DOWN</t>
  </si>
  <si>
    <t>SLB4-F6.3 YELLOW-1MM-DOWN</t>
  </si>
  <si>
    <t>SLB4-F6.3 GREEN-1MM-DOWN</t>
  </si>
  <si>
    <t>SLB4-F6.3 PURPLE-1MM-DOWN</t>
  </si>
  <si>
    <t>SLB4-F6.3 BROWN-1MM-DOWN</t>
  </si>
  <si>
    <t>SLB4-F6.3 GREY-1MM-DOWN</t>
  </si>
  <si>
    <t>SLB4-F6.3 WHITE-1MM-DOWN</t>
  </si>
  <si>
    <t>SLB4-F6.3 GREEN-YELLOW-2MM-DOWN</t>
  </si>
  <si>
    <t>PCB/Stäubli-2MM-DOWN.PcbLib</t>
  </si>
  <si>
    <t>SLB4-F6.3 BLACK-2MM-DOWN</t>
  </si>
  <si>
    <t>SLB4-F6.3 RED-2MM-DOWN</t>
  </si>
  <si>
    <t>SLB4-F6.3 BLUE-2MM-DOWN</t>
  </si>
  <si>
    <t>SLB4-F6.3 YELLOW-2MM-DOWN</t>
  </si>
  <si>
    <t>SLB4-F6.3 GREEN-2MM-DOWN</t>
  </si>
  <si>
    <t>SLB4-F6.3 PURPLE-2MM-DOWN</t>
  </si>
  <si>
    <t>SLB4-F6.3 BROWN-2MM-DOWN</t>
  </si>
  <si>
    <t>SLB4-F6.3 GREY-2MM-DOWN</t>
  </si>
  <si>
    <t>SLB4-F6.3 WHITE-2MM-DOWN</t>
  </si>
  <si>
    <t>1:2.5/200UH/MXPP8</t>
  </si>
  <si>
    <t>MXPP8 Push-Pull Transformer, Turns ratio 1:2.5, 200uH, Size MXPP8</t>
  </si>
  <si>
    <t>C1644</t>
  </si>
  <si>
    <t>CL10B105KB8NQNC</t>
  </si>
  <si>
    <t>C5199872</t>
  </si>
  <si>
    <t>FH</t>
  </si>
  <si>
    <t>0603B682K500NT</t>
  </si>
  <si>
    <t>C1631</t>
  </si>
  <si>
    <t>0603WAF100JT5E</t>
  </si>
  <si>
    <t>C22859</t>
  </si>
  <si>
    <t>C107054</t>
  </si>
  <si>
    <t>1M/1206/HV</t>
  </si>
  <si>
    <t>RES SM 1206 1M High voltage</t>
  </si>
  <si>
    <t>RV1206FR-071ML</t>
  </si>
  <si>
    <t>311-1MNICT-ND</t>
  </si>
  <si>
    <t>C706459</t>
  </si>
  <si>
    <t>0603WAF6201T5E</t>
  </si>
  <si>
    <t>C4260</t>
  </si>
  <si>
    <t>RC0603FR-07430RL</t>
  </si>
  <si>
    <t>C137721</t>
  </si>
  <si>
    <t>0603WAF4700T5E</t>
  </si>
  <si>
    <t>C23179</t>
  </si>
  <si>
    <t>0603WAF6801T5E</t>
  </si>
  <si>
    <t>C23212</t>
  </si>
  <si>
    <t>0603WAF1802T5E</t>
  </si>
  <si>
    <t>C25810</t>
  </si>
  <si>
    <t>RC0603FR-0716KL</t>
  </si>
  <si>
    <t>C137788</t>
  </si>
  <si>
    <t>RC0603FR-0743KL</t>
  </si>
  <si>
    <t>C137719</t>
  </si>
  <si>
    <t>C163432</t>
  </si>
  <si>
    <t>C137672</t>
  </si>
  <si>
    <t>C114524</t>
  </si>
  <si>
    <t>C137739</t>
  </si>
  <si>
    <t>ADS7046</t>
  </si>
  <si>
    <t>12-Bit  3-MSPS Single-Ended Input Small-Size Low-Power SAR ADC</t>
  </si>
  <si>
    <t>https://www.ti.com/lit/ds/symlink/ads7046.pdf</t>
  </si>
  <si>
    <t>296-48818-1-ND</t>
  </si>
  <si>
    <t>ADS7046IRUGR</t>
  </si>
  <si>
    <t>C543003</t>
  </si>
  <si>
    <t>MAX40100</t>
  </si>
  <si>
    <t>maxim Integrated</t>
  </si>
  <si>
    <t>BGA</t>
  </si>
  <si>
    <t>OPA_OB3_PB1_NB2_VCCA2_VEEA1_SHA3</t>
  </si>
  <si>
    <t>BGA006C035P2X3_072X107X050</t>
  </si>
  <si>
    <t>https://www.analog.com/media/en/technical-documentation/data-sheets/MAX40100.pdf</t>
  </si>
  <si>
    <t>maxim integrated</t>
  </si>
  <si>
    <t>MAX40100ANT+T</t>
  </si>
  <si>
    <t>MAX40100ANT+TCT-ND</t>
  </si>
  <si>
    <t>C2057616</t>
  </si>
  <si>
    <t>Precision Low-Power and Low-Noise Op Amp with RRIO</t>
  </si>
  <si>
    <t>AD8605ACBZ-REEL7</t>
  </si>
  <si>
    <t>AD8606ACBZ-REEL7</t>
  </si>
  <si>
    <t>AD8606ACBZ</t>
  </si>
  <si>
    <t>AD8605ACBZ</t>
  </si>
  <si>
    <t>Single Precision Low Noise CMOS Rail-to-Rail Input/Output Operational Amplifiers</t>
  </si>
  <si>
    <t>Dual Precision Low Noise CMOS Rail-to-Rail Input/Output Operational Amplifiers</t>
  </si>
  <si>
    <t>OPA2_OA1-A3_PC1-C3_NB1-B3_VCCA2_VEEC2</t>
  </si>
  <si>
    <t>BGA005C050P2X3_090X129X055</t>
  </si>
  <si>
    <t>BGA008C050P3X3_143X177X059</t>
  </si>
  <si>
    <t>https://www.analog.com/media/en/technical-documentation/data-sheets/ad8605_8606_8608.pdf</t>
  </si>
  <si>
    <t>505-AD8605ACBZ-REEL7CT-ND</t>
  </si>
  <si>
    <t>505-AD8606ACBZ-REEL7CT-ND</t>
  </si>
  <si>
    <t>C143895</t>
  </si>
  <si>
    <t>C206677</t>
  </si>
  <si>
    <t>QFN040P140X180X050-10</t>
  </si>
  <si>
    <t>NX3L2267</t>
  </si>
  <si>
    <t>Low-ohmic dual single-pole double-throw analog switch</t>
  </si>
  <si>
    <t>NXP Semiconductors</t>
  </si>
  <si>
    <t>XQFN10</t>
  </si>
  <si>
    <t>NX3L2267_XQFN10</t>
  </si>
  <si>
    <t>https://www.nxp.com/docs/en/data-sheet/NX3L2267.pdf</t>
  </si>
  <si>
    <t>NX3L2267GU,115</t>
  </si>
  <si>
    <t>568-8411-1-ND</t>
  </si>
  <si>
    <t>C2673419</t>
  </si>
  <si>
    <t>LT6370IS8E</t>
  </si>
  <si>
    <t>LT6370IMS8</t>
  </si>
  <si>
    <t>LT6370IDD</t>
  </si>
  <si>
    <t>25µV 0.3µV/°C Low Noise Instrumentation Amplifier</t>
  </si>
  <si>
    <t>https://www.analog.com/media/en/technical-documentation/data-sheets/lt6370.pdf</t>
  </si>
  <si>
    <t>LT6370_DD</t>
  </si>
  <si>
    <t>LT6370_S8</t>
  </si>
  <si>
    <t>DFN050P300X300X075-8-EP238X165</t>
  </si>
  <si>
    <t>505-LT6370IS8E#PBF-ND</t>
  </si>
  <si>
    <t>LT6370IS8E#PBF</t>
  </si>
  <si>
    <t>505-LT6370HMS8#TRPBFCT-ND</t>
  </si>
  <si>
    <t>LT6370HMS8#TRPBF</t>
  </si>
  <si>
    <t>505-LT6370IDD#TRPBFCT-ND</t>
  </si>
  <si>
    <t>LT6370IDD#TRPBF</t>
  </si>
  <si>
    <t>DFN-10</t>
  </si>
  <si>
    <t>C673100</t>
  </si>
  <si>
    <t>LT6370IMS8#PBF</t>
  </si>
  <si>
    <t>BGA016C035P4X4_140X140X045</t>
  </si>
  <si>
    <t>220-2228-1-ND</t>
  </si>
  <si>
    <t>ICE40UL1K-SWG16ITR1K</t>
  </si>
  <si>
    <t>Lattice Semiconductor Corporation</t>
  </si>
  <si>
    <t>ICE40UL1K-SWG16</t>
  </si>
  <si>
    <t>iCE40 UltraLite FPGA</t>
  </si>
  <si>
    <t>https://www.latticesemi.com/view_document?document_id=50945</t>
  </si>
  <si>
    <t>LTC1799</t>
  </si>
  <si>
    <t>1kHz to 33MHz Resistor Set SOT-23 Oscillator</t>
  </si>
  <si>
    <t>LTC1799CS5#TRPBFCT-ND</t>
  </si>
  <si>
    <t>LTC1799CS5#TRPBF</t>
  </si>
  <si>
    <t>https://www.analog.com/media/en/technical-documentation/data-sheets/LTC1799.pdf</t>
  </si>
  <si>
    <t>SN74LVC1G34</t>
  </si>
  <si>
    <t>SN74LVC1G34 Single Buffer Gate BGA - YFP</t>
  </si>
  <si>
    <t>GATE BUF 1X1 BGA</t>
  </si>
  <si>
    <t>BGA004C040P2X2_079X079X050</t>
  </si>
  <si>
    <t>https://www.ti.com/lit/ds/symlink/sn74lvc1g34.pdf</t>
  </si>
  <si>
    <t>C2676158</t>
  </si>
  <si>
    <t>SN74LVC1G34YFPR</t>
  </si>
  <si>
    <t>296-23862-1-ND</t>
  </si>
  <si>
    <t>TPS7A2018PYCKR</t>
  </si>
  <si>
    <t>TPS7A2012PYCJR</t>
  </si>
  <si>
    <t>TPS7A2033PYCJR</t>
  </si>
  <si>
    <t>TPS7A2025PYCJR</t>
  </si>
  <si>
    <t>TPS7A2011PYCKR</t>
  </si>
  <si>
    <t>TPS7A20285PYCKR</t>
  </si>
  <si>
    <t>TPS7A2020PYCKR</t>
  </si>
  <si>
    <t>TPS7A2028PYCJR</t>
  </si>
  <si>
    <t>TPS7A2027PYCJR</t>
  </si>
  <si>
    <t>TPS7A20185PYCKR</t>
  </si>
  <si>
    <t>TPS7A20C285PYCKR</t>
  </si>
  <si>
    <t>TPS7A20C22PYCKR</t>
  </si>
  <si>
    <t>TPS7A20C25PYCKR</t>
  </si>
  <si>
    <t>TPS7A202275PYCKR</t>
  </si>
  <si>
    <t>TPS7A2016YCKR</t>
  </si>
  <si>
    <t>TPS7A2030YCKR</t>
  </si>
  <si>
    <t>TPS7A2033YCKR</t>
  </si>
  <si>
    <t>TPS7A2018YCKR</t>
  </si>
  <si>
    <t>296-TPS7A2018PYCKRCT-ND</t>
  </si>
  <si>
    <t>296-TPS7A2012PYCJRCT-ND</t>
  </si>
  <si>
    <t>296-TPS7A2033PYCJRCT-ND</t>
  </si>
  <si>
    <t>296-TPS7A2025PYCJRCT-ND</t>
  </si>
  <si>
    <t>296-TPS7A2011PYCKRCT-ND</t>
  </si>
  <si>
    <t>296-TPS7A20285PYCKRCT-ND</t>
  </si>
  <si>
    <t>296-TPS7A2020PYCKRCT-ND</t>
  </si>
  <si>
    <t>296-TPS7A2028PYCJRCT-ND</t>
  </si>
  <si>
    <t>296-TPS7A2027PYCJRCT-ND</t>
  </si>
  <si>
    <t>296-TPS7A20185PYCKRCT-ND</t>
  </si>
  <si>
    <t>296-TPS7A20C285PYCKRCT-ND</t>
  </si>
  <si>
    <t>296-TPS7A20C22PYCKRCT-ND</t>
  </si>
  <si>
    <t>296-TPS7A20C25PYCKRCT-ND</t>
  </si>
  <si>
    <t>296-TPS7A202275PYCKRCT-ND</t>
  </si>
  <si>
    <t>296-TPS7A2016YCKRCT-ND</t>
  </si>
  <si>
    <t>296-TPS7A2030YCKRCT-ND</t>
  </si>
  <si>
    <t>296-TPS7A2033YCKRCT-ND</t>
  </si>
  <si>
    <t>296-TPS7A2018YCKRCT-ND</t>
  </si>
  <si>
    <t>IC REG LINEAR 1.8V 300MA 4-DSBGA</t>
  </si>
  <si>
    <t>IC REG LINEAR 1.2V 300MA 4-DSBGA</t>
  </si>
  <si>
    <t>IC REG LINEAR 3.3V 300MA 4-DSBGA</t>
  </si>
  <si>
    <t>IC REG LINEAR 2.5V 300MA 4-DSBGA</t>
  </si>
  <si>
    <t>IC REG LINEAR 1.1V 300MA 4-DSBGA</t>
  </si>
  <si>
    <t>IC REG LIN 2.85V 300MA 4-DSBGA</t>
  </si>
  <si>
    <t>IC REG LINEAR 2V 300MA 4-DSBGA</t>
  </si>
  <si>
    <t>IC REG LINEAR 2.8V 300MA 4-DSBGA</t>
  </si>
  <si>
    <t>IC REG LINEAR 2.7V 300MA 4-DSBGA</t>
  </si>
  <si>
    <t>IC REG LIN 1.85V 300MA 4-DSBGA</t>
  </si>
  <si>
    <t>IC REG LINEAR 2.2V 300MA 4-DSBGA</t>
  </si>
  <si>
    <t>IC REG LIN 2.275V 300MA 4-DSBGA</t>
  </si>
  <si>
    <t>IC REG LINEAR 1.6V 300MA 4-DSBGA</t>
  </si>
  <si>
    <t>IC REG LINEAR 3V 300MA 4-DSBGA</t>
  </si>
  <si>
    <t>TPS7A20 BGA</t>
  </si>
  <si>
    <t>BGA004C035P2X2_063X063X033</t>
  </si>
  <si>
    <t>https://www.ti.com/lit/ds/symlink/tps7a20.pdf</t>
  </si>
  <si>
    <t>https://www.ti.com/lit/ds/symlink/tps22991.pdf</t>
  </si>
  <si>
    <t>TPS22991CRAAR</t>
  </si>
  <si>
    <t>TPS22991BRAAR</t>
  </si>
  <si>
    <t>TPS22991CNRAAR</t>
  </si>
  <si>
    <t>TPS22991BNRAAR</t>
  </si>
  <si>
    <t>TPS22991IBNRAAR</t>
  </si>
  <si>
    <t>TPS22991ICNRAAR</t>
  </si>
  <si>
    <t>TPS22991IBRAAR</t>
  </si>
  <si>
    <t>TPS22991ICRAAR</t>
  </si>
  <si>
    <t>296-TPS22991CRAARCT-ND</t>
  </si>
  <si>
    <t>296-TPS22991BRAARCT-ND</t>
  </si>
  <si>
    <t>296-TPS22991CNRAARCT-ND</t>
  </si>
  <si>
    <t>296-TPS22991BNRAARCT-ND</t>
  </si>
  <si>
    <t>296-TPS22991IBNRAARCT-ND</t>
  </si>
  <si>
    <t>296-TPS22991ICNRAARCT-ND</t>
  </si>
  <si>
    <t>296-TPS22991IBRAARCT-ND</t>
  </si>
  <si>
    <t>296-TPS22991ICRAARCT-ND</t>
  </si>
  <si>
    <t>5V 3A 25M Load Switch with Discharge</t>
  </si>
  <si>
    <t>5V 3A 25M Fast Load Switch with Discharge</t>
  </si>
  <si>
    <t>5V 3A 25M Load Switch</t>
  </si>
  <si>
    <t>5V 3A 25M Fast Load Switch</t>
  </si>
  <si>
    <t xml:space="preserve">5.5V 2.7A 28M Fast Load Switch </t>
  </si>
  <si>
    <t xml:space="preserve">5.5V 2.7A 28M Load Switch </t>
  </si>
  <si>
    <t>5.5V 2.7A 28M Fast Load Switch with Discharge</t>
  </si>
  <si>
    <t>5.5V 2.7A 28M Load Switch with Discharge</t>
  </si>
  <si>
    <t>TPS22991C</t>
  </si>
  <si>
    <t>TPS22991B</t>
  </si>
  <si>
    <t>TPS22991CN</t>
  </si>
  <si>
    <t>TPS22991BN</t>
  </si>
  <si>
    <t>TPS22991IBN</t>
  </si>
  <si>
    <t>TPS22991ICN</t>
  </si>
  <si>
    <t>TPS22991IB</t>
  </si>
  <si>
    <t>TPS22991IC</t>
  </si>
  <si>
    <t>UQFN-HR</t>
  </si>
  <si>
    <t>TPS22991</t>
  </si>
  <si>
    <t>QFN040P080X090X050-4</t>
  </si>
  <si>
    <t>C49307573</t>
  </si>
  <si>
    <t>C42113540</t>
  </si>
  <si>
    <t>C49307567</t>
  </si>
  <si>
    <t>C49454445</t>
  </si>
  <si>
    <t>C49454446</t>
  </si>
  <si>
    <t>C5220161</t>
  </si>
  <si>
    <t>C5220159</t>
  </si>
  <si>
    <t>C3746252</t>
  </si>
  <si>
    <t>C6290384</t>
  </si>
  <si>
    <t>C7401711</t>
  </si>
  <si>
    <t>C3025023</t>
  </si>
  <si>
    <t>C5220162</t>
  </si>
  <si>
    <t>C6719128</t>
  </si>
  <si>
    <t>C7073376</t>
  </si>
  <si>
    <t>C5220160</t>
  </si>
  <si>
    <t>C42064755</t>
  </si>
  <si>
    <t>C41589305</t>
  </si>
  <si>
    <t>C42038768</t>
  </si>
  <si>
    <t>C41613873</t>
  </si>
  <si>
    <t>1R/0201</t>
  </si>
  <si>
    <t xml:space="preserve">RES SM 0201 1R </t>
  </si>
  <si>
    <t>0201</t>
  </si>
  <si>
    <t>https://yageogroup.com/content/datasheet/asset/file/PYU-RC_GROUP_51_ROHS_L</t>
  </si>
  <si>
    <t>RC0201FR-071RL</t>
  </si>
  <si>
    <t>YAG3368CT-ND</t>
  </si>
  <si>
    <t>1R2/0201</t>
  </si>
  <si>
    <t xml:space="preserve">RES SM 0201 1R2 </t>
  </si>
  <si>
    <t>RC0201FR-071R2L</t>
  </si>
  <si>
    <t>13-RC0201FR-071R2LCT-ND</t>
  </si>
  <si>
    <t>1R3/0201</t>
  </si>
  <si>
    <t xml:space="preserve">RES SM 0201 1R3 </t>
  </si>
  <si>
    <t>RC0201FR-071R3L</t>
  </si>
  <si>
    <t>13-RC0201FR-071R3LCT-ND</t>
  </si>
  <si>
    <t>1R5/0201</t>
  </si>
  <si>
    <t xml:space="preserve">RES SM 0201 1R5 </t>
  </si>
  <si>
    <t>RC0201FR-071R5L</t>
  </si>
  <si>
    <t>13-RC0201FR-071R5LCT-ND</t>
  </si>
  <si>
    <t>1R8/0201</t>
  </si>
  <si>
    <t xml:space="preserve">RES SM 0201 1R8 </t>
  </si>
  <si>
    <t>RC0201FR-071R8L</t>
  </si>
  <si>
    <t>13-RC0201FR-071R8LCT-ND</t>
  </si>
  <si>
    <t>2R/0201</t>
  </si>
  <si>
    <t xml:space="preserve">RES SM 0201 2R </t>
  </si>
  <si>
    <t>RC0201FR-072RL</t>
  </si>
  <si>
    <t>13-RC0201FR-072RLCT-ND</t>
  </si>
  <si>
    <t>2R2/0201</t>
  </si>
  <si>
    <t xml:space="preserve">RES SM 0201 2R2 </t>
  </si>
  <si>
    <t>RC0201FR-072R2L</t>
  </si>
  <si>
    <t>13-RC0201FR-072R2LCT-ND</t>
  </si>
  <si>
    <t>2R7/0201</t>
  </si>
  <si>
    <t xml:space="preserve">RES SM 0201 2R7 </t>
  </si>
  <si>
    <t>RC0201FR-072R7L</t>
  </si>
  <si>
    <t>13-RC0201FR-072R7LCT-ND</t>
  </si>
  <si>
    <t>3R/0201</t>
  </si>
  <si>
    <t xml:space="preserve">RES SM 0201 3R </t>
  </si>
  <si>
    <t>RC0201FR-073RL</t>
  </si>
  <si>
    <t>13-RC0201FR-073RLCT-ND</t>
  </si>
  <si>
    <t>3R3/0201</t>
  </si>
  <si>
    <t xml:space="preserve">RES SM 0201 3R3 </t>
  </si>
  <si>
    <t>RC0201FR-073R3L</t>
  </si>
  <si>
    <t>13-RC0201FR-073R3LCT-ND</t>
  </si>
  <si>
    <t>3R9/0201</t>
  </si>
  <si>
    <t xml:space="preserve">RES SM 0201 3R9 </t>
  </si>
  <si>
    <t>RC0201FR-073R9L</t>
  </si>
  <si>
    <t>13-RC0201FR-073R9LCT-ND</t>
  </si>
  <si>
    <t>4R3/0201</t>
  </si>
  <si>
    <t xml:space="preserve">RES SM 0201 4R3 </t>
  </si>
  <si>
    <t>RC0201FR-074R3L</t>
  </si>
  <si>
    <t>13-RC0201FR-074R3LCT-ND</t>
  </si>
  <si>
    <t>4R7/0201</t>
  </si>
  <si>
    <t xml:space="preserve">RES SM 0201 4R7 </t>
  </si>
  <si>
    <t>RC0201FR-074R7L</t>
  </si>
  <si>
    <t>13-RC0201FR-074R7LCT-ND</t>
  </si>
  <si>
    <t>5R1/0201</t>
  </si>
  <si>
    <t xml:space="preserve">RES SM 0201 5R1 </t>
  </si>
  <si>
    <t>RC0201FR-075R1L</t>
  </si>
  <si>
    <t>13-RC0201FR-075R1LCT-ND</t>
  </si>
  <si>
    <t>5R6/0201</t>
  </si>
  <si>
    <t xml:space="preserve">RES SM 0201 5R6 </t>
  </si>
  <si>
    <t>RC0201FR-075R6L</t>
  </si>
  <si>
    <t>13-RC0201FR-075R6LCT-ND</t>
  </si>
  <si>
    <t>6R2/0201</t>
  </si>
  <si>
    <t xml:space="preserve">RES SM 0201 6R2 </t>
  </si>
  <si>
    <t>RC0201FR-076R2L</t>
  </si>
  <si>
    <t>13-RC0201FR-076R2LCT-ND</t>
  </si>
  <si>
    <t>6R8/0201</t>
  </si>
  <si>
    <t xml:space="preserve">RES SM 0201 6R8 </t>
  </si>
  <si>
    <t>RC0201FR-076R8L</t>
  </si>
  <si>
    <t>13-RC0201FR-076R8LCT-ND</t>
  </si>
  <si>
    <t>7R5/0201</t>
  </si>
  <si>
    <t xml:space="preserve">RES SM 0201 7R5 </t>
  </si>
  <si>
    <t>RC0201FR-077R5L</t>
  </si>
  <si>
    <t>13-RC0201FR-077R5LCT-ND</t>
  </si>
  <si>
    <t>8R2/0201</t>
  </si>
  <si>
    <t xml:space="preserve">RES SM 0201 8R2 </t>
  </si>
  <si>
    <t>RC0201FR-078R2L</t>
  </si>
  <si>
    <t>13-RC0201FR-078R2LCT-ND</t>
  </si>
  <si>
    <t>9R1/0201</t>
  </si>
  <si>
    <t xml:space="preserve">RES SM 0201 9R1 </t>
  </si>
  <si>
    <t>RC0201FR-079R1L</t>
  </si>
  <si>
    <t>13-RC0201FR-079R1LCT-ND</t>
  </si>
  <si>
    <t>10R/0201</t>
  </si>
  <si>
    <t xml:space="preserve">RES SM 0201 10R </t>
  </si>
  <si>
    <t>RC0201FR-0710RL</t>
  </si>
  <si>
    <t>311-10.0MCT-ND</t>
  </si>
  <si>
    <t>RC0201FR-1310RL</t>
  </si>
  <si>
    <t>13-RC0201FR-1310RLCT-ND</t>
  </si>
  <si>
    <t>11R/0201</t>
  </si>
  <si>
    <t xml:space="preserve">RES SM 0201 11R </t>
  </si>
  <si>
    <t>RC0201FR-0711RL</t>
  </si>
  <si>
    <t>YAG2392CT-ND</t>
  </si>
  <si>
    <t>12R/0201</t>
  </si>
  <si>
    <t xml:space="preserve">RES SM 0201 12R </t>
  </si>
  <si>
    <t>RC0201FR-0712RL</t>
  </si>
  <si>
    <t>311-12.0MCT-ND</t>
  </si>
  <si>
    <t>13R/0201</t>
  </si>
  <si>
    <t xml:space="preserve">RES SM 0201 13R </t>
  </si>
  <si>
    <t>RC0201FR-0713RL</t>
  </si>
  <si>
    <t>YAG2404CT-ND</t>
  </si>
  <si>
    <t>15R/0201</t>
  </si>
  <si>
    <t xml:space="preserve">RES SM 0201 15R </t>
  </si>
  <si>
    <t>RC0201FR-0715RL</t>
  </si>
  <si>
    <t>311-15.0MCT-ND</t>
  </si>
  <si>
    <t>16R/0201</t>
  </si>
  <si>
    <t xml:space="preserve">RES SM 0201 16R </t>
  </si>
  <si>
    <t>RC0201FR-0716RL</t>
  </si>
  <si>
    <t>YAG2441CT-ND</t>
  </si>
  <si>
    <t>18R/0201</t>
  </si>
  <si>
    <t xml:space="preserve">RES SM 0201 18R </t>
  </si>
  <si>
    <t>RC0201FR-0718RL</t>
  </si>
  <si>
    <t>YAG2459CT-ND</t>
  </si>
  <si>
    <t>20R/0201</t>
  </si>
  <si>
    <t xml:space="preserve">RES SM 0201 20R </t>
  </si>
  <si>
    <t>RC0201FR-0720RL</t>
  </si>
  <si>
    <t>YAG2500CT-ND</t>
  </si>
  <si>
    <t>22R/0201</t>
  </si>
  <si>
    <t xml:space="preserve">RES SM 0201 22R </t>
  </si>
  <si>
    <t>RC0201FR-0722RL</t>
  </si>
  <si>
    <t>YAG2518CT-ND</t>
  </si>
  <si>
    <t>RC0201FR-1322RL</t>
  </si>
  <si>
    <t>13-RC0201FR-1322RLCT-ND</t>
  </si>
  <si>
    <t>24R/0201</t>
  </si>
  <si>
    <t xml:space="preserve">RES SM 0201 24R </t>
  </si>
  <si>
    <t>RC0201FR-0724RL</t>
  </si>
  <si>
    <t>YAG2535CT-ND</t>
  </si>
  <si>
    <t>27R/0201</t>
  </si>
  <si>
    <t xml:space="preserve">RES SM 0201 27R </t>
  </si>
  <si>
    <t>RC0201FR-0727RL</t>
  </si>
  <si>
    <t>YAG2554CT-ND</t>
  </si>
  <si>
    <t>30R/0201</t>
  </si>
  <si>
    <t xml:space="preserve">RES SM 0201 30R </t>
  </si>
  <si>
    <t>RC0201FR-0730RL</t>
  </si>
  <si>
    <t>YAG2594CT-ND</t>
  </si>
  <si>
    <t>RC0201FR-1330RL</t>
  </si>
  <si>
    <t>13-RC0201FR-1330RLCT-ND</t>
  </si>
  <si>
    <t>33R/0201</t>
  </si>
  <si>
    <t xml:space="preserve">RES SM 0201 33R </t>
  </si>
  <si>
    <t>RC0201FR-0733RL</t>
  </si>
  <si>
    <t>311-33.0MCT-ND</t>
  </si>
  <si>
    <t>RC0201FR-1333RL</t>
  </si>
  <si>
    <t>13-RC0201FR-1333RLCT-ND</t>
  </si>
  <si>
    <t>36R/0201</t>
  </si>
  <si>
    <t xml:space="preserve">RES SM 0201 36R </t>
  </si>
  <si>
    <t>RC0201FR-0736RL</t>
  </si>
  <si>
    <t>YAG2628CT-ND</t>
  </si>
  <si>
    <t>39R/0201</t>
  </si>
  <si>
    <t xml:space="preserve">RES SM 0201 39R </t>
  </si>
  <si>
    <t>RC0201FR-0739RL</t>
  </si>
  <si>
    <t>YAG2643CT-ND</t>
  </si>
  <si>
    <t>RC0201FR-1339RL</t>
  </si>
  <si>
    <t>13-RC0201FR-1339RLCT-ND</t>
  </si>
  <si>
    <t>43R/0201</t>
  </si>
  <si>
    <t xml:space="preserve">RES SM 0201 43R </t>
  </si>
  <si>
    <t>RC0201FR-0743RL</t>
  </si>
  <si>
    <t>YAG2675CT-ND</t>
  </si>
  <si>
    <t>47R/0201</t>
  </si>
  <si>
    <t xml:space="preserve">RES SM 0201 47R </t>
  </si>
  <si>
    <t>RC0201FR-0747RL</t>
  </si>
  <si>
    <t>YAG2694CT-ND</t>
  </si>
  <si>
    <t>RC0201FR-1347RL</t>
  </si>
  <si>
    <t>13-RC0201FR-1347RLCT-ND</t>
  </si>
  <si>
    <t>51R/0201</t>
  </si>
  <si>
    <t xml:space="preserve">RES SM 0201 51R </t>
  </si>
  <si>
    <t>RC0201FR-0751RL</t>
  </si>
  <si>
    <t>YAG2288CT-ND</t>
  </si>
  <si>
    <t>56R/0201</t>
  </si>
  <si>
    <t xml:space="preserve">RES SM 0201 56R </t>
  </si>
  <si>
    <t>RC0201FR-0756RL</t>
  </si>
  <si>
    <t>YAG2344CT-ND</t>
  </si>
  <si>
    <t>62R/0201</t>
  </si>
  <si>
    <t xml:space="preserve">RES SM 0201 62R </t>
  </si>
  <si>
    <t>RC0201FR-0762RL</t>
  </si>
  <si>
    <t>YAG2755CT-ND</t>
  </si>
  <si>
    <t>68R/0201</t>
  </si>
  <si>
    <t xml:space="preserve">RES SM 0201 68R </t>
  </si>
  <si>
    <t>RC0201FR-0768RL</t>
  </si>
  <si>
    <t>YAG2773CT-ND</t>
  </si>
  <si>
    <t>75R/0201</t>
  </si>
  <si>
    <t xml:space="preserve">RES SM 0201 75R </t>
  </si>
  <si>
    <t>RC0201FR-0775RL</t>
  </si>
  <si>
    <t>YAG2289CT-ND</t>
  </si>
  <si>
    <t>82R/0201</t>
  </si>
  <si>
    <t xml:space="preserve">RES SM 0201 82R </t>
  </si>
  <si>
    <t>RC0201FR-0782RL</t>
  </si>
  <si>
    <t>YAG2818CT-ND</t>
  </si>
  <si>
    <t>91R/0201</t>
  </si>
  <si>
    <t xml:space="preserve">RES SM 0201 91R </t>
  </si>
  <si>
    <t>RC0201FR-0791RL</t>
  </si>
  <si>
    <t>YAG2843CT-ND</t>
  </si>
  <si>
    <t>100R/0201</t>
  </si>
  <si>
    <t xml:space="preserve">RES SM 0201 100R </t>
  </si>
  <si>
    <t>RC0201FR-13100RL</t>
  </si>
  <si>
    <t>13-RC0201FR-13100RLCT-ND</t>
  </si>
  <si>
    <t>RC0201FR-07100RL</t>
  </si>
  <si>
    <t>311-100MCT-ND</t>
  </si>
  <si>
    <t>110R/0201</t>
  </si>
  <si>
    <t xml:space="preserve">RES SM 0201 110R </t>
  </si>
  <si>
    <t>RC0201FR-07110RL</t>
  </si>
  <si>
    <t>YAG2379CT-ND</t>
  </si>
  <si>
    <t>120R/0201</t>
  </si>
  <si>
    <t xml:space="preserve">RES SM 0201 120R </t>
  </si>
  <si>
    <t>RC0201FR-13120RL</t>
  </si>
  <si>
    <t>13-RC0201FR-13120RLCT-ND</t>
  </si>
  <si>
    <t>RC0201FR-07120RL</t>
  </si>
  <si>
    <t>311-120MCT-ND</t>
  </si>
  <si>
    <t>130R/0201</t>
  </si>
  <si>
    <t xml:space="preserve">RES SM 0201 130R </t>
  </si>
  <si>
    <t>RC0201FR-07130RL</t>
  </si>
  <si>
    <t>YAG2394CT-ND</t>
  </si>
  <si>
    <t>150R/0201</t>
  </si>
  <si>
    <t xml:space="preserve">RES SM 0201 150R </t>
  </si>
  <si>
    <t>RC0201FR-07150RL</t>
  </si>
  <si>
    <t>YAG2273CT-ND</t>
  </si>
  <si>
    <t>RC0201FR-13150RL</t>
  </si>
  <si>
    <t>13-RC0201FR-13150RLCT-ND</t>
  </si>
  <si>
    <t>160R/0201</t>
  </si>
  <si>
    <t xml:space="preserve">RES SM 0201 160R </t>
  </si>
  <si>
    <t>RC0201FR-07160RL</t>
  </si>
  <si>
    <t>YAG2427CT-ND</t>
  </si>
  <si>
    <t>180R/0201</t>
  </si>
  <si>
    <t xml:space="preserve">RES SM 0201 180R </t>
  </si>
  <si>
    <t>RC0201FR-07180RL</t>
  </si>
  <si>
    <t>YAG2450CT-ND</t>
  </si>
  <si>
    <t>200R/0201</t>
  </si>
  <si>
    <t xml:space="preserve">RES SM 0201 200R </t>
  </si>
  <si>
    <t>RC0201FR-13200RL</t>
  </si>
  <si>
    <t>13-RC0201FR-13200RLCT-ND</t>
  </si>
  <si>
    <t>RC0201FR-07200RL</t>
  </si>
  <si>
    <t>YAG2495CT-ND</t>
  </si>
  <si>
    <t>220R/0201</t>
  </si>
  <si>
    <t xml:space="preserve">RES SM 0201 220R </t>
  </si>
  <si>
    <t>RC0201FR-13220RL</t>
  </si>
  <si>
    <t>13-RC0201FR-13220RLCT-ND</t>
  </si>
  <si>
    <t>RC0201FR-07220RL</t>
  </si>
  <si>
    <t>YAG2509CT-ND</t>
  </si>
  <si>
    <t>240R/0201</t>
  </si>
  <si>
    <t xml:space="preserve">RES SM 0201 240R </t>
  </si>
  <si>
    <t>RC0201FR-07240RL</t>
  </si>
  <si>
    <t>YAG2528CT-ND</t>
  </si>
  <si>
    <t>RC0201FR-13240RL</t>
  </si>
  <si>
    <t>13-RC0201FR-13240RLCT-ND</t>
  </si>
  <si>
    <t>270R/0201</t>
  </si>
  <si>
    <t xml:space="preserve">RES SM 0201 270R </t>
  </si>
  <si>
    <t>RC0201FR-07270RL</t>
  </si>
  <si>
    <t>YAG2337CT-ND</t>
  </si>
  <si>
    <t>300R/0201</t>
  </si>
  <si>
    <t xml:space="preserve">RES SM 0201 300R </t>
  </si>
  <si>
    <t>RC0201FR-13300RL</t>
  </si>
  <si>
    <t>13-RC0201FR-13300RLCT-ND</t>
  </si>
  <si>
    <t>RC0201FR-07300RL</t>
  </si>
  <si>
    <t>YAG2339CT-ND</t>
  </si>
  <si>
    <t>330R/0201</t>
  </si>
  <si>
    <t xml:space="preserve">RES SM 0201 330R </t>
  </si>
  <si>
    <t>RC0201FR-07330RL</t>
  </si>
  <si>
    <t>YAG2604CT-ND</t>
  </si>
  <si>
    <t>360R/0201</t>
  </si>
  <si>
    <t xml:space="preserve">RES SM 0201 360R </t>
  </si>
  <si>
    <t>RC0201FR-07360RL</t>
  </si>
  <si>
    <t>YAG2622CT-ND</t>
  </si>
  <si>
    <t>390R/0201</t>
  </si>
  <si>
    <t xml:space="preserve">RES SM 0201 390R </t>
  </si>
  <si>
    <t>RC0201FR-07390RL</t>
  </si>
  <si>
    <t>YAG2283CT-ND</t>
  </si>
  <si>
    <t>RC0201FR-13390RL</t>
  </si>
  <si>
    <t>13-RC0201FR-13390RLCT-ND</t>
  </si>
  <si>
    <t>430R/0201</t>
  </si>
  <si>
    <t xml:space="preserve">RES SM 0201 430R </t>
  </si>
  <si>
    <t>RC0201FR-07430RL</t>
  </si>
  <si>
    <t>YAG2669CT-ND</t>
  </si>
  <si>
    <t>470R/0201</t>
  </si>
  <si>
    <t xml:space="preserve">RES SM 0201 470R </t>
  </si>
  <si>
    <t>RC0201FR-07470RL</t>
  </si>
  <si>
    <t>YAG2689CT-ND</t>
  </si>
  <si>
    <t>RC0201FR-13470RL</t>
  </si>
  <si>
    <t>13-RC0201FR-13470RLCT-ND</t>
  </si>
  <si>
    <t>510R/0201</t>
  </si>
  <si>
    <t xml:space="preserve">RES SM 0201 510R </t>
  </si>
  <si>
    <t>RC0201FR-07510RL</t>
  </si>
  <si>
    <t>YAG2714CT-ND</t>
  </si>
  <si>
    <t>560R/0201</t>
  </si>
  <si>
    <t xml:space="preserve">RES SM 0201 560R </t>
  </si>
  <si>
    <t>RC0201FR-07560RL</t>
  </si>
  <si>
    <t>YAG2343CT-ND</t>
  </si>
  <si>
    <t>620R/0201</t>
  </si>
  <si>
    <t xml:space="preserve">RES SM 0201 620R </t>
  </si>
  <si>
    <t>RC0201FR-07620RL</t>
  </si>
  <si>
    <t>YAG2348CT-ND</t>
  </si>
  <si>
    <t>680R/0201</t>
  </si>
  <si>
    <t xml:space="preserve">RES SM 0201 680R </t>
  </si>
  <si>
    <t>RC0201FR-07680RL</t>
  </si>
  <si>
    <t>YAG2769CT-ND</t>
  </si>
  <si>
    <t>750R/0201</t>
  </si>
  <si>
    <t xml:space="preserve">RES SM 0201 750R </t>
  </si>
  <si>
    <t>RC0201FR-07750RL</t>
  </si>
  <si>
    <t>YAG2794CT-ND</t>
  </si>
  <si>
    <t>820R/0201</t>
  </si>
  <si>
    <t xml:space="preserve">RES SM 0201 820R </t>
  </si>
  <si>
    <t>RC0201FR-07820RL</t>
  </si>
  <si>
    <t>YAG2352CT-ND</t>
  </si>
  <si>
    <t>910R/0201</t>
  </si>
  <si>
    <t xml:space="preserve">RES SM 0201 910R </t>
  </si>
  <si>
    <t>RC0201FR-07910RL</t>
  </si>
  <si>
    <t>YAG2841CT-ND</t>
  </si>
  <si>
    <t>1K/0201</t>
  </si>
  <si>
    <t xml:space="preserve">RES SM 0201 1K </t>
  </si>
  <si>
    <t>RC0201FR-071KL</t>
  </si>
  <si>
    <t>311-1KMCT-ND</t>
  </si>
  <si>
    <t>RC0201FR-131KL</t>
  </si>
  <si>
    <t>13-RC0201FR-131KLCT-ND</t>
  </si>
  <si>
    <t>1K1/0201</t>
  </si>
  <si>
    <t xml:space="preserve">RES SM 0201 1K1 </t>
  </si>
  <si>
    <t>RC0201FR-071K1L</t>
  </si>
  <si>
    <t>YAG2474CT-ND</t>
  </si>
  <si>
    <t>RC0201FR-131K1L</t>
  </si>
  <si>
    <t>13-RC0201FR-131K1LCT-ND</t>
  </si>
  <si>
    <t>1K2/0201</t>
  </si>
  <si>
    <t xml:space="preserve">RES SM 0201 1K2 </t>
  </si>
  <si>
    <t>RC0201FR-071K2L</t>
  </si>
  <si>
    <t>YAG2478CT-ND</t>
  </si>
  <si>
    <t>1K3/0201</t>
  </si>
  <si>
    <t xml:space="preserve">RES SM 0201 1K3 </t>
  </si>
  <si>
    <t>RC0201FR-071K3L</t>
  </si>
  <si>
    <t>YAG2333CT-ND</t>
  </si>
  <si>
    <t>1K5/0201</t>
  </si>
  <si>
    <t xml:space="preserve">RES SM 0201 1K5 </t>
  </si>
  <si>
    <t>RC0201FR-071K5L</t>
  </si>
  <si>
    <t>YAG2274CT-ND</t>
  </si>
  <si>
    <t>RC0201FR-131K5L</t>
  </si>
  <si>
    <t>13-RC0201FR-131K5LCT-ND</t>
  </si>
  <si>
    <t>1K6/0201</t>
  </si>
  <si>
    <t xml:space="preserve">RES SM 0201 1K6 </t>
  </si>
  <si>
    <t>RC0201FR-071K6L</t>
  </si>
  <si>
    <t>YAG2488CT-ND</t>
  </si>
  <si>
    <t>1K8/0201</t>
  </si>
  <si>
    <t xml:space="preserve">RES SM 0201 1K8 </t>
  </si>
  <si>
    <t>RC0201FR-071K8L</t>
  </si>
  <si>
    <t>YAG2492CT-ND</t>
  </si>
  <si>
    <t>2K/0201</t>
  </si>
  <si>
    <t xml:space="preserve">RES SM 0201 2K </t>
  </si>
  <si>
    <t>RC0201FR-072KL</t>
  </si>
  <si>
    <t>YAG2280CT-ND</t>
  </si>
  <si>
    <t>RC0201FR-132KL</t>
  </si>
  <si>
    <t>13-RC0201FR-132KLCT-ND</t>
  </si>
  <si>
    <t>2K2/0201</t>
  </si>
  <si>
    <t xml:space="preserve">RES SM 0201 2K2 </t>
  </si>
  <si>
    <t>RC0201FR-072K2L</t>
  </si>
  <si>
    <t>YAG2572CT-ND</t>
  </si>
  <si>
    <t>RC0201FR-132K2L</t>
  </si>
  <si>
    <t>13-RC0201FR-132K2LCT-ND</t>
  </si>
  <si>
    <t>2K4/0201</t>
  </si>
  <si>
    <t xml:space="preserve">RES SM 0201 2K4 </t>
  </si>
  <si>
    <t>RC0201FR-072K4L</t>
  </si>
  <si>
    <t>YAG2576CT-ND</t>
  </si>
  <si>
    <t>2K7/0201</t>
  </si>
  <si>
    <t xml:space="preserve">RES SM 0201 2K7 </t>
  </si>
  <si>
    <t>RC0201FR-072K7L</t>
  </si>
  <si>
    <t>YAG2581CT-ND</t>
  </si>
  <si>
    <t>3K/0201</t>
  </si>
  <si>
    <t xml:space="preserve">RES SM 0201 3K </t>
  </si>
  <si>
    <t>RC0201FR-073KL</t>
  </si>
  <si>
    <t>YAG2656CT-ND</t>
  </si>
  <si>
    <t>3K3/0201</t>
  </si>
  <si>
    <t xml:space="preserve">RES SM 0201 3K3 </t>
  </si>
  <si>
    <t>RC0201FR-073K3L</t>
  </si>
  <si>
    <t>YAG2285CT-ND</t>
  </si>
  <si>
    <t>RC0201FR-133K3L</t>
  </si>
  <si>
    <t>13-RC0201FR-133K3LCT-ND</t>
  </si>
  <si>
    <t>3K6/0201</t>
  </si>
  <si>
    <t xml:space="preserve">RES SM 0201 3K6 </t>
  </si>
  <si>
    <t>RC0201FR-073K6L</t>
  </si>
  <si>
    <t>YAG2651CT-ND</t>
  </si>
  <si>
    <t>3K9/0201</t>
  </si>
  <si>
    <t xml:space="preserve">RES SM 0201 3K9 </t>
  </si>
  <si>
    <t>RC0201FR-073K9L</t>
  </si>
  <si>
    <t>YAG2655CT-ND</t>
  </si>
  <si>
    <t>4K3/0201</t>
  </si>
  <si>
    <t xml:space="preserve">RES SM 0201 4K3 </t>
  </si>
  <si>
    <t>RC0201FR-074K3L</t>
  </si>
  <si>
    <t>YAG2706CT-ND</t>
  </si>
  <si>
    <t>4K7/0201</t>
  </si>
  <si>
    <t xml:space="preserve">RES SM 0201 4K7 </t>
  </si>
  <si>
    <t>RC0201FR-074K7L</t>
  </si>
  <si>
    <t>311-4.70KMCT-ND</t>
  </si>
  <si>
    <t>RC0201FR-134K7L</t>
  </si>
  <si>
    <t>13-RC0201FR-134K7LCT-ND</t>
  </si>
  <si>
    <t>5K1/0201</t>
  </si>
  <si>
    <t xml:space="preserve">RES SM 0201 5K1 </t>
  </si>
  <si>
    <t>RC0201FR-135K1L</t>
  </si>
  <si>
    <t>13-RC0201FR-135K1LCT-ND</t>
  </si>
  <si>
    <t>RC0201FR-075K1L</t>
  </si>
  <si>
    <t>YAG2741CT-ND</t>
  </si>
  <si>
    <t>5K6/0201</t>
  </si>
  <si>
    <t xml:space="preserve">RES SM 0201 5K6 </t>
  </si>
  <si>
    <t>RC0201FR-075K6L</t>
  </si>
  <si>
    <t>YAG2346CT-ND</t>
  </si>
  <si>
    <t>RC0201FR-135K6L</t>
  </si>
  <si>
    <t>13-RC0201FR-135K6LCT-ND</t>
  </si>
  <si>
    <t>6K2/0201</t>
  </si>
  <si>
    <t xml:space="preserve">RES SM 0201 6K2 </t>
  </si>
  <si>
    <t>RC0201FR-076K2L</t>
  </si>
  <si>
    <t>YAG2780CT-ND</t>
  </si>
  <si>
    <t>6K8/0201</t>
  </si>
  <si>
    <t xml:space="preserve">RES SM 0201 6K8 </t>
  </si>
  <si>
    <t>RC0201FR-076K8L</t>
  </si>
  <si>
    <t>YAG2351CT-ND</t>
  </si>
  <si>
    <t>7K5/0201</t>
  </si>
  <si>
    <t xml:space="preserve">RES SM 0201 7K5 </t>
  </si>
  <si>
    <t>RC0201FR-077K5L</t>
  </si>
  <si>
    <t>13-RC0201FR-077K5LCT-ND</t>
  </si>
  <si>
    <t>8K2/0201</t>
  </si>
  <si>
    <t xml:space="preserve">RES SM 0201 8K2 </t>
  </si>
  <si>
    <t>RC0201FR-078K2L</t>
  </si>
  <si>
    <t>YAG2353CT-ND</t>
  </si>
  <si>
    <t>9K1/0201</t>
  </si>
  <si>
    <t xml:space="preserve">RES SM 0201 9K1 </t>
  </si>
  <si>
    <t>RC0201FR-079K1L</t>
  </si>
  <si>
    <t>YAG2857CT-ND</t>
  </si>
  <si>
    <t>10K/0201</t>
  </si>
  <si>
    <t xml:space="preserve">RES SM 0201 10K </t>
  </si>
  <si>
    <t>RC0201FR-0710KL</t>
  </si>
  <si>
    <t>311-10.0KMCT-ND</t>
  </si>
  <si>
    <t>RC0201FR-1310KL</t>
  </si>
  <si>
    <t>13-RC0201FR-1310KLCT-ND</t>
  </si>
  <si>
    <t>11K/0201</t>
  </si>
  <si>
    <t xml:space="preserve">RES SM 0201 11K </t>
  </si>
  <si>
    <t>RC0201FR-0711KL</t>
  </si>
  <si>
    <t>YAG2332CT-ND</t>
  </si>
  <si>
    <t>12K/0201</t>
  </si>
  <si>
    <t xml:space="preserve">RES SM 0201 12K </t>
  </si>
  <si>
    <t>RC0201FR-0712KL</t>
  </si>
  <si>
    <t>311-12.0KMCT-ND</t>
  </si>
  <si>
    <t>13K/0201</t>
  </si>
  <si>
    <t xml:space="preserve">RES SM 0201 13K </t>
  </si>
  <si>
    <t>RC0201FR-0713KL</t>
  </si>
  <si>
    <t>YAG2401CT-ND</t>
  </si>
  <si>
    <t>15K/0201</t>
  </si>
  <si>
    <t xml:space="preserve">RES SM 0201 15K </t>
  </si>
  <si>
    <t>RC0201FR-0715KL</t>
  </si>
  <si>
    <t>YAG2423CT-ND</t>
  </si>
  <si>
    <t>RC0201FR-1315KL</t>
  </si>
  <si>
    <t>13-RC0201FR-1315KLCT-ND</t>
  </si>
  <si>
    <t>16K/0201</t>
  </si>
  <si>
    <t xml:space="preserve">RES SM 0201 16K </t>
  </si>
  <si>
    <t>RC0201FR-0716KL</t>
  </si>
  <si>
    <t>YAG2437CT-ND</t>
  </si>
  <si>
    <t>18K/0201</t>
  </si>
  <si>
    <t xml:space="preserve">RES SM 0201 18K </t>
  </si>
  <si>
    <t>RC0201FR-0718KL</t>
  </si>
  <si>
    <t>311-18.0KMCT-ND</t>
  </si>
  <si>
    <t>20K/0201</t>
  </si>
  <si>
    <t xml:space="preserve">RES SM 0201 20K </t>
  </si>
  <si>
    <t>RC0201FR-0720KL</t>
  </si>
  <si>
    <t>YAG2276CT-ND</t>
  </si>
  <si>
    <t>RC0201FR-1320KL</t>
  </si>
  <si>
    <t>13-RC0201FR-1320KLCT-ND</t>
  </si>
  <si>
    <t>22K/0201</t>
  </si>
  <si>
    <t xml:space="preserve">RES SM 0201 22K </t>
  </si>
  <si>
    <t>RC0201FR-0722KL</t>
  </si>
  <si>
    <t>YAG2278CT-ND</t>
  </si>
  <si>
    <t>RC0201FR-1322KL</t>
  </si>
  <si>
    <t>13-RC0201FR-1322KLCT-ND</t>
  </si>
  <si>
    <t>24K/0201</t>
  </si>
  <si>
    <t xml:space="preserve">RES SM 0201 24K </t>
  </si>
  <si>
    <t>RC0201FR-0724KL</t>
  </si>
  <si>
    <t>YAG2336CT-ND</t>
  </si>
  <si>
    <t>27K/0201</t>
  </si>
  <si>
    <t xml:space="preserve">RES SM 0201 27K </t>
  </si>
  <si>
    <t>RC0201FR-0727KL</t>
  </si>
  <si>
    <t>YAG2552CT-ND</t>
  </si>
  <si>
    <t>RC0201FR-1327KL</t>
  </si>
  <si>
    <t>13-RC0201FR-1327KLCT-ND</t>
  </si>
  <si>
    <t>30K/0201</t>
  </si>
  <si>
    <t xml:space="preserve">RES SM 0201 30K </t>
  </si>
  <si>
    <t>RC0201FR-0730KL</t>
  </si>
  <si>
    <t>YAG2281CT-ND</t>
  </si>
  <si>
    <t>RC0201FR-1330KL</t>
  </si>
  <si>
    <t>13-RC0201FR-1330KLCT-ND</t>
  </si>
  <si>
    <t>33K/0201</t>
  </si>
  <si>
    <t xml:space="preserve">RES SM 0201 33K </t>
  </si>
  <si>
    <t>RC0201FR-0733KL</t>
  </si>
  <si>
    <t>YAG2282CT-ND</t>
  </si>
  <si>
    <t>RC0201FR-1333KL</t>
  </si>
  <si>
    <t>13-RC0201FR-1333KLCT-ND</t>
  </si>
  <si>
    <t>36K/0201</t>
  </si>
  <si>
    <t xml:space="preserve">RES SM 0201 36K </t>
  </si>
  <si>
    <t>RC0201FR-0736KL</t>
  </si>
  <si>
    <t>YAG2626CT-ND</t>
  </si>
  <si>
    <t>39K/0201</t>
  </si>
  <si>
    <t xml:space="preserve">RES SM 0201 39K </t>
  </si>
  <si>
    <t>RC0201FR-0739KL</t>
  </si>
  <si>
    <t>YAG2641CT-ND</t>
  </si>
  <si>
    <t>RC0201FR-1339KL</t>
  </si>
  <si>
    <t>13-RC0201FR-1339KLCT-ND</t>
  </si>
  <si>
    <t>43K/0201</t>
  </si>
  <si>
    <t xml:space="preserve">RES SM 0201 43K </t>
  </si>
  <si>
    <t>RC0201FR-0743KL</t>
  </si>
  <si>
    <t>YAG2673CT-ND</t>
  </si>
  <si>
    <t>47K/0201</t>
  </si>
  <si>
    <t xml:space="preserve">RES SM 0201 47K </t>
  </si>
  <si>
    <t>RC0201FR-0747KL</t>
  </si>
  <si>
    <t>311-47KMCT-ND</t>
  </si>
  <si>
    <t>RC0201FR-1347KL</t>
  </si>
  <si>
    <t>13-RC0201FR-1347KLCT-ND</t>
  </si>
  <si>
    <t>51K/0201</t>
  </si>
  <si>
    <t xml:space="preserve">RES SM 0201 51K </t>
  </si>
  <si>
    <t>RC0201FR-0751KL</t>
  </si>
  <si>
    <t>311-51.0KMCT-ND</t>
  </si>
  <si>
    <t>RC0201FR-1351KL</t>
  </si>
  <si>
    <t>13-RC0201FR-1351KLCT-ND</t>
  </si>
  <si>
    <t>56K/0201</t>
  </si>
  <si>
    <t xml:space="preserve">RES SM 0201 56K </t>
  </si>
  <si>
    <t>RC0201FR-0756KL</t>
  </si>
  <si>
    <t>YAG2732CT-ND</t>
  </si>
  <si>
    <t>RC0201FR-1356KL</t>
  </si>
  <si>
    <t>13-RC0201FR-1356KLCT-ND</t>
  </si>
  <si>
    <t>62K/0201</t>
  </si>
  <si>
    <t xml:space="preserve">RES SM 0201 62K </t>
  </si>
  <si>
    <t>RC0201FR-0762KL</t>
  </si>
  <si>
    <t>YAG2754CT-ND</t>
  </si>
  <si>
    <t>68K/0201</t>
  </si>
  <si>
    <t xml:space="preserve">RES SM 0201 68K </t>
  </si>
  <si>
    <t>RC0201FR-0768KL</t>
  </si>
  <si>
    <t>YAG2772CT-ND</t>
  </si>
  <si>
    <t>RC0201FR-1368KL</t>
  </si>
  <si>
    <t>13-RC0201FR-1368KLCT-ND</t>
  </si>
  <si>
    <t>75K/0201</t>
  </si>
  <si>
    <t xml:space="preserve">RES SM 0201 75K </t>
  </si>
  <si>
    <t>RC0201FR-0775KL</t>
  </si>
  <si>
    <t>YAG2795CT-ND</t>
  </si>
  <si>
    <t>RC0201FR-1375KL</t>
  </si>
  <si>
    <t>13-RC0201FR-1375KLCT-ND</t>
  </si>
  <si>
    <t>82K/0201</t>
  </si>
  <si>
    <t xml:space="preserve">RES SM 0201 82K </t>
  </si>
  <si>
    <t>RC0201FR-0782KL</t>
  </si>
  <si>
    <t>YAG2816CT-ND</t>
  </si>
  <si>
    <t>91K/0201</t>
  </si>
  <si>
    <t xml:space="preserve">RES SM 0201 91K </t>
  </si>
  <si>
    <t>RC0201FR-0791KL</t>
  </si>
  <si>
    <t>YAG2842CT-ND</t>
  </si>
  <si>
    <t>100K/0201</t>
  </si>
  <si>
    <t xml:space="preserve">RES SM 0201 100K </t>
  </si>
  <si>
    <t>RC0201FR-07100KL</t>
  </si>
  <si>
    <t>311-100KMCT-ND</t>
  </si>
  <si>
    <t>RC0201FR-13100KL</t>
  </si>
  <si>
    <t>13-RC0201FR-13100KLCT-ND</t>
  </si>
  <si>
    <t>110K/0201</t>
  </si>
  <si>
    <t xml:space="preserve">RES SM 0201 110K </t>
  </si>
  <si>
    <t>RC0201FR-07110KL</t>
  </si>
  <si>
    <t>YAG2378CT-ND</t>
  </si>
  <si>
    <t>120K/0201</t>
  </si>
  <si>
    <t xml:space="preserve">RES SM 0201 120K </t>
  </si>
  <si>
    <t>RC0201FR-07120KL</t>
  </si>
  <si>
    <t>311-120KMCT-ND</t>
  </si>
  <si>
    <t>RC0201FR-13120KL</t>
  </si>
  <si>
    <t>13-RC0201FR-13120KLCT-ND</t>
  </si>
  <si>
    <t>130K/0201</t>
  </si>
  <si>
    <t xml:space="preserve">RES SM 0201 130K </t>
  </si>
  <si>
    <t>RC0201FR-07130KL</t>
  </si>
  <si>
    <t>YAG2393CT-ND</t>
  </si>
  <si>
    <t>150K/0201</t>
  </si>
  <si>
    <t xml:space="preserve">RES SM 0201 150K </t>
  </si>
  <si>
    <t>RC0201FR-07150KL</t>
  </si>
  <si>
    <t>YAG2272CT-ND</t>
  </si>
  <si>
    <t>RC0201FR-13150KL</t>
  </si>
  <si>
    <t>13-RC0201FR-13150KLCT-ND</t>
  </si>
  <si>
    <t>160K/0201</t>
  </si>
  <si>
    <t xml:space="preserve">RES SM 0201 160K </t>
  </si>
  <si>
    <t>RC0201FR-07160KL</t>
  </si>
  <si>
    <t>YAG2426CT-ND</t>
  </si>
  <si>
    <t>180K/0201</t>
  </si>
  <si>
    <t xml:space="preserve">RES SM 0201 180K </t>
  </si>
  <si>
    <t>RC0201FR-07180KL</t>
  </si>
  <si>
    <t>YAG2449CT-ND</t>
  </si>
  <si>
    <t>200K/0201</t>
  </si>
  <si>
    <t xml:space="preserve">RES SM 0201 200K </t>
  </si>
  <si>
    <t>RC0201FR-07200KL</t>
  </si>
  <si>
    <t>YAG2275CT-ND</t>
  </si>
  <si>
    <t>RC0201FR-13200KL</t>
  </si>
  <si>
    <t>13-RC0201FR-13200KLCT-ND</t>
  </si>
  <si>
    <t>220K/0201</t>
  </si>
  <si>
    <t xml:space="preserve">RES SM 0201 220K </t>
  </si>
  <si>
    <t>RC0201FR-07220KL</t>
  </si>
  <si>
    <t>YAG2277CT-ND</t>
  </si>
  <si>
    <t>240K/0201</t>
  </si>
  <si>
    <t xml:space="preserve">RES SM 0201 240K </t>
  </si>
  <si>
    <t>RC0201FR-07240KL</t>
  </si>
  <si>
    <t>YAG2527CT-ND</t>
  </si>
  <si>
    <t>270K/0201</t>
  </si>
  <si>
    <t xml:space="preserve">RES SM 0201 270K </t>
  </si>
  <si>
    <t>RC0201FR-07270KL</t>
  </si>
  <si>
    <t>YAG2548CT-ND</t>
  </si>
  <si>
    <t>300K/0201</t>
  </si>
  <si>
    <t xml:space="preserve">RES SM 0201 300K </t>
  </si>
  <si>
    <t>RC0201FR-07300KL</t>
  </si>
  <si>
    <t>YAG2585CT-ND</t>
  </si>
  <si>
    <t>330K/0201</t>
  </si>
  <si>
    <t xml:space="preserve">RES SM 0201 330K </t>
  </si>
  <si>
    <t>RC0201FR-07330KL</t>
  </si>
  <si>
    <t>YAG2603CT-ND</t>
  </si>
  <si>
    <t>360K/0201</t>
  </si>
  <si>
    <t xml:space="preserve">RES SM 0201 360K </t>
  </si>
  <si>
    <t>RC0201FR-07360KL</t>
  </si>
  <si>
    <t>YAG2621CT-ND</t>
  </si>
  <si>
    <t>390K/0201</t>
  </si>
  <si>
    <t xml:space="preserve">RES SM 0201 390K </t>
  </si>
  <si>
    <t>RC0201FR-07390KL</t>
  </si>
  <si>
    <t>YAG2637CT-ND</t>
  </si>
  <si>
    <t>430K/0201</t>
  </si>
  <si>
    <t xml:space="preserve">RES SM 0201 430K </t>
  </si>
  <si>
    <t>RC0201FR-07430KL</t>
  </si>
  <si>
    <t>YAG2668CT-ND</t>
  </si>
  <si>
    <t>470K/0201</t>
  </si>
  <si>
    <t xml:space="preserve">RES SM 0201 470K </t>
  </si>
  <si>
    <t>RC0201FR-13470KL</t>
  </si>
  <si>
    <t>13-RC0201FR-13470KLCT-ND</t>
  </si>
  <si>
    <t>RC0201FR-07470KL</t>
  </si>
  <si>
    <t>YAG2688CT-ND</t>
  </si>
  <si>
    <t>510K/0201</t>
  </si>
  <si>
    <t xml:space="preserve">RES SM 0201 510K </t>
  </si>
  <si>
    <t>RC0201FR-07510KL</t>
  </si>
  <si>
    <t>YAG2713CT-ND</t>
  </si>
  <si>
    <t>560K/0201</t>
  </si>
  <si>
    <t xml:space="preserve">RES SM 0201 560K </t>
  </si>
  <si>
    <t>RC0201FR-07560KL</t>
  </si>
  <si>
    <t>YAG2728CT-ND</t>
  </si>
  <si>
    <t>620K/0201</t>
  </si>
  <si>
    <t xml:space="preserve">RES SM 0201 620K </t>
  </si>
  <si>
    <t>RC0201FR-07620KL</t>
  </si>
  <si>
    <t>YAG2753CT-ND</t>
  </si>
  <si>
    <t>680K/0201</t>
  </si>
  <si>
    <t xml:space="preserve">RES SM 0201 680K </t>
  </si>
  <si>
    <t>RC0201FR-07680KL</t>
  </si>
  <si>
    <t>YAG2768CT-ND</t>
  </si>
  <si>
    <t>750K/0201</t>
  </si>
  <si>
    <t xml:space="preserve">RES SM 0201 750K </t>
  </si>
  <si>
    <t>RC0201FR-07750KL</t>
  </si>
  <si>
    <t>YAG2793CT-ND</t>
  </si>
  <si>
    <t>820K/0201</t>
  </si>
  <si>
    <t xml:space="preserve">RES SM 0201 820K </t>
  </si>
  <si>
    <t>RC0201FR-07820KL</t>
  </si>
  <si>
    <t>YAG2812CT-ND</t>
  </si>
  <si>
    <t>910K/0201</t>
  </si>
  <si>
    <t xml:space="preserve">RES SM 0201 910K </t>
  </si>
  <si>
    <t>RC0201FR-07910KL</t>
  </si>
  <si>
    <t>YAG2840CT-ND</t>
  </si>
  <si>
    <t>1M/0201</t>
  </si>
  <si>
    <t xml:space="preserve">RES SM 0201 1M </t>
  </si>
  <si>
    <t>RC0201FR-071ML</t>
  </si>
  <si>
    <t>311-1MMCT-ND</t>
  </si>
  <si>
    <t>RC0201FR-131ML</t>
  </si>
  <si>
    <t>13-RC0201FR-131MLCT-ND</t>
  </si>
  <si>
    <t>1M1/0201</t>
  </si>
  <si>
    <t xml:space="preserve">RES SM 0201 1M1 </t>
  </si>
  <si>
    <t>RC0201FR-071M1L</t>
  </si>
  <si>
    <t>13-RC0201FR-071M1LCT-ND</t>
  </si>
  <si>
    <t>1M2/0201</t>
  </si>
  <si>
    <t xml:space="preserve">RES SM 0201 1M2 </t>
  </si>
  <si>
    <t>RC0201FR-071M2L</t>
  </si>
  <si>
    <t>13-RC0201FR-071M2LCT-ND</t>
  </si>
  <si>
    <t>1M3/0201</t>
  </si>
  <si>
    <t xml:space="preserve">RES SM 0201 1M3 </t>
  </si>
  <si>
    <t>RC0201FR-071M3L</t>
  </si>
  <si>
    <t>13-RC0201FR-071M3LCT-ND</t>
  </si>
  <si>
    <t>1M5/0201</t>
  </si>
  <si>
    <t xml:space="preserve">RES SM 0201 1M5 </t>
  </si>
  <si>
    <t>RC0201FR-071M5L</t>
  </si>
  <si>
    <t>13-RC0201FR-071M5LCT-ND</t>
  </si>
  <si>
    <t>1M8/0201</t>
  </si>
  <si>
    <t xml:space="preserve">RES SM 0201 1M8 </t>
  </si>
  <si>
    <t>RC0201FR-071M8L</t>
  </si>
  <si>
    <t>13-RC0201FR-071M8LCT-ND</t>
  </si>
  <si>
    <t>2M/0201</t>
  </si>
  <si>
    <t xml:space="preserve">RES SM 0201 2M </t>
  </si>
  <si>
    <t>RC0201FR-072ML</t>
  </si>
  <si>
    <t>13-RC0201FR-072MLCT-ND</t>
  </si>
  <si>
    <t>2M2/0201</t>
  </si>
  <si>
    <t xml:space="preserve">RES SM 0201 2M2 </t>
  </si>
  <si>
    <t>RC0201FR-072M2L</t>
  </si>
  <si>
    <t>13-RC0201FR-072M2LCT-ND</t>
  </si>
  <si>
    <t>2M4/0201</t>
  </si>
  <si>
    <t xml:space="preserve">RES SM 0201 2M4 </t>
  </si>
  <si>
    <t>RC0201FR-072M4L</t>
  </si>
  <si>
    <t>13-RC0201FR-072M4LCT-ND</t>
  </si>
  <si>
    <t>2M7/0201</t>
  </si>
  <si>
    <t xml:space="preserve">RES SM 0201 2M7 </t>
  </si>
  <si>
    <t>RC0201FR-072M7L</t>
  </si>
  <si>
    <t>13-RC0201FR-072M7LCT-ND</t>
  </si>
  <si>
    <t>3M/0201</t>
  </si>
  <si>
    <t xml:space="preserve">RES SM 0201 3M </t>
  </si>
  <si>
    <t>RC0201FR-073ML</t>
  </si>
  <si>
    <t>13-RC0201FR-073MLCT-ND</t>
  </si>
  <si>
    <t>3M3/0201</t>
  </si>
  <si>
    <t xml:space="preserve">RES SM 0201 3M3 </t>
  </si>
  <si>
    <t>RC0201FR-073M3L</t>
  </si>
  <si>
    <t>13-RC0201FR-073M3LCT-ND</t>
  </si>
  <si>
    <t>3M6/0201</t>
  </si>
  <si>
    <t xml:space="preserve">RES SM 0201 3M6 </t>
  </si>
  <si>
    <t>RC0201FR-073M6L</t>
  </si>
  <si>
    <t>13-RC0201FR-073M6LCT-ND</t>
  </si>
  <si>
    <t>3M9/0201</t>
  </si>
  <si>
    <t xml:space="preserve">RES SM 0201 3M9 </t>
  </si>
  <si>
    <t>RC0201FR-073M9L</t>
  </si>
  <si>
    <t>13-RC0201FR-073M9LCT-ND</t>
  </si>
  <si>
    <t>4M3/0201</t>
  </si>
  <si>
    <t xml:space="preserve">RES SM 0201 4M3 </t>
  </si>
  <si>
    <t>RC0201FR-074M3L</t>
  </si>
  <si>
    <t>13-RC0201FR-074M3LCT-ND</t>
  </si>
  <si>
    <t>4M7/0201</t>
  </si>
  <si>
    <t xml:space="preserve">RES SM 0201 4M7 </t>
  </si>
  <si>
    <t>RC0201FR-074M7L</t>
  </si>
  <si>
    <t>13-RC0201FR-074M7LCT-ND</t>
  </si>
  <si>
    <t>5M1/0201</t>
  </si>
  <si>
    <t xml:space="preserve">RES SM 0201 5M1 </t>
  </si>
  <si>
    <t>RC0201FR-075M1L</t>
  </si>
  <si>
    <t>13-RC0201FR-075M1LCT-ND</t>
  </si>
  <si>
    <t>5M6/0201</t>
  </si>
  <si>
    <t xml:space="preserve">RES SM 0201 5M6 </t>
  </si>
  <si>
    <t>RC0201FR-075M6L</t>
  </si>
  <si>
    <t>13-RC0201FR-075M6LCT-ND</t>
  </si>
  <si>
    <t>9M1/0201</t>
  </si>
  <si>
    <t xml:space="preserve">RES SM 0201 9M1 </t>
  </si>
  <si>
    <t>RC0201FR-079M1L</t>
  </si>
  <si>
    <t>13-RC0201FR-079M1LCT-ND</t>
  </si>
  <si>
    <t>10M/0201</t>
  </si>
  <si>
    <t xml:space="preserve">RES SM 0201 10M </t>
  </si>
  <si>
    <t>RC0201FR-0710ML</t>
  </si>
  <si>
    <t>13-RC0201FR-0710MLCT-ND</t>
  </si>
  <si>
    <t>1.0P/0201/50V/C0G</t>
  </si>
  <si>
    <t xml:space="preserve">CAP SM 0201 1.0pF 50V C0G </t>
  </si>
  <si>
    <t>CAP0201_C0G</t>
  </si>
  <si>
    <t>https://www.yageo.com/en/Chart/Download/pdf/CC0201CRNPO9BN1R0</t>
  </si>
  <si>
    <t>CC0201CRNPO9BN1R0</t>
  </si>
  <si>
    <t>311-3304-1-ND</t>
  </si>
  <si>
    <t>1.2P/0201/50V/C0G</t>
  </si>
  <si>
    <t xml:space="preserve">CAP SM 0201 1.2pF 50V C0G </t>
  </si>
  <si>
    <t>https://www.yageo.com/en/Chart/Download/pdf/CC0201CRNPO9BN1R2</t>
  </si>
  <si>
    <t>CC0201CRNPO9BN1R2</t>
  </si>
  <si>
    <t>311-1580-1-ND</t>
  </si>
  <si>
    <t>1.5P/0201/50V/C0G</t>
  </si>
  <si>
    <t xml:space="preserve">CAP SM 0201 1.5pF 50V C0G </t>
  </si>
  <si>
    <t>https://www.yageo.com/en/Chart/Download/pdf/CC0201BRNPO9BN1R5</t>
  </si>
  <si>
    <t>CC0201BRNPO9BN1R5</t>
  </si>
  <si>
    <t>311-3663-1-ND</t>
  </si>
  <si>
    <t>1.8P/0201/50V/C0G</t>
  </si>
  <si>
    <t xml:space="preserve">CAP SM 0201 1.8pF 50V C0G </t>
  </si>
  <si>
    <t>https://www.yageo.com/en/Chart/Download/pdf/CC0201CRNPO9BN1R8</t>
  </si>
  <si>
    <t>CC0201CRNPO9BN1R8</t>
  </si>
  <si>
    <t>311-3305-1-ND</t>
  </si>
  <si>
    <t>2.2P/0201/50V/C0G</t>
  </si>
  <si>
    <t xml:space="preserve">CAP SM 0201 2.2pF 50V C0G </t>
  </si>
  <si>
    <t>https://www.yageo.com/en/Chart/Download/pdf/CC0201CRNPO9BN2R2</t>
  </si>
  <si>
    <t>CC0201CRNPO9BN2R2</t>
  </si>
  <si>
    <t>311-1582-1-ND</t>
  </si>
  <si>
    <t>2.7P/0201/50V/C0G</t>
  </si>
  <si>
    <t xml:space="preserve">CAP SM 0201 2.7pF 50V C0G </t>
  </si>
  <si>
    <t>https://www.yageo.com/en/Chart/Download/pdf/CC0201CRNPO9BN2R7</t>
  </si>
  <si>
    <t>CC0201CRNPO9BN2R7</t>
  </si>
  <si>
    <t>311-3307-1-ND</t>
  </si>
  <si>
    <t>3.3P/0201/50V/C0G</t>
  </si>
  <si>
    <t xml:space="preserve">CAP SM 0201 3.3pF 50V C0G </t>
  </si>
  <si>
    <t>https://www.yageo.com/en/Chart/Download/pdf/CC0201BRNPO9BN3R3</t>
  </si>
  <si>
    <t>CC0201BRNPO9BN3R3</t>
  </si>
  <si>
    <t>311-3295-1-ND</t>
  </si>
  <si>
    <t>3.9P/0201/50V/C0G</t>
  </si>
  <si>
    <t xml:space="preserve">CAP SM 0201 3.9pF 50V C0G </t>
  </si>
  <si>
    <t>https://www.yageo.com/en/Chart/Download/pdf/CC0201CRNPO9BN3R9</t>
  </si>
  <si>
    <t>CC0201CRNPO9BN3R9</t>
  </si>
  <si>
    <t>13-CC0201CRNPO9BN3R9CT-ND</t>
  </si>
  <si>
    <t>4.7P/0201/50V/C0G</t>
  </si>
  <si>
    <t xml:space="preserve">CAP SM 0201 4.7pF 50V C0G </t>
  </si>
  <si>
    <t>https://www.yageo.com/en/Chart/Download/pdf/CC0201BRNPO9BN4R7</t>
  </si>
  <si>
    <t>CC0201BRNPO9BN4R7</t>
  </si>
  <si>
    <t>311-3667-1-ND</t>
  </si>
  <si>
    <t>5.6P/0201/50V/C0G</t>
  </si>
  <si>
    <t xml:space="preserve">CAP SM 0201 5.6pF 50V C0G </t>
  </si>
  <si>
    <t>https://www.yageo.com/en/Chart/Download/pdf/CC0201CRNPO9BN5R6</t>
  </si>
  <si>
    <t>CC0201CRNPO9BN5R6</t>
  </si>
  <si>
    <t>311-3309-1-ND</t>
  </si>
  <si>
    <t>6.8P/0201/50V/C0G</t>
  </si>
  <si>
    <t xml:space="preserve">CAP SM 0201 6.8pF 50V C0G </t>
  </si>
  <si>
    <t>https://www.yageo.com/en/Chart/Download/pdf/CC0201CRNPO9BN6R8</t>
  </si>
  <si>
    <t>CC0201CRNPO9BN6R8</t>
  </si>
  <si>
    <t>311-3310-1-ND</t>
  </si>
  <si>
    <t>8.2P/0201/50V/C0G</t>
  </si>
  <si>
    <t xml:space="preserve">CAP SM 0201 8.2pF 50V C0G </t>
  </si>
  <si>
    <t>https://www.yageo.com/en/Chart/Download/pdf/CC0201CRNPO9BN8R2</t>
  </si>
  <si>
    <t>CC0201CRNPO9BN8R2</t>
  </si>
  <si>
    <t>311-3311-1-ND</t>
  </si>
  <si>
    <t>10P/0201/50V/C0G</t>
  </si>
  <si>
    <t xml:space="preserve">CAP SM 0201 10pF 50V C0G </t>
  </si>
  <si>
    <t>https://www.yageo.com/en/Chart/Download/pdf/CC0201JRNPO9BN100</t>
  </si>
  <si>
    <t>CC0201JRNPO9BN100</t>
  </si>
  <si>
    <t>311-1385-1-ND</t>
  </si>
  <si>
    <t>12P/0201/50V/C0G</t>
  </si>
  <si>
    <t xml:space="preserve">CAP SM 0201 12pF 50V C0G </t>
  </si>
  <si>
    <t>https://www.yageo.com/en/Chart/Download/pdf/CC0201JRNPO9BN120</t>
  </si>
  <si>
    <t>CC0201JRNPO9BN120</t>
  </si>
  <si>
    <t>311-1585-1-ND</t>
  </si>
  <si>
    <t>15P/0201/50V/C0G</t>
  </si>
  <si>
    <t xml:space="preserve">CAP SM 0201 15pF 50V C0G </t>
  </si>
  <si>
    <t>https://www.yageo.com/en/Chart/Download/pdf/CC0201JRNPO9BN150</t>
  </si>
  <si>
    <t>CC0201JRNPO9BN150</t>
  </si>
  <si>
    <t>311-1396-1-ND</t>
  </si>
  <si>
    <t>18P/0201/50V/C0G</t>
  </si>
  <si>
    <t xml:space="preserve">CAP SM 0201 18pF 50V C0G </t>
  </si>
  <si>
    <t>https://www.yageo.com/en/Chart/Download/pdf/CC0201JRNPO9BN180</t>
  </si>
  <si>
    <t>CC0201JRNPO9BN180</t>
  </si>
  <si>
    <t>311-1386-1-ND</t>
  </si>
  <si>
    <t>22P/0201/50V/C0G</t>
  </si>
  <si>
    <t xml:space="preserve">CAP SM 0201 22pF 50V C0G </t>
  </si>
  <si>
    <t>https://www.yageo.com/en/Chart/Download/pdf/CC0201JRNPO9BN220</t>
  </si>
  <si>
    <t>CC0201JRNPO9BN220</t>
  </si>
  <si>
    <t>311-1383-1-ND</t>
  </si>
  <si>
    <t>27P/0201/50V/C0G</t>
  </si>
  <si>
    <t xml:space="preserve">CAP SM 0201 27pF 50V C0G </t>
  </si>
  <si>
    <t>https://www.yageo.com/en/Chart/Download/pdf/CC0201GRNPO9BN270</t>
  </si>
  <si>
    <t>CC0201GRNPO9BN270</t>
  </si>
  <si>
    <t>13-CC0201GRNPO9BN270CT-ND</t>
  </si>
  <si>
    <t>33P/0201/50V/C0G</t>
  </si>
  <si>
    <t xml:space="preserve">CAP SM 0201 33pF 50V C0G </t>
  </si>
  <si>
    <t>https://www.yageo.com/en/Chart/Download/pdf/CC0201JRNPO9BN330</t>
  </si>
  <si>
    <t>CC0201JRNPO9BN330</t>
  </si>
  <si>
    <t>311-1586-1-ND</t>
  </si>
  <si>
    <t>39P/0201/50V/C0G</t>
  </si>
  <si>
    <t xml:space="preserve">CAP SM 0201 39pF 50V C0G </t>
  </si>
  <si>
    <t>https://www.yageo.com/en/Chart/Download/pdf/CC0201JRNPO9BN390</t>
  </si>
  <si>
    <t>CC0201JRNPO9BN390</t>
  </si>
  <si>
    <t>311-3683-1-ND</t>
  </si>
  <si>
    <t>47P/0201/50V/C0G</t>
  </si>
  <si>
    <t xml:space="preserve">CAP SM 0201 47pF 50V C0G </t>
  </si>
  <si>
    <t>https://www.yageo.com/en/Chart/Download/pdf/CC0201JRNPO9BN470</t>
  </si>
  <si>
    <t>CC0201JRNPO9BN470</t>
  </si>
  <si>
    <t>311-3317-1-ND</t>
  </si>
  <si>
    <t>56P/0201/50V/C0G</t>
  </si>
  <si>
    <t xml:space="preserve">CAP SM 0201 56pF 50V C0G </t>
  </si>
  <si>
    <t>https://www.yageo.com/en/Chart/Download/pdf/CC0201JRNPO9BN560</t>
  </si>
  <si>
    <t>CC0201JRNPO9BN560</t>
  </si>
  <si>
    <t>311-1587-1-ND</t>
  </si>
  <si>
    <t>68P/0201/50V/C0G</t>
  </si>
  <si>
    <t xml:space="preserve">CAP SM 0201 68pF 50V C0G </t>
  </si>
  <si>
    <t>https://www.yageo.com/en/Chart/Download/pdf/CC0201JRNPO9BN680</t>
  </si>
  <si>
    <t>CC0201JRNPO9BN680</t>
  </si>
  <si>
    <t>311-1588-1-ND</t>
  </si>
  <si>
    <t>82P/0201/50V/C0G</t>
  </si>
  <si>
    <t xml:space="preserve">CAP SM 0201 82pF 50V C0G </t>
  </si>
  <si>
    <t>https://www.yageo.com/en/Chart/Download/pdf/CC0201JRNPO9BN820</t>
  </si>
  <si>
    <t>CC0201JRNPO9BN820</t>
  </si>
  <si>
    <t>311-3684-1-ND</t>
  </si>
  <si>
    <t>100P/0201/50V/C0G</t>
  </si>
  <si>
    <t xml:space="preserve">CAP SM 0201 100pF 50V C0G </t>
  </si>
  <si>
    <t>https://www.yageo.com/en/Chart/Download/pdf/CC0201JRNPO9BN101</t>
  </si>
  <si>
    <t>CC0201JRNPO9BN101</t>
  </si>
  <si>
    <t>311-2080-1-ND</t>
  </si>
  <si>
    <t>150P/0201/50V/C0G</t>
  </si>
  <si>
    <t xml:space="preserve">CAP SM 0201 150pF 50V C0G </t>
  </si>
  <si>
    <t>https://www.yageo.com/en/Chart/Download/pdf/CC0201JRNPO9BN151</t>
  </si>
  <si>
    <t>CC0201JRNPO9BN151</t>
  </si>
  <si>
    <t>13-CC0201JRNPO9BN151CT-ND</t>
  </si>
  <si>
    <t>180P/0201/25V/C0G</t>
  </si>
  <si>
    <t xml:space="preserve">CAP SM 0201 180pF 25V C0G </t>
  </si>
  <si>
    <t>https://mm.digikey.com/Volume0/opasdata/d220001/medias/docus/8910/UPY_GP_NP0_16V_TO_250V.pdf</t>
  </si>
  <si>
    <t>CC0201JRNPO8BN181</t>
  </si>
  <si>
    <t>13-CC0201JRNPO8BN181CT-ND</t>
  </si>
  <si>
    <t>220P/0201/50V/C0G</t>
  </si>
  <si>
    <t xml:space="preserve">CAP SM 0201 220pF 50V C0G </t>
  </si>
  <si>
    <t>https://www.yageo.com/en/Chart/Download/pdf/CC0201JRNPO9BN221</t>
  </si>
  <si>
    <t>CC0201JRNPO9BN221</t>
  </si>
  <si>
    <t>13-CC0201JRNPO9BN221CT-ND</t>
  </si>
  <si>
    <t>47P/0201/50V/X7R</t>
  </si>
  <si>
    <t xml:space="preserve">CAP SM 0201 47pF 50V X7R </t>
  </si>
  <si>
    <t>CAP0201_X7R</t>
  </si>
  <si>
    <t>https://yageogroup.com/content/datasheet/asset/file/UPY-GPHC_X7R_6_3V-TO-250V</t>
  </si>
  <si>
    <t>CC0201KRX7R9BB470</t>
  </si>
  <si>
    <t>13-CC0201KRX7R9BB470CT-ND</t>
  </si>
  <si>
    <t>100P/0201/50V/X7R</t>
  </si>
  <si>
    <t xml:space="preserve">CAP SM 0201 100pF 50V X7R </t>
  </si>
  <si>
    <t>CC0201KRX7R9BB101</t>
  </si>
  <si>
    <t>311-1401-1-ND</t>
  </si>
  <si>
    <t>120P/0201/50V/X7R</t>
  </si>
  <si>
    <t xml:space="preserve">CAP SM 0201 120pF 50V X7R </t>
  </si>
  <si>
    <t>CC0201JRX7R9BB121</t>
  </si>
  <si>
    <t>13-CC0201JRX7R9BB121CT-ND</t>
  </si>
  <si>
    <t>150P/0201/50V/X7R</t>
  </si>
  <si>
    <t xml:space="preserve">CAP SM 0201 150pF 50V X7R </t>
  </si>
  <si>
    <t>CC0201KRX7R9BB151</t>
  </si>
  <si>
    <t>13-CC0201KRX7R9BB151CT-ND</t>
  </si>
  <si>
    <t>180P/0201/50V/X7R</t>
  </si>
  <si>
    <t xml:space="preserve">CAP SM 0201 180pF 50V X7R </t>
  </si>
  <si>
    <t>CC0201KRX7R9BB181</t>
  </si>
  <si>
    <t>13-CC0201KRX7R9BB181CT-ND</t>
  </si>
  <si>
    <t>220P/0201/50V/X7R</t>
  </si>
  <si>
    <t xml:space="preserve">CAP SM 0201 220pF 50V X7R </t>
  </si>
  <si>
    <t>CC0201KRX7R9BB221</t>
  </si>
  <si>
    <t>311-1402-1-ND</t>
  </si>
  <si>
    <t>270P/0201/50V/X7R</t>
  </si>
  <si>
    <t xml:space="preserve">CAP SM 0201 270pF 50V X7R </t>
  </si>
  <si>
    <t>CC0201KRX7R9BB271</t>
  </si>
  <si>
    <t>13-CC0201KRX7R9BB271CT-ND</t>
  </si>
  <si>
    <t>330P/0201/50V/X7R</t>
  </si>
  <si>
    <t xml:space="preserve">CAP SM 0201 330pF 50V X7R </t>
  </si>
  <si>
    <t>CC0201KRX7R9BB331</t>
  </si>
  <si>
    <t>13-CC0201KRX7R9BB331CT-ND</t>
  </si>
  <si>
    <t>390P/0201/50V/X7R</t>
  </si>
  <si>
    <t xml:space="preserve">CAP SM 0201 390pF 50V X7R </t>
  </si>
  <si>
    <t>CC0201KRX7R9BB391</t>
  </si>
  <si>
    <t>13-CC0201KRX7R9BB391CT-ND</t>
  </si>
  <si>
    <t>470P/0201/50V/X7R</t>
  </si>
  <si>
    <t xml:space="preserve">CAP SM 0201 470pF 50V X7R </t>
  </si>
  <si>
    <t>CC0201KRX7R9BB471</t>
  </si>
  <si>
    <t>311-3699-1-ND</t>
  </si>
  <si>
    <t>560P/0201/50V/X7R</t>
  </si>
  <si>
    <t xml:space="preserve">CAP SM 0201 560pF 50V X7R </t>
  </si>
  <si>
    <t>CC0201KRX7R9BB561</t>
  </si>
  <si>
    <t>13-CC0201KRX7R9BB561CT-ND</t>
  </si>
  <si>
    <t>680P/0201/50V/X7R</t>
  </si>
  <si>
    <t xml:space="preserve">CAP SM 0201 680pF 50V X7R </t>
  </si>
  <si>
    <t>CC0201KRX7R9BB681</t>
  </si>
  <si>
    <t>13-CC0201KRX7R9BB681CT-ND</t>
  </si>
  <si>
    <t>820P/0201/50V/X7R</t>
  </si>
  <si>
    <t xml:space="preserve">CAP SM 0201 820pF 50V X7R </t>
  </si>
  <si>
    <t>https://www.yageo.com/en/Chart/Download/pdf/CC0201KRX7R9BB821</t>
  </si>
  <si>
    <t>CC0201KRX7R9BB821</t>
  </si>
  <si>
    <t>13-CC0201KRX7R9BB821CT-ND</t>
  </si>
  <si>
    <t>1.0N/0201/50V/X7R</t>
  </si>
  <si>
    <t xml:space="preserve">CAP SM 0201 1.0nF 50V X7R </t>
  </si>
  <si>
    <t>CC0201KRX7R9BB102</t>
  </si>
  <si>
    <t>311-3319-1-ND</t>
  </si>
  <si>
    <t>1.2N/0201/25V/X7R</t>
  </si>
  <si>
    <t xml:space="preserve">CAP SM 0201 1.2nF 25V X7R </t>
  </si>
  <si>
    <t>CC0201KRX7R8BB122</t>
  </si>
  <si>
    <t>13-CC0201KRX7R8BB122CT-ND</t>
  </si>
  <si>
    <t>1.5N/0201/25V/X7R</t>
  </si>
  <si>
    <t xml:space="preserve">CAP SM 0201 1.5nF 25V X7R </t>
  </si>
  <si>
    <t>CC0201KRX7R8BB152</t>
  </si>
  <si>
    <t>311-1607-1-ND</t>
  </si>
  <si>
    <t>1.8N/0201/25V/X7R</t>
  </si>
  <si>
    <t xml:space="preserve">CAP SM 0201 1.8nF 25V X7R </t>
  </si>
  <si>
    <t>CC0201KRX7R8BB182</t>
  </si>
  <si>
    <t>13-CC0201KRX7R8BB182CT-ND</t>
  </si>
  <si>
    <t>2.2N/0201/25V/X7R</t>
  </si>
  <si>
    <t xml:space="preserve">CAP SM 0201 2.2nF 25V X7R </t>
  </si>
  <si>
    <t>CC0201KRX7R8BB222</t>
  </si>
  <si>
    <t>13-CC0201KRX7R8BB222CT-ND</t>
  </si>
  <si>
    <t>2.7N/0201/25V/X7R</t>
  </si>
  <si>
    <t xml:space="preserve">CAP SM 0201 2.7nF 25V X7R </t>
  </si>
  <si>
    <t>CC0201KRX7R8BB272</t>
  </si>
  <si>
    <t>13-CC0201KRX7R8BB272CT-ND</t>
  </si>
  <si>
    <t>3.3N/0201/25V/X7R</t>
  </si>
  <si>
    <t xml:space="preserve">CAP SM 0201 3.3nF 25V X7R </t>
  </si>
  <si>
    <t>CC0201KRX7R8BB332</t>
  </si>
  <si>
    <t>13-CC0201KRX7R8BB332CT-ND</t>
  </si>
  <si>
    <t>3.9N/0201/25V/X7R</t>
  </si>
  <si>
    <t xml:space="preserve">CAP SM 0201 3.9nF 25V X7R </t>
  </si>
  <si>
    <t>CC0201KRX7R8BB392</t>
  </si>
  <si>
    <t>13-CC0201KRX7R8BB392CT-ND</t>
  </si>
  <si>
    <t>4.7N/0201/25V/X7R</t>
  </si>
  <si>
    <t xml:space="preserve">CAP SM 0201 4.7nF 25V X7R </t>
  </si>
  <si>
    <t>CC0201KRX7R8BB472</t>
  </si>
  <si>
    <t>13-CC0201KRX7R8BB472CT-ND</t>
  </si>
  <si>
    <t>5.6N/0201/16V/X7R</t>
  </si>
  <si>
    <t xml:space="preserve">CAP SM 0201 5.6nF 16V X7R </t>
  </si>
  <si>
    <t>CC0201KRX7R7BB562</t>
  </si>
  <si>
    <t>13-CC0201KRX7R7BB562CT-ND</t>
  </si>
  <si>
    <t>6.8N/0201/25V/X7R</t>
  </si>
  <si>
    <t xml:space="preserve">CAP SM 0201 6.8nF 25V X7R </t>
  </si>
  <si>
    <t>CC0201KRX7R8BB682</t>
  </si>
  <si>
    <t>13-CC0201KRX7R8BB682CT-ND</t>
  </si>
  <si>
    <t>8.2N/0201/25V/X7R</t>
  </si>
  <si>
    <t xml:space="preserve">CAP SM 0201 8.2nF 25V X7R </t>
  </si>
  <si>
    <t>CC0201KRX7R8BB822</t>
  </si>
  <si>
    <t>13-CC0201KRX7R8BB822CT-ND</t>
  </si>
  <si>
    <t>10N/0201/25V/X7R</t>
  </si>
  <si>
    <t xml:space="preserve">CAP SM 0201 10nF 25V X7R </t>
  </si>
  <si>
    <t>CC0201KRX7R8BB103</t>
  </si>
  <si>
    <t>13-CC0201KRX7R8BB103CT-ND</t>
  </si>
  <si>
    <t>100N/0201/6.3V/X7R</t>
  </si>
  <si>
    <t xml:space="preserve">CAP SM 0201 100nF 6.3V X7R </t>
  </si>
  <si>
    <t>CC0201KRX7R5BB104</t>
  </si>
  <si>
    <t>13-CC0201KRX7R5BB104CT-ND</t>
  </si>
  <si>
    <t>R0201-0.23-WW</t>
  </si>
  <si>
    <t>CAP SM 0402 1uF 10V X7R</t>
  </si>
  <si>
    <t>1uF</t>
  </si>
  <si>
    <t>https://search.murata.co.jp/Ceramy/image/img/A01X/G101/ENG/GRM155Z71A105KE01-01.pdf</t>
  </si>
  <si>
    <t>490-GRM155Z71A105KE01DCT-ND</t>
  </si>
  <si>
    <t>GRM155Z71A105KE01D</t>
  </si>
  <si>
    <t>1U/0402/10V/X7R</t>
  </si>
  <si>
    <t>2.2U/0402/10V/X7R</t>
  </si>
  <si>
    <t>CAP SM 0402 2.2uF 10V X7R</t>
  </si>
  <si>
    <t>https://search.murata.co.jp/Ceramy/image/img/A01X/G101/ENG/GRM155Z71A225KE44-01A.pdf</t>
  </si>
  <si>
    <t>GRM155Z71A225KE44D</t>
  </si>
  <si>
    <t>490-GRM155Z71A225KE44DCT-ND</t>
  </si>
  <si>
    <t>SON050P140X110X040-4-EP060X080</t>
  </si>
  <si>
    <t>https://www.ti.com/lit/ds/symlink/tmag5253.pdf</t>
  </si>
  <si>
    <t>TMAG5253</t>
  </si>
  <si>
    <t>TMAG5253BA1</t>
  </si>
  <si>
    <t>TMAG5253BA2</t>
  </si>
  <si>
    <t>TMAG5253BA3</t>
  </si>
  <si>
    <t>TMAG5253BA4</t>
  </si>
  <si>
    <t>TMAG5253UA1</t>
  </si>
  <si>
    <t>TMAG5253UA2</t>
  </si>
  <si>
    <t>TMAG5253UA3</t>
  </si>
  <si>
    <t>TMAG5253UA4</t>
  </si>
  <si>
    <t>TMAG5253UA5</t>
  </si>
  <si>
    <t>Low-Power Linear Hall Effect Sensor With EN Pin ±20 mT</t>
  </si>
  <si>
    <t>Low-Power Linear Hall Effect Sensor With EN Pin ±40 mT</t>
  </si>
  <si>
    <t>Low-Power Linear Hall Effect Sensor With EN Pin ±80 mT</t>
  </si>
  <si>
    <t>Low-Power Linear Hall Effect Sensor With EN Pin ±160 mT</t>
  </si>
  <si>
    <t>Low-Power Linear Hall Effect Sensor With EN Pin +20 mT</t>
  </si>
  <si>
    <t>Low-Power Linear Hall Effect Sensor With EN Pin +39 mT</t>
  </si>
  <si>
    <t>Low-Power Linear Hall Effect Sensor With EN Pin +80 mT</t>
  </si>
  <si>
    <t>Low-Power Linear Hall Effect Sensor With EN Pin +160 mT</t>
  </si>
  <si>
    <t>Low-Power Linear Hall Effect Sensor With EN Pin +52 mT</t>
  </si>
  <si>
    <t>X2SON-4</t>
  </si>
  <si>
    <t>296-TMAG5253BA1IQDMRRCT-ND</t>
  </si>
  <si>
    <t>TMAG5253BA1IQDMRR</t>
  </si>
  <si>
    <t>296-TMAG5253BA2IQDMRRCT-ND</t>
  </si>
  <si>
    <t>TMAG5253BA2IQDMRR</t>
  </si>
  <si>
    <t>296-TMAG5253BA3IQDMRRCT-ND</t>
  </si>
  <si>
    <t>TMAG5253BA3IQDMRR</t>
  </si>
  <si>
    <t>296-TMAG5253BA4IQDMRRCT-ND</t>
  </si>
  <si>
    <t>TMAG5253BA4IQDMRR</t>
  </si>
  <si>
    <t>296-TMAG5253UA5IQDMRRCT-ND</t>
  </si>
  <si>
    <t>TMAG5253UA5IQDMRR</t>
  </si>
  <si>
    <t>ICE5LP1K-SWG36ITR1K</t>
  </si>
  <si>
    <t>ICE5LP1K-SWG36</t>
  </si>
  <si>
    <t>iCE40 Ultra™ Feldprogrammierbares Gate-Array (FPGA) IC 26 65536 1100 36-XFBGA, WLCSP</t>
  </si>
  <si>
    <t>BGA036C035P6X6_208X208X045</t>
  </si>
  <si>
    <t>https://www.latticesemi.com/view_document?document_id=50666</t>
  </si>
  <si>
    <t>220-2216-2-ND</t>
  </si>
  <si>
    <t>4U7/0603/16V/X7R</t>
  </si>
  <si>
    <t>CAP SM 0603 4.7uF 16V X7R</t>
  </si>
  <si>
    <t>GRM188Z71C475KE21D</t>
  </si>
  <si>
    <t>490-GRM188Z71C475KE21DCT-ND</t>
  </si>
  <si>
    <t>https://search.murata.co.jp/Ceramy/image/img/A01X/G101/ENG/GRM188Z71C475KE21-01A.pdf</t>
  </si>
  <si>
    <t>0805X7R475K160NT</t>
  </si>
  <si>
    <t>AIDE CAPACITOR</t>
  </si>
  <si>
    <t>C49326719</t>
  </si>
  <si>
    <t>SN74LVC1G3157DBVR</t>
  </si>
  <si>
    <t>SN74LVC1G3157DSFR</t>
  </si>
  <si>
    <t>SN74LVC1G3157DTBR</t>
  </si>
  <si>
    <t>SN74LVC1G3157DRYR</t>
  </si>
  <si>
    <t>SN74LVC1G3157DRLR</t>
  </si>
  <si>
    <t>IC SWITCH SPDT X 1 15OHM SC70-6</t>
  </si>
  <si>
    <t>IC SWITCH SPDT X 1 15OHM SOT23-6</t>
  </si>
  <si>
    <t>IC SWITCH SPDT X 1 15OHM 6SON</t>
  </si>
  <si>
    <t>IC SWITCH SPDT X 1 15OHM 6X2SON</t>
  </si>
  <si>
    <t>IC SWITCH SPDT X 1 15OHM SOT5X3</t>
  </si>
  <si>
    <t>SN74LVC1G3157DCK</t>
  </si>
  <si>
    <t>SN74LVC1G3157DBV</t>
  </si>
  <si>
    <t>SN74LVC1G3157DSF</t>
  </si>
  <si>
    <t>SN74LVC1G3157DTB</t>
  </si>
  <si>
    <t>SN74LVC1G3157DRL</t>
  </si>
  <si>
    <t>SN74LVC1G3157DRY</t>
  </si>
  <si>
    <t>296-14909-1-ND</t>
  </si>
  <si>
    <t>296-14908-1-ND</t>
  </si>
  <si>
    <t>296-29652-1-ND</t>
  </si>
  <si>
    <t>296-48164-1-ND</t>
  </si>
  <si>
    <t>296-21548-1-ND</t>
  </si>
  <si>
    <t>296-18015-1-ND</t>
  </si>
  <si>
    <t>https://www.ti.com/lit/ds/symlink/sn74lvc1g3157.pdf</t>
  </si>
  <si>
    <t>SC70-6</t>
  </si>
  <si>
    <t>6SON</t>
  </si>
  <si>
    <t>6X2SON</t>
  </si>
  <si>
    <t>SOT5X3</t>
  </si>
  <si>
    <t>SOT65P210X95-6-NW</t>
  </si>
  <si>
    <t>SON035P100X100X040-6</t>
  </si>
  <si>
    <t>SON050P100X145X060-6</t>
  </si>
  <si>
    <t>SOT50P160X60-6-NW</t>
  </si>
  <si>
    <t>220-2125-1-ND</t>
  </si>
  <si>
    <t>https://www.latticesemi.com/~/media/LatticeSemi/Documents/DataSheets/MachXO23/MachXO2FamilyDataSheet.pdf</t>
  </si>
  <si>
    <t>BGA025C040P5X5_254X254X057</t>
  </si>
  <si>
    <t>SCH/Lattice.SchLib</t>
  </si>
  <si>
    <t>XO2-1200_WLCSP25</t>
  </si>
  <si>
    <t>WLCSP</t>
  </si>
  <si>
    <t>MachXO2 Feldprogrammierbares Gate-Array (FPGA) IC 18 65536 1280 25-WLCSP</t>
  </si>
  <si>
    <t>LCMXO2-1200ZE</t>
  </si>
  <si>
    <t>PAD-THT-0.2MM-0.6MM-ROUND</t>
  </si>
  <si>
    <t>Through-hole pad, 0.2mm drill, 0.6mm pad, round</t>
  </si>
  <si>
    <t>Crystal Oscillator 50 MHz SMD</t>
  </si>
  <si>
    <t>XTAL OSC XO 50.0000MHZ CMOS SMD</t>
  </si>
  <si>
    <t>Oscillator</t>
  </si>
  <si>
    <t>CYSMD100P160X120X060</t>
  </si>
  <si>
    <t>XC2834CT-ND</t>
  </si>
  <si>
    <t>ECS-1612MV-500-CN-TR</t>
  </si>
  <si>
    <t>https://ecsxtal.com/store/pdf/ECS-1612MV.pdf</t>
  </si>
  <si>
    <t>C50338460</t>
  </si>
  <si>
    <t>8N50000G13YC</t>
  </si>
  <si>
    <t>SJK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</si>
</sst>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</cellXfs>
  <cellStyles count="3">
    <cellStyle name="Hyperlink" xfId="2" builtinId="8"/>
    <cellStyle name="Normal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workbookViewId="0">
      <selection activeCell="D8" sqref="D8"/>
    </sheetView>
  </sheetViews>
  <sheetFormatPr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2046"/>
  <sheetViews>
    <sheetView workbookViewId="0">
      <pane xSplit="2" ySplit="1" topLeftCell="H2019" activePane="bottomRight" state="frozen"/>
      <selection pane="topRight" activeCell="C1" sqref="C1"/>
      <selection pane="bottomLeft" activeCell="A2" sqref="A2"/>
      <selection pane="bottomRight" activeCell="M2050" sqref="M2050"/>
    </sheetView>
  </sheetViews>
  <sheetFormatPr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 t="s">
        <v>14572</v>
      </c>
      <c r="X197" s="17" t="s">
        <v>16841</v>
      </c>
      <c r="Y197" s="16" t="s">
        <v>4559</v>
      </c>
      <c r="Z197" s="17" t="s">
        <v>16842</v>
      </c>
      <c r="AA197" t="s">
        <v>4728</v>
      </c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 t="s">
        <v>477</v>
      </c>
      <c r="X206" s="17" t="s">
        <v>1189</v>
      </c>
      <c r="Y206" s="16" t="s">
        <v>4559</v>
      </c>
      <c r="Z206" s="17" t="s">
        <v>16760</v>
      </c>
      <c r="AA206" t="s">
        <v>4727</v>
      </c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 t="s">
        <v>477</v>
      </c>
      <c r="X207" s="17" t="s">
        <v>1194</v>
      </c>
      <c r="Y207" s="16" t="s">
        <v>4559</v>
      </c>
      <c r="Z207" s="17" t="s">
        <v>16761</v>
      </c>
      <c r="AA207" t="s">
        <v>4727</v>
      </c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 t="s">
        <v>477</v>
      </c>
      <c r="X208" s="17" t="s">
        <v>1199</v>
      </c>
      <c r="Y208" s="16" t="s">
        <v>4559</v>
      </c>
      <c r="Z208" s="17" t="s">
        <v>16762</v>
      </c>
      <c r="AA208" t="s">
        <v>4727</v>
      </c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 t="s">
        <v>477</v>
      </c>
      <c r="X234" s="17" t="s">
        <v>1317</v>
      </c>
      <c r="Y234" s="16" t="s">
        <v>4559</v>
      </c>
      <c r="Z234" s="17" t="s">
        <v>16866</v>
      </c>
      <c r="AA234" t="s">
        <v>4727</v>
      </c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 t="s">
        <v>477</v>
      </c>
      <c r="X236" s="17" t="s">
        <v>16851</v>
      </c>
      <c r="Y236" s="16" t="s">
        <v>4559</v>
      </c>
      <c r="Z236" s="17" t="s">
        <v>16852</v>
      </c>
      <c r="AA236" t="s">
        <v>4727</v>
      </c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 t="s">
        <v>14572</v>
      </c>
      <c r="X237" s="17" t="s">
        <v>16853</v>
      </c>
      <c r="Y237" s="16" t="s">
        <v>4559</v>
      </c>
      <c r="Z237" s="17" t="s">
        <v>16854</v>
      </c>
      <c r="AA237" t="s">
        <v>4728</v>
      </c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 t="s">
        <v>14572</v>
      </c>
      <c r="X264" s="17" t="s">
        <v>16849</v>
      </c>
      <c r="Y264" s="16" t="s">
        <v>4559</v>
      </c>
      <c r="Z264" s="17" t="s">
        <v>16850</v>
      </c>
      <c r="AA264" t="s">
        <v>4728</v>
      </c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 t="s">
        <v>14572</v>
      </c>
      <c r="X265" s="17" t="s">
        <v>16855</v>
      </c>
      <c r="Y265" s="16" t="s">
        <v>4559</v>
      </c>
      <c r="Z265" s="17" t="s">
        <v>16856</v>
      </c>
      <c r="AA265" t="s">
        <v>4728</v>
      </c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14572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 t="s">
        <v>477</v>
      </c>
      <c r="X274" s="17" t="s">
        <v>16859</v>
      </c>
      <c r="Y274" s="16" t="s">
        <v>4559</v>
      </c>
      <c r="Z274" s="17" t="s">
        <v>16860</v>
      </c>
      <c r="AA274" t="s">
        <v>4727</v>
      </c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 t="s">
        <v>14572</v>
      </c>
      <c r="X275" s="17" t="s">
        <v>16857</v>
      </c>
      <c r="Y275" s="16" t="s">
        <v>4559</v>
      </c>
      <c r="Z275" s="17" t="s">
        <v>16858</v>
      </c>
      <c r="AA275" t="s">
        <v>4728</v>
      </c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 t="s">
        <v>477</v>
      </c>
      <c r="X284" s="17" t="s">
        <v>16861</v>
      </c>
      <c r="Y284" s="16" t="s">
        <v>4559</v>
      </c>
      <c r="Z284" s="17" t="s">
        <v>16862</v>
      </c>
      <c r="AA284" t="s">
        <v>4727</v>
      </c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 t="s">
        <v>477</v>
      </c>
      <c r="X296" s="17" t="s">
        <v>318</v>
      </c>
      <c r="Y296" s="16" t="s">
        <v>4559</v>
      </c>
      <c r="Z296" s="17" t="s">
        <v>16863</v>
      </c>
      <c r="AA296" s="16" t="s">
        <v>4727</v>
      </c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 t="s">
        <v>477</v>
      </c>
      <c r="X316" s="17" t="s">
        <v>1657</v>
      </c>
      <c r="Y316" s="17" t="s">
        <v>4559</v>
      </c>
      <c r="Z316" s="17" t="s">
        <v>16864</v>
      </c>
      <c r="AA316" t="s">
        <v>4727</v>
      </c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16699</v>
      </c>
      <c r="B441" s="17" t="s">
        <v>16699</v>
      </c>
      <c r="C441" s="17" t="s">
        <v>16700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16652</v>
      </c>
      <c r="K441" s="17"/>
      <c r="L441" s="17"/>
      <c r="M441" s="21">
        <v>10000</v>
      </c>
      <c r="N441" s="17" t="s">
        <v>14078</v>
      </c>
      <c r="O441" s="17" t="s">
        <v>477</v>
      </c>
      <c r="P441" s="17" t="s">
        <v>16715</v>
      </c>
      <c r="Q441" t="s">
        <v>25</v>
      </c>
      <c r="R441" s="17" t="s">
        <v>16737</v>
      </c>
      <c r="S441" s="17"/>
      <c r="T441" s="17"/>
      <c r="U441" s="17"/>
      <c r="V441" s="17"/>
      <c r="W441" s="17" t="s">
        <v>477</v>
      </c>
      <c r="X441" s="17" t="s">
        <v>16715</v>
      </c>
      <c r="Y441" s="17" t="s">
        <v>4559</v>
      </c>
      <c r="Z441" s="17" t="s">
        <v>16716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16701</v>
      </c>
      <c r="B463" s="17" t="s">
        <v>16701</v>
      </c>
      <c r="C463" s="17" t="s">
        <v>16702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16652</v>
      </c>
      <c r="K463" s="17"/>
      <c r="L463" s="17"/>
      <c r="M463" s="21">
        <v>75000</v>
      </c>
      <c r="N463" s="17" t="s">
        <v>14078</v>
      </c>
      <c r="O463" s="17" t="s">
        <v>477</v>
      </c>
      <c r="P463" s="17" t="s">
        <v>16717</v>
      </c>
      <c r="Q463" t="s">
        <v>25</v>
      </c>
      <c r="R463" s="17" t="s">
        <v>16738</v>
      </c>
      <c r="S463" s="17"/>
      <c r="T463" s="17"/>
      <c r="U463" s="17"/>
      <c r="V463" s="17"/>
      <c r="W463" s="17" t="s">
        <v>477</v>
      </c>
      <c r="X463" s="17" t="s">
        <v>16717</v>
      </c>
      <c r="Y463" s="17" t="s">
        <v>4559</v>
      </c>
      <c r="Z463" s="17" t="s">
        <v>16718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16703</v>
      </c>
      <c r="B467" s="17" t="s">
        <v>16703</v>
      </c>
      <c r="C467" s="17" t="s">
        <v>16710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16652</v>
      </c>
      <c r="K467" s="17"/>
      <c r="L467" s="17"/>
      <c r="M467" s="21">
        <v>100000</v>
      </c>
      <c r="N467" s="17" t="s">
        <v>14078</v>
      </c>
      <c r="O467" s="17" t="s">
        <v>477</v>
      </c>
      <c r="P467" s="17" t="s">
        <v>16719</v>
      </c>
      <c r="Q467" t="s">
        <v>25</v>
      </c>
      <c r="R467" s="17" t="s">
        <v>16739</v>
      </c>
      <c r="S467" s="17"/>
      <c r="T467" s="17"/>
      <c r="U467" s="17"/>
      <c r="V467" s="17"/>
      <c r="W467" s="17" t="s">
        <v>477</v>
      </c>
      <c r="X467" s="17" t="s">
        <v>16719</v>
      </c>
      <c r="Y467" s="17" t="s">
        <v>4559</v>
      </c>
      <c r="Z467" s="17" t="s">
        <v>16720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 t="s">
        <v>477</v>
      </c>
      <c r="X469" s="17" t="s">
        <v>2419</v>
      </c>
      <c r="Y469" t="s">
        <v>4559</v>
      </c>
      <c r="Z469" s="17" t="s">
        <v>16865</v>
      </c>
      <c r="AA469" t="s">
        <v>4727</v>
      </c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16704</v>
      </c>
      <c r="B476" s="17" t="s">
        <v>16704</v>
      </c>
      <c r="C476" s="17" t="s">
        <v>16711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16652</v>
      </c>
      <c r="K476" s="17"/>
      <c r="L476" s="17"/>
      <c r="M476" s="21">
        <v>220000</v>
      </c>
      <c r="N476" s="17" t="s">
        <v>14078</v>
      </c>
      <c r="O476" s="17" t="s">
        <v>477</v>
      </c>
      <c r="P476" s="17" t="s">
        <v>16721</v>
      </c>
      <c r="Q476" t="s">
        <v>25</v>
      </c>
      <c r="R476" s="17" t="s">
        <v>16740</v>
      </c>
      <c r="S476" s="17"/>
      <c r="T476" s="17"/>
      <c r="U476" s="17"/>
      <c r="V476" s="17"/>
      <c r="W476" s="17" t="s">
        <v>477</v>
      </c>
      <c r="X476" s="17" t="s">
        <v>16721</v>
      </c>
      <c r="Y476" s="17" t="s">
        <v>4559</v>
      </c>
      <c r="Z476" s="17" t="s">
        <v>16722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16705</v>
      </c>
      <c r="B478" s="17" t="s">
        <v>16705</v>
      </c>
      <c r="C478" s="17" t="s">
        <v>16733</v>
      </c>
      <c r="D478" s="17" t="s">
        <v>21</v>
      </c>
      <c r="E478" s="24" t="s">
        <v>6449</v>
      </c>
      <c r="F478" s="17" t="s">
        <v>16736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16652</v>
      </c>
      <c r="K478" s="17"/>
      <c r="L478" s="17"/>
      <c r="M478" s="21">
        <v>255000</v>
      </c>
      <c r="N478" s="17" t="s">
        <v>14078</v>
      </c>
      <c r="O478" s="17" t="s">
        <v>477</v>
      </c>
      <c r="P478" s="17" t="s">
        <v>16723</v>
      </c>
      <c r="Q478" t="s">
        <v>25</v>
      </c>
      <c r="R478" s="17" t="s">
        <v>16741</v>
      </c>
      <c r="S478" s="17"/>
      <c r="T478" s="17"/>
      <c r="U478" s="17"/>
      <c r="V478" s="17"/>
      <c r="W478" s="8" t="s">
        <v>477</v>
      </c>
      <c r="X478" s="8" t="s">
        <v>16723</v>
      </c>
      <c r="Y478" t="s">
        <v>4559</v>
      </c>
      <c r="Z478" s="8" t="s">
        <v>16724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16706</v>
      </c>
      <c r="B480" s="17" t="s">
        <v>16706</v>
      </c>
      <c r="C480" s="17" t="s">
        <v>16734</v>
      </c>
      <c r="D480" s="17" t="s">
        <v>21</v>
      </c>
      <c r="E480" s="24" t="s">
        <v>6449</v>
      </c>
      <c r="F480" s="17" t="s">
        <v>16735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16652</v>
      </c>
      <c r="K480" s="17"/>
      <c r="L480" s="17"/>
      <c r="M480" s="21">
        <v>274000</v>
      </c>
      <c r="N480" s="17" t="s">
        <v>14078</v>
      </c>
      <c r="O480" s="17" t="s">
        <v>477</v>
      </c>
      <c r="P480" s="17" t="s">
        <v>16725</v>
      </c>
      <c r="Q480" t="s">
        <v>25</v>
      </c>
      <c r="R480" s="17" t="s">
        <v>16742</v>
      </c>
      <c r="S480" s="17"/>
      <c r="T480" s="17"/>
      <c r="U480" s="17"/>
      <c r="V480" s="17"/>
      <c r="W480" s="17" t="s">
        <v>477</v>
      </c>
      <c r="X480" s="17" t="s">
        <v>16725</v>
      </c>
      <c r="Y480" t="s">
        <v>4559</v>
      </c>
      <c r="Z480" s="17" t="s">
        <v>16726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16707</v>
      </c>
      <c r="B484" s="17" t="s">
        <v>16707</v>
      </c>
      <c r="C484" s="17" t="s">
        <v>16712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16652</v>
      </c>
      <c r="K484" s="17"/>
      <c r="L484" s="17"/>
      <c r="M484" s="21">
        <v>360000</v>
      </c>
      <c r="N484" s="17" t="s">
        <v>14078</v>
      </c>
      <c r="O484" s="17" t="s">
        <v>477</v>
      </c>
      <c r="P484" s="17" t="s">
        <v>16727</v>
      </c>
      <c r="Q484" t="s">
        <v>25</v>
      </c>
      <c r="R484" s="17" t="s">
        <v>16743</v>
      </c>
      <c r="S484" s="17"/>
      <c r="T484" s="17"/>
      <c r="U484" s="17"/>
      <c r="V484" s="17"/>
      <c r="W484" s="17" t="s">
        <v>477</v>
      </c>
      <c r="X484" s="17" t="s">
        <v>16727</v>
      </c>
      <c r="Y484" s="17" t="s">
        <v>4559</v>
      </c>
      <c r="Z484" s="17" t="s">
        <v>16728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16708</v>
      </c>
      <c r="B492" s="17" t="s">
        <v>16708</v>
      </c>
      <c r="C492" s="17" t="s">
        <v>16713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16652</v>
      </c>
      <c r="K492" s="17"/>
      <c r="L492" s="17"/>
      <c r="M492" s="21">
        <v>680000</v>
      </c>
      <c r="N492" s="17" t="s">
        <v>14078</v>
      </c>
      <c r="O492" s="17" t="s">
        <v>477</v>
      </c>
      <c r="P492" s="17" t="s">
        <v>16729</v>
      </c>
      <c r="Q492" t="s">
        <v>25</v>
      </c>
      <c r="R492" s="17" t="s">
        <v>16744</v>
      </c>
      <c r="S492" s="17"/>
      <c r="T492" s="17"/>
      <c r="U492" s="17"/>
      <c r="V492" s="17"/>
      <c r="W492" s="17" t="s">
        <v>477</v>
      </c>
      <c r="X492" s="17" t="s">
        <v>16729</v>
      </c>
      <c r="Y492" s="17" t="s">
        <v>4559</v>
      </c>
      <c r="Z492" s="17" t="s">
        <v>16730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16709</v>
      </c>
      <c r="B494" s="17" t="s">
        <v>16709</v>
      </c>
      <c r="C494" s="17" t="s">
        <v>16714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16652</v>
      </c>
      <c r="K494" s="17"/>
      <c r="L494" s="17"/>
      <c r="M494" s="21">
        <v>750000</v>
      </c>
      <c r="N494" s="17" t="s">
        <v>14078</v>
      </c>
      <c r="O494" s="17" t="s">
        <v>477</v>
      </c>
      <c r="P494" s="17" t="s">
        <v>16731</v>
      </c>
      <c r="Q494" t="s">
        <v>25</v>
      </c>
      <c r="R494" s="17" t="s">
        <v>16745</v>
      </c>
      <c r="S494" s="17"/>
      <c r="T494" s="17"/>
      <c r="U494" s="17"/>
      <c r="V494" s="17"/>
      <c r="W494" s="17" t="s">
        <v>477</v>
      </c>
      <c r="X494" s="17" t="s">
        <v>16731</v>
      </c>
      <c r="Y494" s="17" t="s">
        <v>4559</v>
      </c>
      <c r="Z494" s="17" t="s">
        <v>16732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16653</v>
      </c>
      <c r="B498" s="17" t="s">
        <v>16653</v>
      </c>
      <c r="C498" s="17" t="s">
        <v>16654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16652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16669</v>
      </c>
      <c r="Q498" t="s">
        <v>25</v>
      </c>
      <c r="R498" s="17" t="s">
        <v>16670</v>
      </c>
      <c r="S498" s="17"/>
      <c r="T498" s="17"/>
      <c r="U498" s="17"/>
      <c r="V498" s="17"/>
      <c r="W498" s="42" t="s">
        <v>6382</v>
      </c>
      <c r="X498" s="8" t="s">
        <v>16685</v>
      </c>
      <c r="Y498" t="s">
        <v>4559</v>
      </c>
      <c r="Z498" s="8" t="s">
        <v>16686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16655</v>
      </c>
      <c r="B502" s="17" t="s">
        <v>16655</v>
      </c>
      <c r="C502" s="17" t="s">
        <v>16656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16652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16671</v>
      </c>
      <c r="Q502" t="s">
        <v>25</v>
      </c>
      <c r="R502" s="17" t="s">
        <v>16672</v>
      </c>
      <c r="S502" s="17"/>
      <c r="T502" s="17"/>
      <c r="U502" s="17"/>
      <c r="V502" s="17"/>
      <c r="W502" s="17" t="s">
        <v>14572</v>
      </c>
      <c r="X502" s="17" t="s">
        <v>16687</v>
      </c>
      <c r="Y502" s="17" t="s">
        <v>4559</v>
      </c>
      <c r="Z502" s="17" t="s">
        <v>16688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16657</v>
      </c>
      <c r="B504" s="17" t="s">
        <v>16657</v>
      </c>
      <c r="C504" s="17" t="s">
        <v>16668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16652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16673</v>
      </c>
      <c r="Q504" t="s">
        <v>25</v>
      </c>
      <c r="R504" s="17" t="s">
        <v>16674</v>
      </c>
      <c r="S504" s="17"/>
      <c r="T504" s="17"/>
      <c r="U504" s="17"/>
      <c r="V504" s="17"/>
      <c r="W504" s="17" t="s">
        <v>477</v>
      </c>
      <c r="X504" s="17" t="s">
        <v>16673</v>
      </c>
      <c r="Y504" s="17" t="s">
        <v>4559</v>
      </c>
      <c r="Z504" s="17" t="s">
        <v>16689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16658</v>
      </c>
      <c r="B508" s="17" t="s">
        <v>16658</v>
      </c>
      <c r="C508" s="17" t="s">
        <v>16667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16652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16677</v>
      </c>
      <c r="Q508" t="s">
        <v>25</v>
      </c>
      <c r="R508" s="17" t="s">
        <v>16678</v>
      </c>
      <c r="S508" s="17"/>
      <c r="T508" s="17"/>
      <c r="U508" s="17"/>
      <c r="V508" s="17"/>
      <c r="W508" s="17" t="s">
        <v>477</v>
      </c>
      <c r="X508" s="17" t="s">
        <v>16677</v>
      </c>
      <c r="Y508" t="s">
        <v>4559</v>
      </c>
      <c r="Z508" s="17" t="s">
        <v>16690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16659</v>
      </c>
      <c r="B510" s="17" t="s">
        <v>16659</v>
      </c>
      <c r="C510" s="17" t="s">
        <v>16666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16652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16675</v>
      </c>
      <c r="Q510" t="s">
        <v>25</v>
      </c>
      <c r="R510" s="17" t="s">
        <v>16676</v>
      </c>
      <c r="S510" s="17"/>
      <c r="T510" s="17"/>
      <c r="U510" s="17"/>
      <c r="V510" s="17"/>
      <c r="W510" s="17" t="s">
        <v>6382</v>
      </c>
      <c r="X510" s="17" t="s">
        <v>16691</v>
      </c>
      <c r="Y510" t="s">
        <v>4559</v>
      </c>
      <c r="Z510" s="17" t="s">
        <v>16692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16660</v>
      </c>
      <c r="B515" s="17" t="s">
        <v>16660</v>
      </c>
      <c r="C515" s="17" t="s">
        <v>16665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16652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16679</v>
      </c>
      <c r="Q515" t="s">
        <v>25</v>
      </c>
      <c r="R515" s="17" t="s">
        <v>16680</v>
      </c>
      <c r="S515" s="17"/>
      <c r="T515" s="17"/>
      <c r="U515" s="17"/>
      <c r="V515" s="17"/>
      <c r="W515" s="17" t="s">
        <v>477</v>
      </c>
      <c r="X515" s="17" t="s">
        <v>16693</v>
      </c>
      <c r="Y515" s="17" t="s">
        <v>4559</v>
      </c>
      <c r="Z515" s="17" t="s">
        <v>16694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16661</v>
      </c>
      <c r="B522" s="17" t="s">
        <v>16661</v>
      </c>
      <c r="C522" s="17" t="s">
        <v>16664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16652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16681</v>
      </c>
      <c r="Q522" t="s">
        <v>25</v>
      </c>
      <c r="R522" s="17" t="s">
        <v>16682</v>
      </c>
      <c r="S522" s="17"/>
      <c r="T522" s="17"/>
      <c r="U522" s="17"/>
      <c r="V522" s="17"/>
      <c r="W522" s="17" t="s">
        <v>477</v>
      </c>
      <c r="X522" s="17" t="s">
        <v>16681</v>
      </c>
      <c r="Y522" s="17" t="s">
        <v>4559</v>
      </c>
      <c r="Z522" s="17" t="s">
        <v>16695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16662</v>
      </c>
      <c r="B524" s="17" t="s">
        <v>16662</v>
      </c>
      <c r="C524" s="17" t="s">
        <v>16663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16652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16683</v>
      </c>
      <c r="Q524" t="s">
        <v>25</v>
      </c>
      <c r="R524" s="17" t="s">
        <v>16684</v>
      </c>
      <c r="S524" s="17"/>
      <c r="T524" s="17"/>
      <c r="U524" s="17"/>
      <c r="V524" s="17"/>
      <c r="W524" s="17" t="s">
        <v>16696</v>
      </c>
      <c r="X524" s="17" t="s">
        <v>16697</v>
      </c>
      <c r="Y524" s="17" t="s">
        <v>4559</v>
      </c>
      <c r="Z524" s="17" t="s">
        <v>16698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16652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t="s">
        <v>16844</v>
      </c>
      <c r="B677" t="s">
        <v>16844</v>
      </c>
      <c r="C677" t="s">
        <v>16845</v>
      </c>
      <c r="D677" t="s">
        <v>21</v>
      </c>
      <c r="E677" s="24" t="s">
        <v>6767</v>
      </c>
      <c r="F677" t="s">
        <v>369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1000000</v>
      </c>
      <c r="N677" s="17" t="s">
        <v>14078</v>
      </c>
      <c r="O677" s="17" t="s">
        <v>477</v>
      </c>
      <c r="P677" s="17" t="s">
        <v>16846</v>
      </c>
      <c r="Q677" t="s">
        <v>25</v>
      </c>
      <c r="R677" s="17" t="s">
        <v>16847</v>
      </c>
      <c r="S677" s="17"/>
      <c r="T677" s="17"/>
      <c r="U677" s="17"/>
      <c r="V677" s="17"/>
      <c r="W677" s="17" t="s">
        <v>477</v>
      </c>
      <c r="X677" s="17" t="s">
        <v>16846</v>
      </c>
      <c r="Y677" s="17" t="s">
        <v>4559</v>
      </c>
      <c r="Z677" s="17" t="s">
        <v>16848</v>
      </c>
      <c r="AA677" t="s">
        <v>4727</v>
      </c>
      <c r="AB677" s="17"/>
    </row>
    <row r="678" spans="1:28">
      <c r="A678" s="17" t="s">
        <v>9184</v>
      </c>
      <c r="B678" s="17" t="s">
        <v>9184</v>
      </c>
      <c r="C678" s="17" t="s">
        <v>9185</v>
      </c>
      <c r="D678" s="17" t="s">
        <v>21</v>
      </c>
      <c r="E678" s="24">
        <v>1206</v>
      </c>
      <c r="F678" s="17" t="s">
        <v>371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1100000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9186</v>
      </c>
      <c r="B679" s="17" t="s">
        <v>9186</v>
      </c>
      <c r="C679" s="17" t="s">
        <v>9187</v>
      </c>
      <c r="D679" s="17" t="s">
        <v>21</v>
      </c>
      <c r="E679" s="24">
        <v>1206</v>
      </c>
      <c r="F679" s="17" t="s">
        <v>373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1200000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9188</v>
      </c>
      <c r="B680" s="17" t="s">
        <v>9188</v>
      </c>
      <c r="C680" s="17" t="s">
        <v>9189</v>
      </c>
      <c r="D680" s="17" t="s">
        <v>21</v>
      </c>
      <c r="E680" s="24">
        <v>1206</v>
      </c>
      <c r="F680" s="17" t="s">
        <v>375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1300000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9190</v>
      </c>
      <c r="B681" s="17" t="s">
        <v>9190</v>
      </c>
      <c r="C681" s="17" t="s">
        <v>9191</v>
      </c>
      <c r="D681" s="17" t="s">
        <v>21</v>
      </c>
      <c r="E681" s="24">
        <v>1206</v>
      </c>
      <c r="F681" s="17" t="s">
        <v>377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1500000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9192</v>
      </c>
      <c r="B682" s="17" t="s">
        <v>9192</v>
      </c>
      <c r="C682" s="17" t="s">
        <v>9193</v>
      </c>
      <c r="D682" s="17" t="s">
        <v>21</v>
      </c>
      <c r="E682" s="24">
        <v>1206</v>
      </c>
      <c r="F682" s="17" t="s">
        <v>379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1600000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9194</v>
      </c>
      <c r="B683" s="17" t="s">
        <v>9194</v>
      </c>
      <c r="C683" s="17" t="s">
        <v>9195</v>
      </c>
      <c r="D683" s="17" t="s">
        <v>21</v>
      </c>
      <c r="E683" s="24">
        <v>1206</v>
      </c>
      <c r="F683" s="17" t="s">
        <v>381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1800000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9196</v>
      </c>
      <c r="B684" s="17" t="s">
        <v>9196</v>
      </c>
      <c r="C684" s="17" t="s">
        <v>9197</v>
      </c>
      <c r="D684" s="17" t="s">
        <v>21</v>
      </c>
      <c r="E684" s="24">
        <v>1206</v>
      </c>
      <c r="F684" s="17" t="s">
        <v>383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2000000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9198</v>
      </c>
      <c r="B685" s="17" t="s">
        <v>9198</v>
      </c>
      <c r="C685" s="17" t="s">
        <v>9199</v>
      </c>
      <c r="D685" s="17" t="s">
        <v>21</v>
      </c>
      <c r="E685" s="24">
        <v>1206</v>
      </c>
      <c r="F685" s="17" t="s">
        <v>385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2200000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9200</v>
      </c>
      <c r="B686" s="17" t="s">
        <v>9200</v>
      </c>
      <c r="C686" s="17" t="s">
        <v>9201</v>
      </c>
      <c r="D686" s="17" t="s">
        <v>21</v>
      </c>
      <c r="E686" s="24">
        <v>1206</v>
      </c>
      <c r="F686" s="17" t="s">
        <v>387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2400000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9202</v>
      </c>
      <c r="B687" s="17" t="s">
        <v>9202</v>
      </c>
      <c r="C687" s="17" t="s">
        <v>9203</v>
      </c>
      <c r="D687" s="17" t="s">
        <v>21</v>
      </c>
      <c r="E687" s="24">
        <v>1206</v>
      </c>
      <c r="F687" s="17" t="s">
        <v>389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2700000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9204</v>
      </c>
      <c r="B688" s="17" t="s">
        <v>9204</v>
      </c>
      <c r="C688" s="17" t="s">
        <v>9205</v>
      </c>
      <c r="D688" s="17" t="s">
        <v>21</v>
      </c>
      <c r="E688" s="24">
        <v>1206</v>
      </c>
      <c r="F688" s="17" t="s">
        <v>391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3000000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9206</v>
      </c>
      <c r="B689" s="17" t="s">
        <v>9206</v>
      </c>
      <c r="C689" s="17" t="s">
        <v>9207</v>
      </c>
      <c r="D689" s="17" t="s">
        <v>21</v>
      </c>
      <c r="E689" s="24">
        <v>1206</v>
      </c>
      <c r="F689" s="17" t="s">
        <v>393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3300000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9208</v>
      </c>
      <c r="B690" s="17" t="s">
        <v>9208</v>
      </c>
      <c r="C690" s="17" t="s">
        <v>9209</v>
      </c>
      <c r="D690" s="17" t="s">
        <v>21</v>
      </c>
      <c r="E690" s="24">
        <v>1206</v>
      </c>
      <c r="F690" s="17" t="s">
        <v>395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3600000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9210</v>
      </c>
      <c r="B691" s="17" t="s">
        <v>9210</v>
      </c>
      <c r="C691" s="17" t="s">
        <v>9211</v>
      </c>
      <c r="D691" s="17" t="s">
        <v>21</v>
      </c>
      <c r="E691" s="24">
        <v>1206</v>
      </c>
      <c r="F691" s="17" t="s">
        <v>397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3900000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9212</v>
      </c>
      <c r="B692" s="17" t="s">
        <v>9212</v>
      </c>
      <c r="C692" s="17" t="s">
        <v>9213</v>
      </c>
      <c r="D692" s="17" t="s">
        <v>21</v>
      </c>
      <c r="E692" s="24">
        <v>1206</v>
      </c>
      <c r="F692" s="17" t="s">
        <v>399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4300000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9214</v>
      </c>
      <c r="B693" s="17" t="s">
        <v>9214</v>
      </c>
      <c r="C693" s="17" t="s">
        <v>9215</v>
      </c>
      <c r="D693" s="17" t="s">
        <v>21</v>
      </c>
      <c r="E693" s="24">
        <v>1206</v>
      </c>
      <c r="F693" s="17" t="s">
        <v>401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4700000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9216</v>
      </c>
      <c r="B694" s="17" t="s">
        <v>9216</v>
      </c>
      <c r="C694" s="17" t="s">
        <v>9217</v>
      </c>
      <c r="D694" s="17" t="s">
        <v>21</v>
      </c>
      <c r="E694" s="24">
        <v>1206</v>
      </c>
      <c r="F694" s="17" t="s">
        <v>403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5100000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9218</v>
      </c>
      <c r="B695" s="17" t="s">
        <v>9218</v>
      </c>
      <c r="C695" s="17" t="s">
        <v>9219</v>
      </c>
      <c r="D695" s="17" t="s">
        <v>21</v>
      </c>
      <c r="E695" s="24">
        <v>1206</v>
      </c>
      <c r="F695" s="17" t="s">
        <v>405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5600000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9220</v>
      </c>
      <c r="B696" s="17" t="s">
        <v>9220</v>
      </c>
      <c r="C696" s="17" t="s">
        <v>9221</v>
      </c>
      <c r="D696" s="17" t="s">
        <v>21</v>
      </c>
      <c r="E696" s="24">
        <v>1206</v>
      </c>
      <c r="F696" s="17" t="s">
        <v>407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6200000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9222</v>
      </c>
      <c r="B697" s="17" t="s">
        <v>9222</v>
      </c>
      <c r="C697" s="17" t="s">
        <v>9223</v>
      </c>
      <c r="D697" s="17" t="s">
        <v>21</v>
      </c>
      <c r="E697" s="24">
        <v>1206</v>
      </c>
      <c r="F697" s="17" t="s">
        <v>409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6800000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9224</v>
      </c>
      <c r="B698" s="17" t="s">
        <v>9224</v>
      </c>
      <c r="C698" s="17" t="s">
        <v>9225</v>
      </c>
      <c r="D698" s="17" t="s">
        <v>21</v>
      </c>
      <c r="E698" s="24">
        <v>1206</v>
      </c>
      <c r="F698" s="17" t="s">
        <v>411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7500000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9226</v>
      </c>
      <c r="B699" s="17" t="s">
        <v>9226</v>
      </c>
      <c r="C699" s="17" t="s">
        <v>9227</v>
      </c>
      <c r="D699" s="17" t="s">
        <v>21</v>
      </c>
      <c r="E699" s="24">
        <v>1206</v>
      </c>
      <c r="F699" s="17" t="s">
        <v>413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8200000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9228</v>
      </c>
      <c r="B700" s="17" t="s">
        <v>9228</v>
      </c>
      <c r="C700" s="17" t="s">
        <v>9229</v>
      </c>
      <c r="D700" s="17" t="s">
        <v>21</v>
      </c>
      <c r="E700" s="24">
        <v>1206</v>
      </c>
      <c r="F700" s="17" t="s">
        <v>415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9100000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9230</v>
      </c>
      <c r="B701" s="17" t="s">
        <v>9230</v>
      </c>
      <c r="C701" s="17" t="s">
        <v>9231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14077</v>
      </c>
      <c r="O701" s="17" t="s">
        <v>477</v>
      </c>
      <c r="P701" s="17" t="s">
        <v>14079</v>
      </c>
      <c r="Q701" t="s">
        <v>25</v>
      </c>
      <c r="R701" s="17" t="s">
        <v>14080</v>
      </c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14076</v>
      </c>
      <c r="B702" s="17" t="s">
        <v>14076</v>
      </c>
      <c r="C702" s="17" t="s">
        <v>14087</v>
      </c>
      <c r="D702" s="17" t="s">
        <v>21</v>
      </c>
      <c r="E702" s="24">
        <v>1206</v>
      </c>
      <c r="F702" s="17" t="s">
        <v>417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6413</v>
      </c>
      <c r="K702" s="17"/>
      <c r="L702" s="17"/>
      <c r="M702" s="21">
        <v>10000000</v>
      </c>
      <c r="N702" s="17" t="s">
        <v>14078</v>
      </c>
      <c r="O702" s="17" t="s">
        <v>477</v>
      </c>
      <c r="P702" s="17" t="s">
        <v>14081</v>
      </c>
      <c r="Q702" t="s">
        <v>25</v>
      </c>
      <c r="R702" s="17" t="s">
        <v>14082</v>
      </c>
      <c r="S702" s="17"/>
      <c r="T702" s="17"/>
      <c r="U702" s="17"/>
      <c r="V702" s="17"/>
      <c r="W702" s="17" t="s">
        <v>477</v>
      </c>
      <c r="X702" s="17" t="s">
        <v>14081</v>
      </c>
      <c r="Y702" s="17" t="s">
        <v>4559</v>
      </c>
      <c r="Z702" s="17" t="s">
        <v>14083</v>
      </c>
      <c r="AA702" t="s">
        <v>4727</v>
      </c>
      <c r="AB702" s="17"/>
    </row>
    <row r="703" spans="1:28">
      <c r="A703" s="16" t="s">
        <v>9232</v>
      </c>
      <c r="B703" s="16" t="s">
        <v>9232</v>
      </c>
      <c r="C703" s="16" t="s">
        <v>9233</v>
      </c>
      <c r="D703" s="16" t="s">
        <v>21</v>
      </c>
      <c r="E703" s="16">
        <v>1210</v>
      </c>
      <c r="F703" s="16" t="s">
        <v>23</v>
      </c>
      <c r="G703" s="17" t="str">
        <f>Config!$B$3</f>
        <v>SCH/R_IEC.SchLib</v>
      </c>
      <c r="H703" s="16" t="s">
        <v>419</v>
      </c>
      <c r="I703" s="18" t="s">
        <v>461</v>
      </c>
      <c r="J703" s="17" t="s">
        <v>12538</v>
      </c>
      <c r="K703" s="17"/>
      <c r="L703" s="17"/>
      <c r="M703" s="19">
        <v>0</v>
      </c>
      <c r="N703" s="17" t="s">
        <v>14077</v>
      </c>
      <c r="O703" s="17" t="s">
        <v>477</v>
      </c>
      <c r="P703" s="17" t="s">
        <v>12551</v>
      </c>
      <c r="Q703" s="16" t="s">
        <v>25</v>
      </c>
      <c r="R703" s="17" t="s">
        <v>12552</v>
      </c>
      <c r="S703" s="16"/>
      <c r="T703" s="17"/>
      <c r="U703" s="16"/>
      <c r="V703" s="16"/>
      <c r="W703" s="17"/>
      <c r="X703" s="17"/>
      <c r="Y703" s="16"/>
      <c r="Z703" s="17"/>
      <c r="AA703" s="17"/>
      <c r="AB703" s="17"/>
    </row>
    <row r="704" spans="1:28">
      <c r="A704" s="17" t="s">
        <v>9234</v>
      </c>
      <c r="B704" s="17" t="s">
        <v>9234</v>
      </c>
      <c r="C704" s="17" t="s">
        <v>9235</v>
      </c>
      <c r="D704" s="17" t="s">
        <v>21</v>
      </c>
      <c r="E704" s="24">
        <v>1210</v>
      </c>
      <c r="F704" s="17" t="s">
        <v>29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9236</v>
      </c>
      <c r="B705" s="17" t="s">
        <v>9236</v>
      </c>
      <c r="C705" s="17" t="s">
        <v>9237</v>
      </c>
      <c r="D705" s="17" t="s">
        <v>21</v>
      </c>
      <c r="E705" s="24">
        <v>1210</v>
      </c>
      <c r="F705" s="17" t="s">
        <v>1042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1.1000000000000001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9238</v>
      </c>
      <c r="B706" s="17" t="s">
        <v>9238</v>
      </c>
      <c r="C706" s="17" t="s">
        <v>9239</v>
      </c>
      <c r="D706" s="17" t="s">
        <v>21</v>
      </c>
      <c r="E706" s="24">
        <v>1210</v>
      </c>
      <c r="F706" s="17" t="s">
        <v>31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1.2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9240</v>
      </c>
      <c r="B707" s="17" t="s">
        <v>9240</v>
      </c>
      <c r="C707" s="17" t="s">
        <v>9241</v>
      </c>
      <c r="D707" s="17" t="s">
        <v>21</v>
      </c>
      <c r="E707" s="24">
        <v>1210</v>
      </c>
      <c r="F707" s="17" t="s">
        <v>1052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1.3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9242</v>
      </c>
      <c r="B708" s="17" t="s">
        <v>9242</v>
      </c>
      <c r="C708" s="17" t="s">
        <v>9243</v>
      </c>
      <c r="D708" s="17" t="s">
        <v>21</v>
      </c>
      <c r="E708" s="24">
        <v>1210</v>
      </c>
      <c r="F708" s="17" t="s">
        <v>33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1.5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9244</v>
      </c>
      <c r="B709" s="17" t="s">
        <v>9244</v>
      </c>
      <c r="C709" s="17" t="s">
        <v>9245</v>
      </c>
      <c r="D709" s="17" t="s">
        <v>21</v>
      </c>
      <c r="E709" s="24">
        <v>1210</v>
      </c>
      <c r="F709" s="17" t="s">
        <v>1062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1.6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9246</v>
      </c>
      <c r="B710" s="17" t="s">
        <v>9246</v>
      </c>
      <c r="C710" s="17" t="s">
        <v>9247</v>
      </c>
      <c r="D710" s="17" t="s">
        <v>21</v>
      </c>
      <c r="E710" s="24">
        <v>1210</v>
      </c>
      <c r="F710" s="17" t="s">
        <v>35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1.8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9248</v>
      </c>
      <c r="B711" s="17" t="s">
        <v>9248</v>
      </c>
      <c r="C711" s="17" t="s">
        <v>9249</v>
      </c>
      <c r="D711" s="17" t="s">
        <v>21</v>
      </c>
      <c r="E711" s="24">
        <v>1210</v>
      </c>
      <c r="F711" s="17" t="s">
        <v>1070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9250</v>
      </c>
      <c r="B712" s="17" t="s">
        <v>9250</v>
      </c>
      <c r="C712" s="17" t="s">
        <v>9251</v>
      </c>
      <c r="D712" s="17" t="s">
        <v>21</v>
      </c>
      <c r="E712" s="24">
        <v>1210</v>
      </c>
      <c r="F712" s="17" t="s">
        <v>37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2.2000000000000002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9252</v>
      </c>
      <c r="B713" s="17" t="s">
        <v>9252</v>
      </c>
      <c r="C713" s="17" t="s">
        <v>9253</v>
      </c>
      <c r="D713" s="17" t="s">
        <v>21</v>
      </c>
      <c r="E713" s="24">
        <v>1210</v>
      </c>
      <c r="F713" s="17" t="s">
        <v>1080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2.4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9254</v>
      </c>
      <c r="B714" s="17" t="s">
        <v>9254</v>
      </c>
      <c r="C714" s="17" t="s">
        <v>9255</v>
      </c>
      <c r="D714" s="17" t="s">
        <v>21</v>
      </c>
      <c r="E714" s="24">
        <v>1210</v>
      </c>
      <c r="F714" s="17" t="s">
        <v>39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2.7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9256</v>
      </c>
      <c r="B715" s="17" t="s">
        <v>9256</v>
      </c>
      <c r="C715" s="17" t="s">
        <v>9257</v>
      </c>
      <c r="D715" s="17" t="s">
        <v>21</v>
      </c>
      <c r="E715" s="24">
        <v>1210</v>
      </c>
      <c r="F715" s="17" t="s">
        <v>1088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9258</v>
      </c>
      <c r="B716" s="17" t="s">
        <v>9258</v>
      </c>
      <c r="C716" s="17" t="s">
        <v>9259</v>
      </c>
      <c r="D716" s="17" t="s">
        <v>21</v>
      </c>
      <c r="E716" s="24">
        <v>1210</v>
      </c>
      <c r="F716" s="17" t="s">
        <v>41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3.3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9260</v>
      </c>
      <c r="B717" s="17" t="s">
        <v>9260</v>
      </c>
      <c r="C717" s="17" t="s">
        <v>9261</v>
      </c>
      <c r="D717" s="17" t="s">
        <v>21</v>
      </c>
      <c r="E717" s="24">
        <v>1210</v>
      </c>
      <c r="F717" s="17" t="s">
        <v>1098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3.6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9262</v>
      </c>
      <c r="B718" s="17" t="s">
        <v>9262</v>
      </c>
      <c r="C718" s="17" t="s">
        <v>9263</v>
      </c>
      <c r="D718" s="17" t="s">
        <v>21</v>
      </c>
      <c r="E718" s="24">
        <v>1210</v>
      </c>
      <c r="F718" s="17" t="s">
        <v>43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3.9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9264</v>
      </c>
      <c r="B719" s="17" t="s">
        <v>9264</v>
      </c>
      <c r="C719" s="17" t="s">
        <v>9265</v>
      </c>
      <c r="D719" s="17" t="s">
        <v>21</v>
      </c>
      <c r="E719" s="24">
        <v>1210</v>
      </c>
      <c r="F719" s="17" t="s">
        <v>1106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4.3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9266</v>
      </c>
      <c r="B720" s="17" t="s">
        <v>9266</v>
      </c>
      <c r="C720" s="17" t="s">
        <v>9267</v>
      </c>
      <c r="D720" s="17" t="s">
        <v>21</v>
      </c>
      <c r="E720" s="24">
        <v>1210</v>
      </c>
      <c r="F720" s="17" t="s">
        <v>45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4.7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9268</v>
      </c>
      <c r="B721" s="17" t="s">
        <v>9268</v>
      </c>
      <c r="C721" s="17" t="s">
        <v>9269</v>
      </c>
      <c r="D721" s="17" t="s">
        <v>21</v>
      </c>
      <c r="E721" s="24">
        <v>1210</v>
      </c>
      <c r="F721" s="17" t="s">
        <v>1116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5.0999999999999996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9270</v>
      </c>
      <c r="B722" s="17" t="s">
        <v>9270</v>
      </c>
      <c r="C722" s="17" t="s">
        <v>9271</v>
      </c>
      <c r="D722" s="17" t="s">
        <v>21</v>
      </c>
      <c r="E722" s="24">
        <v>1210</v>
      </c>
      <c r="F722" s="17" t="s">
        <v>47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5.6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9272</v>
      </c>
      <c r="B723" s="17" t="s">
        <v>9272</v>
      </c>
      <c r="C723" s="17" t="s">
        <v>9273</v>
      </c>
      <c r="D723" s="17" t="s">
        <v>21</v>
      </c>
      <c r="E723" s="24">
        <v>1210</v>
      </c>
      <c r="F723" s="17" t="s">
        <v>1128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6.2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9274</v>
      </c>
      <c r="B724" s="17" t="s">
        <v>9274</v>
      </c>
      <c r="C724" s="17" t="s">
        <v>9275</v>
      </c>
      <c r="D724" s="17" t="s">
        <v>21</v>
      </c>
      <c r="E724" s="24">
        <v>1210</v>
      </c>
      <c r="F724" s="17" t="s">
        <v>49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6.8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9276</v>
      </c>
      <c r="B725" s="17" t="s">
        <v>9276</v>
      </c>
      <c r="C725" s="17" t="s">
        <v>9277</v>
      </c>
      <c r="D725" s="17" t="s">
        <v>21</v>
      </c>
      <c r="E725" s="24">
        <v>1210</v>
      </c>
      <c r="F725" s="17" t="s">
        <v>1138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7.5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9278</v>
      </c>
      <c r="B726" s="17" t="s">
        <v>9278</v>
      </c>
      <c r="C726" s="17" t="s">
        <v>9279</v>
      </c>
      <c r="D726" s="17" t="s">
        <v>21</v>
      </c>
      <c r="E726" s="24">
        <v>1210</v>
      </c>
      <c r="F726" s="17" t="s">
        <v>51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8.1999999999999993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9280</v>
      </c>
      <c r="B727" s="17" t="s">
        <v>9280</v>
      </c>
      <c r="C727" s="17" t="s">
        <v>9281</v>
      </c>
      <c r="D727" s="17" t="s">
        <v>21</v>
      </c>
      <c r="E727" s="24">
        <v>1210</v>
      </c>
      <c r="F727" s="17" t="s">
        <v>1148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17">
        <v>9.1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 ht="15.75">
      <c r="A728" s="17" t="s">
        <v>9282</v>
      </c>
      <c r="B728" s="17" t="s">
        <v>9282</v>
      </c>
      <c r="C728" s="17" t="s">
        <v>9283</v>
      </c>
      <c r="D728" s="17" t="s">
        <v>21</v>
      </c>
      <c r="E728" s="24">
        <v>1210</v>
      </c>
      <c r="F728" s="17" t="s">
        <v>53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10</v>
      </c>
      <c r="N728" s="17" t="s">
        <v>14077</v>
      </c>
      <c r="O728" s="17" t="s">
        <v>477</v>
      </c>
      <c r="P728" s="17" t="s">
        <v>12549</v>
      </c>
      <c r="Q728" t="s">
        <v>25</v>
      </c>
      <c r="R728" s="17" t="s">
        <v>12550</v>
      </c>
      <c r="S728" s="17"/>
      <c r="T728" s="17"/>
      <c r="U728" s="17"/>
      <c r="V728" s="17"/>
      <c r="W728" s="8" t="s">
        <v>6382</v>
      </c>
      <c r="X728" s="8" t="s">
        <v>13547</v>
      </c>
      <c r="Y728" s="8" t="s">
        <v>4559</v>
      </c>
      <c r="Z728" s="8" t="s">
        <v>13548</v>
      </c>
      <c r="AA728" s="17"/>
      <c r="AB728" s="17"/>
    </row>
    <row r="729" spans="1:28">
      <c r="A729" s="17" t="s">
        <v>9284</v>
      </c>
      <c r="B729" s="17" t="s">
        <v>9284</v>
      </c>
      <c r="C729" s="17" t="s">
        <v>9285</v>
      </c>
      <c r="D729" s="17" t="s">
        <v>21</v>
      </c>
      <c r="E729" s="24">
        <v>1210</v>
      </c>
      <c r="F729" s="17" t="s">
        <v>57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11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9286</v>
      </c>
      <c r="B730" s="17" t="s">
        <v>9286</v>
      </c>
      <c r="C730" s="17" t="s">
        <v>9287</v>
      </c>
      <c r="D730" s="17" t="s">
        <v>21</v>
      </c>
      <c r="E730" s="24">
        <v>1210</v>
      </c>
      <c r="F730" s="17" t="s">
        <v>59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12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9288</v>
      </c>
      <c r="B731" s="17" t="s">
        <v>9288</v>
      </c>
      <c r="C731" s="17" t="s">
        <v>9289</v>
      </c>
      <c r="D731" s="17" t="s">
        <v>21</v>
      </c>
      <c r="E731" s="24">
        <v>1210</v>
      </c>
      <c r="F731" s="17" t="s">
        <v>61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13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9290</v>
      </c>
      <c r="B732" s="17" t="s">
        <v>9290</v>
      </c>
      <c r="C732" s="17" t="s">
        <v>9291</v>
      </c>
      <c r="D732" s="17" t="s">
        <v>21</v>
      </c>
      <c r="E732" s="24">
        <v>1210</v>
      </c>
      <c r="F732" s="17" t="s">
        <v>63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15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9292</v>
      </c>
      <c r="B733" s="17" t="s">
        <v>9292</v>
      </c>
      <c r="C733" s="17" t="s">
        <v>9293</v>
      </c>
      <c r="D733" s="17" t="s">
        <v>21</v>
      </c>
      <c r="E733" s="24">
        <v>1210</v>
      </c>
      <c r="F733" s="17" t="s">
        <v>65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16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9294</v>
      </c>
      <c r="B734" s="17" t="s">
        <v>9294</v>
      </c>
      <c r="C734" s="17" t="s">
        <v>9295</v>
      </c>
      <c r="D734" s="17" t="s">
        <v>21</v>
      </c>
      <c r="E734" s="24">
        <v>1210</v>
      </c>
      <c r="F734" s="17" t="s">
        <v>67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18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9296</v>
      </c>
      <c r="B735" s="17" t="s">
        <v>9296</v>
      </c>
      <c r="C735" s="17" t="s">
        <v>9297</v>
      </c>
      <c r="D735" s="17" t="s">
        <v>21</v>
      </c>
      <c r="E735" s="24">
        <v>1210</v>
      </c>
      <c r="F735" s="17" t="s">
        <v>69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9298</v>
      </c>
      <c r="B736" s="17" t="s">
        <v>9298</v>
      </c>
      <c r="C736" s="17" t="s">
        <v>9299</v>
      </c>
      <c r="D736" s="17" t="s">
        <v>21</v>
      </c>
      <c r="E736" s="24">
        <v>1210</v>
      </c>
      <c r="F736" s="17" t="s">
        <v>71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22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9300</v>
      </c>
      <c r="B737" s="17" t="s">
        <v>9300</v>
      </c>
      <c r="C737" s="17" t="s">
        <v>9301</v>
      </c>
      <c r="D737" s="17" t="s">
        <v>21</v>
      </c>
      <c r="E737" s="24">
        <v>1210</v>
      </c>
      <c r="F737" s="17" t="s">
        <v>75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24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9302</v>
      </c>
      <c r="B738" s="17" t="s">
        <v>9302</v>
      </c>
      <c r="C738" s="17" t="s">
        <v>9303</v>
      </c>
      <c r="D738" s="17" t="s">
        <v>21</v>
      </c>
      <c r="E738" s="24">
        <v>1210</v>
      </c>
      <c r="F738" s="17" t="s">
        <v>77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27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9304</v>
      </c>
      <c r="B739" s="17" t="s">
        <v>9304</v>
      </c>
      <c r="C739" s="17" t="s">
        <v>9305</v>
      </c>
      <c r="D739" s="17" t="s">
        <v>21</v>
      </c>
      <c r="E739" s="24">
        <v>1210</v>
      </c>
      <c r="F739" s="17" t="s">
        <v>79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9306</v>
      </c>
      <c r="B740" s="17" t="s">
        <v>9306</v>
      </c>
      <c r="C740" s="17" t="s">
        <v>9307</v>
      </c>
      <c r="D740" s="17" t="s">
        <v>21</v>
      </c>
      <c r="E740" s="24">
        <v>1210</v>
      </c>
      <c r="F740" s="17" t="s">
        <v>81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33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9308</v>
      </c>
      <c r="B741" s="17" t="s">
        <v>9308</v>
      </c>
      <c r="C741" s="17" t="s">
        <v>9309</v>
      </c>
      <c r="D741" s="17" t="s">
        <v>21</v>
      </c>
      <c r="E741" s="24">
        <v>1210</v>
      </c>
      <c r="F741" s="17" t="s">
        <v>83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36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9310</v>
      </c>
      <c r="B742" s="17" t="s">
        <v>9310</v>
      </c>
      <c r="C742" s="17" t="s">
        <v>9311</v>
      </c>
      <c r="D742" s="17" t="s">
        <v>21</v>
      </c>
      <c r="E742" s="24">
        <v>1210</v>
      </c>
      <c r="F742" s="17" t="s">
        <v>85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39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9312</v>
      </c>
      <c r="B743" s="17" t="s">
        <v>9312</v>
      </c>
      <c r="C743" s="17" t="s">
        <v>9313</v>
      </c>
      <c r="D743" s="17" t="s">
        <v>21</v>
      </c>
      <c r="E743" s="24">
        <v>1210</v>
      </c>
      <c r="F743" s="17" t="s">
        <v>87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43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9314</v>
      </c>
      <c r="B744" s="17" t="s">
        <v>9314</v>
      </c>
      <c r="C744" s="17" t="s">
        <v>9315</v>
      </c>
      <c r="D744" s="17" t="s">
        <v>21</v>
      </c>
      <c r="E744" s="24">
        <v>1210</v>
      </c>
      <c r="F744" s="17" t="s">
        <v>89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47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9316</v>
      </c>
      <c r="B745" s="17" t="s">
        <v>9316</v>
      </c>
      <c r="C745" s="17" t="s">
        <v>9317</v>
      </c>
      <c r="D745" s="17" t="s">
        <v>21</v>
      </c>
      <c r="E745" s="24">
        <v>1210</v>
      </c>
      <c r="F745" s="17" t="s">
        <v>91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51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9318</v>
      </c>
      <c r="B746" s="17" t="s">
        <v>9318</v>
      </c>
      <c r="C746" s="17" t="s">
        <v>9319</v>
      </c>
      <c r="D746" s="17" t="s">
        <v>21</v>
      </c>
      <c r="E746" s="24">
        <v>1210</v>
      </c>
      <c r="F746" s="17" t="s">
        <v>93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56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9320</v>
      </c>
      <c r="B747" s="17" t="s">
        <v>9320</v>
      </c>
      <c r="C747" s="17" t="s">
        <v>9321</v>
      </c>
      <c r="D747" s="17" t="s">
        <v>21</v>
      </c>
      <c r="E747" s="24">
        <v>1210</v>
      </c>
      <c r="F747" s="17" t="s">
        <v>95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62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9322</v>
      </c>
      <c r="B748" s="17" t="s">
        <v>9322</v>
      </c>
      <c r="C748" s="17" t="s">
        <v>9323</v>
      </c>
      <c r="D748" s="17" t="s">
        <v>21</v>
      </c>
      <c r="E748" s="24">
        <v>1210</v>
      </c>
      <c r="F748" s="17" t="s">
        <v>97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68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9324</v>
      </c>
      <c r="B749" s="17" t="s">
        <v>9324</v>
      </c>
      <c r="C749" s="17" t="s">
        <v>9325</v>
      </c>
      <c r="D749" s="17" t="s">
        <v>21</v>
      </c>
      <c r="E749" s="24">
        <v>1210</v>
      </c>
      <c r="F749" s="17" t="s">
        <v>99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75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9326</v>
      </c>
      <c r="B750" s="17" t="s">
        <v>9326</v>
      </c>
      <c r="C750" s="17" t="s">
        <v>9327</v>
      </c>
      <c r="D750" s="17" t="s">
        <v>21</v>
      </c>
      <c r="E750" s="24">
        <v>1210</v>
      </c>
      <c r="F750" s="17" t="s">
        <v>101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82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9328</v>
      </c>
      <c r="B751" s="17" t="s">
        <v>9328</v>
      </c>
      <c r="C751" s="17" t="s">
        <v>9329</v>
      </c>
      <c r="D751" s="17" t="s">
        <v>21</v>
      </c>
      <c r="E751" s="24">
        <v>1210</v>
      </c>
      <c r="F751" s="17" t="s">
        <v>103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91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9330</v>
      </c>
      <c r="B752" s="17" t="s">
        <v>9330</v>
      </c>
      <c r="C752" s="17" t="s">
        <v>9331</v>
      </c>
      <c r="D752" s="17" t="s">
        <v>21</v>
      </c>
      <c r="E752" s="24">
        <v>1210</v>
      </c>
      <c r="F752" s="17" t="s">
        <v>105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100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9332</v>
      </c>
      <c r="B753" s="17" t="s">
        <v>9332</v>
      </c>
      <c r="C753" s="17" t="s">
        <v>9333</v>
      </c>
      <c r="D753" s="17" t="s">
        <v>21</v>
      </c>
      <c r="E753" s="24">
        <v>1210</v>
      </c>
      <c r="F753" s="17" t="s">
        <v>109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110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9334</v>
      </c>
      <c r="B754" s="17" t="s">
        <v>9334</v>
      </c>
      <c r="C754" s="17" t="s">
        <v>9335</v>
      </c>
      <c r="D754" s="17" t="s">
        <v>21</v>
      </c>
      <c r="E754" s="24">
        <v>1210</v>
      </c>
      <c r="F754" s="17" t="s">
        <v>111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120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9336</v>
      </c>
      <c r="B755" s="17" t="s">
        <v>9336</v>
      </c>
      <c r="C755" s="17" t="s">
        <v>9337</v>
      </c>
      <c r="D755" s="17" t="s">
        <v>21</v>
      </c>
      <c r="E755" s="24">
        <v>1210</v>
      </c>
      <c r="F755" s="17" t="s">
        <v>113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130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9338</v>
      </c>
      <c r="B756" s="17" t="s">
        <v>9338</v>
      </c>
      <c r="C756" s="17" t="s">
        <v>9339</v>
      </c>
      <c r="D756" s="17" t="s">
        <v>21</v>
      </c>
      <c r="E756" s="24">
        <v>1210</v>
      </c>
      <c r="F756" s="17" t="s">
        <v>115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150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9340</v>
      </c>
      <c r="B757" s="17" t="s">
        <v>9340</v>
      </c>
      <c r="C757" s="17" t="s">
        <v>9341</v>
      </c>
      <c r="D757" s="17" t="s">
        <v>21</v>
      </c>
      <c r="E757" s="24">
        <v>1210</v>
      </c>
      <c r="F757" s="17" t="s">
        <v>117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160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9342</v>
      </c>
      <c r="B758" s="17" t="s">
        <v>9342</v>
      </c>
      <c r="C758" s="17" t="s">
        <v>9343</v>
      </c>
      <c r="D758" s="17" t="s">
        <v>21</v>
      </c>
      <c r="E758" s="24">
        <v>1210</v>
      </c>
      <c r="F758" s="17" t="s">
        <v>119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180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9344</v>
      </c>
      <c r="B759" s="17" t="s">
        <v>9344</v>
      </c>
      <c r="C759" s="17" t="s">
        <v>9345</v>
      </c>
      <c r="D759" s="17" t="s">
        <v>21</v>
      </c>
      <c r="E759" s="24">
        <v>1210</v>
      </c>
      <c r="F759" s="17" t="s">
        <v>123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9346</v>
      </c>
      <c r="B760" s="17" t="s">
        <v>9346</v>
      </c>
      <c r="C760" s="17" t="s">
        <v>9347</v>
      </c>
      <c r="D760" s="17" t="s">
        <v>21</v>
      </c>
      <c r="E760" s="24">
        <v>1210</v>
      </c>
      <c r="F760" s="17" t="s">
        <v>125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220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9348</v>
      </c>
      <c r="B761" s="17" t="s">
        <v>9348</v>
      </c>
      <c r="C761" s="17" t="s">
        <v>9349</v>
      </c>
      <c r="D761" s="17" t="s">
        <v>21</v>
      </c>
      <c r="E761" s="24">
        <v>1210</v>
      </c>
      <c r="F761" s="17" t="s">
        <v>129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240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9350</v>
      </c>
      <c r="B762" s="17" t="s">
        <v>9350</v>
      </c>
      <c r="C762" s="17" t="s">
        <v>9351</v>
      </c>
      <c r="D762" s="17" t="s">
        <v>21</v>
      </c>
      <c r="E762" s="24">
        <v>1210</v>
      </c>
      <c r="F762" s="17" t="s">
        <v>131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270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9352</v>
      </c>
      <c r="B763" s="17" t="s">
        <v>9352</v>
      </c>
      <c r="C763" s="17" t="s">
        <v>9353</v>
      </c>
      <c r="D763" s="17" t="s">
        <v>21</v>
      </c>
      <c r="E763" s="24">
        <v>1210</v>
      </c>
      <c r="F763" s="17" t="s">
        <v>133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9354</v>
      </c>
      <c r="B764" s="17" t="s">
        <v>9354</v>
      </c>
      <c r="C764" s="17" t="s">
        <v>9355</v>
      </c>
      <c r="D764" s="17" t="s">
        <v>21</v>
      </c>
      <c r="E764" s="24">
        <v>1210</v>
      </c>
      <c r="F764" s="17" t="s">
        <v>137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330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9356</v>
      </c>
      <c r="B765" s="17" t="s">
        <v>9356</v>
      </c>
      <c r="C765" s="17" t="s">
        <v>9357</v>
      </c>
      <c r="D765" s="17" t="s">
        <v>21</v>
      </c>
      <c r="E765" s="24">
        <v>1210</v>
      </c>
      <c r="F765" s="17" t="s">
        <v>139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360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9358</v>
      </c>
      <c r="B766" s="17" t="s">
        <v>9358</v>
      </c>
      <c r="C766" s="17" t="s">
        <v>9359</v>
      </c>
      <c r="D766" s="17" t="s">
        <v>21</v>
      </c>
      <c r="E766" s="24">
        <v>1210</v>
      </c>
      <c r="F766" s="17" t="s">
        <v>141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390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9360</v>
      </c>
      <c r="B767" s="17" t="s">
        <v>9360</v>
      </c>
      <c r="C767" s="17" t="s">
        <v>9361</v>
      </c>
      <c r="D767" s="17" t="s">
        <v>21</v>
      </c>
      <c r="E767" s="24">
        <v>1210</v>
      </c>
      <c r="F767" s="17" t="s">
        <v>143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430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9362</v>
      </c>
      <c r="B768" s="17" t="s">
        <v>9362</v>
      </c>
      <c r="C768" s="17" t="s">
        <v>9363</v>
      </c>
      <c r="D768" s="17" t="s">
        <v>21</v>
      </c>
      <c r="E768" s="24">
        <v>1210</v>
      </c>
      <c r="F768" s="17" t="s">
        <v>145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470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9364</v>
      </c>
      <c r="B769" s="17" t="s">
        <v>9364</v>
      </c>
      <c r="C769" s="17" t="s">
        <v>9365</v>
      </c>
      <c r="D769" s="17" t="s">
        <v>21</v>
      </c>
      <c r="E769" s="24">
        <v>1210</v>
      </c>
      <c r="F769" s="17" t="s">
        <v>149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510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9366</v>
      </c>
      <c r="B770" s="17" t="s">
        <v>9366</v>
      </c>
      <c r="C770" s="17" t="s">
        <v>9367</v>
      </c>
      <c r="D770" s="17" t="s">
        <v>21</v>
      </c>
      <c r="E770" s="24">
        <v>1210</v>
      </c>
      <c r="F770" s="17" t="s">
        <v>151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560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9368</v>
      </c>
      <c r="B771" s="17" t="s">
        <v>9368</v>
      </c>
      <c r="C771" s="17" t="s">
        <v>9369</v>
      </c>
      <c r="D771" s="17" t="s">
        <v>21</v>
      </c>
      <c r="E771" s="24">
        <v>1210</v>
      </c>
      <c r="F771" s="17" t="s">
        <v>153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620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9370</v>
      </c>
      <c r="B772" s="17" t="s">
        <v>9370</v>
      </c>
      <c r="C772" s="17" t="s">
        <v>9371</v>
      </c>
      <c r="D772" s="17" t="s">
        <v>21</v>
      </c>
      <c r="E772" s="24">
        <v>1210</v>
      </c>
      <c r="F772" s="17" t="s">
        <v>155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680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9372</v>
      </c>
      <c r="B773" s="17" t="s">
        <v>9372</v>
      </c>
      <c r="C773" s="17" t="s">
        <v>9373</v>
      </c>
      <c r="D773" s="17" t="s">
        <v>21</v>
      </c>
      <c r="E773" s="24">
        <v>1210</v>
      </c>
      <c r="F773" s="17" t="s">
        <v>157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750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9374</v>
      </c>
      <c r="B774" s="17" t="s">
        <v>9374</v>
      </c>
      <c r="C774" s="17" t="s">
        <v>9375</v>
      </c>
      <c r="D774" s="17" t="s">
        <v>21</v>
      </c>
      <c r="E774" s="24">
        <v>1210</v>
      </c>
      <c r="F774" s="17" t="s">
        <v>159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820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9376</v>
      </c>
      <c r="B775" s="17" t="s">
        <v>9376</v>
      </c>
      <c r="C775" s="17" t="s">
        <v>9377</v>
      </c>
      <c r="D775" s="17" t="s">
        <v>21</v>
      </c>
      <c r="E775" s="24">
        <v>1210</v>
      </c>
      <c r="F775" s="17" t="s">
        <v>161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910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 ht="15.75">
      <c r="A776" s="17" t="s">
        <v>9378</v>
      </c>
      <c r="B776" s="17" t="s">
        <v>9378</v>
      </c>
      <c r="C776" s="17" t="s">
        <v>9379</v>
      </c>
      <c r="D776" s="17" t="s">
        <v>21</v>
      </c>
      <c r="E776" s="24">
        <v>1210</v>
      </c>
      <c r="F776" s="17" t="s">
        <v>163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1000</v>
      </c>
      <c r="N776" s="17" t="s">
        <v>14077</v>
      </c>
      <c r="O776" s="17" t="s">
        <v>477</v>
      </c>
      <c r="P776" s="17" t="s">
        <v>12547</v>
      </c>
      <c r="Q776" t="s">
        <v>25</v>
      </c>
      <c r="R776" s="17" t="s">
        <v>12548</v>
      </c>
      <c r="S776" s="17"/>
      <c r="T776" s="17"/>
      <c r="U776" s="17"/>
      <c r="V776" s="17"/>
      <c r="W776" s="8" t="s">
        <v>477</v>
      </c>
      <c r="X776" s="42" t="s">
        <v>12547</v>
      </c>
      <c r="Y776" s="17" t="s">
        <v>4559</v>
      </c>
      <c r="Z776" s="8" t="s">
        <v>13551</v>
      </c>
      <c r="AA776" s="17"/>
      <c r="AB776" s="17"/>
    </row>
    <row r="777" spans="1:28">
      <c r="A777" s="17" t="s">
        <v>9380</v>
      </c>
      <c r="B777" s="17" t="s">
        <v>9380</v>
      </c>
      <c r="C777" s="17" t="s">
        <v>9381</v>
      </c>
      <c r="D777" s="17" t="s">
        <v>21</v>
      </c>
      <c r="E777" s="24">
        <v>1210</v>
      </c>
      <c r="F777" s="17" t="s">
        <v>165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1100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9382</v>
      </c>
      <c r="B778" s="17" t="s">
        <v>9382</v>
      </c>
      <c r="C778" s="17" t="s">
        <v>9383</v>
      </c>
      <c r="D778" s="17" t="s">
        <v>21</v>
      </c>
      <c r="E778" s="24">
        <v>1210</v>
      </c>
      <c r="F778" s="17" t="s">
        <v>167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1200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9384</v>
      </c>
      <c r="B779" s="17" t="s">
        <v>9384</v>
      </c>
      <c r="C779" s="17" t="s">
        <v>9385</v>
      </c>
      <c r="D779" s="17" t="s">
        <v>21</v>
      </c>
      <c r="E779" s="24">
        <v>1210</v>
      </c>
      <c r="F779" s="17" t="s">
        <v>169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1300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9386</v>
      </c>
      <c r="B780" s="17" t="s">
        <v>9386</v>
      </c>
      <c r="C780" s="17" t="s">
        <v>9387</v>
      </c>
      <c r="D780" s="17" t="s">
        <v>21</v>
      </c>
      <c r="E780" s="24">
        <v>1210</v>
      </c>
      <c r="F780" s="17" t="s">
        <v>171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1500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9388</v>
      </c>
      <c r="B781" s="17" t="s">
        <v>9388</v>
      </c>
      <c r="C781" s="17" t="s">
        <v>9389</v>
      </c>
      <c r="D781" s="17" t="s">
        <v>21</v>
      </c>
      <c r="E781" s="24">
        <v>1210</v>
      </c>
      <c r="F781" s="17" t="s">
        <v>175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1600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9390</v>
      </c>
      <c r="B782" s="17" t="s">
        <v>9390</v>
      </c>
      <c r="C782" s="17" t="s">
        <v>9391</v>
      </c>
      <c r="D782" s="17" t="s">
        <v>21</v>
      </c>
      <c r="E782" s="24">
        <v>1210</v>
      </c>
      <c r="F782" s="17" t="s">
        <v>181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1800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9392</v>
      </c>
      <c r="B783" s="17" t="s">
        <v>9392</v>
      </c>
      <c r="C783" s="17" t="s">
        <v>9393</v>
      </c>
      <c r="D783" s="17" t="s">
        <v>21</v>
      </c>
      <c r="E783" s="24">
        <v>1210</v>
      </c>
      <c r="F783" s="17" t="s">
        <v>183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9394</v>
      </c>
      <c r="B784" s="17" t="s">
        <v>9394</v>
      </c>
      <c r="C784" s="17" t="s">
        <v>9395</v>
      </c>
      <c r="D784" s="17" t="s">
        <v>21</v>
      </c>
      <c r="E784" s="24">
        <v>1210</v>
      </c>
      <c r="F784" s="17" t="s">
        <v>187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2200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9396</v>
      </c>
      <c r="B785" s="17" t="s">
        <v>9396</v>
      </c>
      <c r="C785" s="17" t="s">
        <v>9397</v>
      </c>
      <c r="D785" s="17" t="s">
        <v>21</v>
      </c>
      <c r="E785" s="24">
        <v>1210</v>
      </c>
      <c r="F785" s="17" t="s">
        <v>191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2400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9398</v>
      </c>
      <c r="B786" s="17" t="s">
        <v>9398</v>
      </c>
      <c r="C786" s="17" t="s">
        <v>9399</v>
      </c>
      <c r="D786" s="17" t="s">
        <v>21</v>
      </c>
      <c r="E786" s="24">
        <v>1210</v>
      </c>
      <c r="F786" s="17" t="s">
        <v>193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2700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9400</v>
      </c>
      <c r="B787" s="17" t="s">
        <v>9400</v>
      </c>
      <c r="C787" s="17" t="s">
        <v>9401</v>
      </c>
      <c r="D787" s="17" t="s">
        <v>21</v>
      </c>
      <c r="E787" s="24">
        <v>1210</v>
      </c>
      <c r="F787" s="17" t="s">
        <v>197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9402</v>
      </c>
      <c r="B788" s="17" t="s">
        <v>9402</v>
      </c>
      <c r="C788" s="17" t="s">
        <v>9403</v>
      </c>
      <c r="D788" s="17" t="s">
        <v>21</v>
      </c>
      <c r="E788" s="24">
        <v>1210</v>
      </c>
      <c r="F788" s="17" t="s">
        <v>201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3300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9404</v>
      </c>
      <c r="B789" s="17" t="s">
        <v>9404</v>
      </c>
      <c r="C789" s="17" t="s">
        <v>9405</v>
      </c>
      <c r="D789" s="17" t="s">
        <v>21</v>
      </c>
      <c r="E789" s="24">
        <v>1210</v>
      </c>
      <c r="F789" s="17" t="s">
        <v>203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3600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9406</v>
      </c>
      <c r="B790" s="17" t="s">
        <v>9406</v>
      </c>
      <c r="C790" s="17" t="s">
        <v>9407</v>
      </c>
      <c r="D790" s="17" t="s">
        <v>21</v>
      </c>
      <c r="E790" s="24">
        <v>1210</v>
      </c>
      <c r="F790" s="17" t="s">
        <v>205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3900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9408</v>
      </c>
      <c r="B791" s="17" t="s">
        <v>9408</v>
      </c>
      <c r="C791" s="17" t="s">
        <v>9409</v>
      </c>
      <c r="D791" s="17" t="s">
        <v>21</v>
      </c>
      <c r="E791" s="24">
        <v>1210</v>
      </c>
      <c r="F791" s="17" t="s">
        <v>207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4300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9410</v>
      </c>
      <c r="B792" s="17" t="s">
        <v>9410</v>
      </c>
      <c r="C792" s="17" t="s">
        <v>9411</v>
      </c>
      <c r="D792" s="17" t="s">
        <v>21</v>
      </c>
      <c r="E792" s="24">
        <v>1210</v>
      </c>
      <c r="F792" s="17" t="s">
        <v>209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4700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9412</v>
      </c>
      <c r="B793" s="17" t="s">
        <v>9412</v>
      </c>
      <c r="C793" s="17" t="s">
        <v>9413</v>
      </c>
      <c r="D793" s="17" t="s">
        <v>21</v>
      </c>
      <c r="E793" s="24">
        <v>1210</v>
      </c>
      <c r="F793" s="17" t="s">
        <v>213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5100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9414</v>
      </c>
      <c r="B794" s="17" t="s">
        <v>9414</v>
      </c>
      <c r="C794" s="17" t="s">
        <v>9415</v>
      </c>
      <c r="D794" s="17" t="s">
        <v>21</v>
      </c>
      <c r="E794" s="24">
        <v>1210</v>
      </c>
      <c r="F794" s="17" t="s">
        <v>215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5600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9416</v>
      </c>
      <c r="B795" s="17" t="s">
        <v>9416</v>
      </c>
      <c r="C795" s="17" t="s">
        <v>9417</v>
      </c>
      <c r="D795" s="17" t="s">
        <v>21</v>
      </c>
      <c r="E795" s="24">
        <v>1210</v>
      </c>
      <c r="F795" s="17" t="s">
        <v>217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6200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9418</v>
      </c>
      <c r="B796" s="17" t="s">
        <v>9418</v>
      </c>
      <c r="C796" s="17" t="s">
        <v>9419</v>
      </c>
      <c r="D796" s="17" t="s">
        <v>21</v>
      </c>
      <c r="E796" s="24">
        <v>1210</v>
      </c>
      <c r="F796" s="17" t="s">
        <v>219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6800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9420</v>
      </c>
      <c r="B797" s="17" t="s">
        <v>9420</v>
      </c>
      <c r="C797" s="17" t="s">
        <v>9421</v>
      </c>
      <c r="D797" s="17" t="s">
        <v>21</v>
      </c>
      <c r="E797" s="24">
        <v>1210</v>
      </c>
      <c r="F797" s="17" t="s">
        <v>221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7500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9422</v>
      </c>
      <c r="B798" s="17" t="s">
        <v>9422</v>
      </c>
      <c r="C798" s="17" t="s">
        <v>9423</v>
      </c>
      <c r="D798" s="17" t="s">
        <v>21</v>
      </c>
      <c r="E798" s="24">
        <v>1210</v>
      </c>
      <c r="F798" s="17" t="s">
        <v>223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8200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9424</v>
      </c>
      <c r="B799" s="17" t="s">
        <v>9424</v>
      </c>
      <c r="C799" s="17" t="s">
        <v>9425</v>
      </c>
      <c r="D799" s="17" t="s">
        <v>21</v>
      </c>
      <c r="E799" s="24">
        <v>1210</v>
      </c>
      <c r="F799" s="17" t="s">
        <v>225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9100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9426</v>
      </c>
      <c r="B800" s="17" t="s">
        <v>9426</v>
      </c>
      <c r="C800" s="17" t="s">
        <v>9427</v>
      </c>
      <c r="D800" s="17" t="s">
        <v>21</v>
      </c>
      <c r="E800" s="24">
        <v>1210</v>
      </c>
      <c r="F800" s="17" t="s">
        <v>229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10000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9428</v>
      </c>
      <c r="B801" s="17" t="s">
        <v>9428</v>
      </c>
      <c r="C801" s="17" t="s">
        <v>9429</v>
      </c>
      <c r="D801" s="17" t="s">
        <v>21</v>
      </c>
      <c r="E801" s="24">
        <v>1210</v>
      </c>
      <c r="F801" s="17" t="s">
        <v>233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11000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9430</v>
      </c>
      <c r="B802" s="17" t="s">
        <v>9430</v>
      </c>
      <c r="C802" s="17" t="s">
        <v>9431</v>
      </c>
      <c r="D802" s="17" t="s">
        <v>21</v>
      </c>
      <c r="E802" s="24">
        <v>1210</v>
      </c>
      <c r="F802" s="17" t="s">
        <v>235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12000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9432</v>
      </c>
      <c r="B803" s="17" t="s">
        <v>9432</v>
      </c>
      <c r="C803" s="17" t="s">
        <v>9433</v>
      </c>
      <c r="D803" s="17" t="s">
        <v>21</v>
      </c>
      <c r="E803" s="24">
        <v>1210</v>
      </c>
      <c r="F803" s="17" t="s">
        <v>239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13000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9434</v>
      </c>
      <c r="B804" s="17" t="s">
        <v>9434</v>
      </c>
      <c r="C804" s="17" t="s">
        <v>9435</v>
      </c>
      <c r="D804" s="17" t="s">
        <v>21</v>
      </c>
      <c r="E804" s="24">
        <v>1210</v>
      </c>
      <c r="F804" s="17" t="s">
        <v>243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15000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9436</v>
      </c>
      <c r="B805" s="17" t="s">
        <v>9436</v>
      </c>
      <c r="C805" s="17" t="s">
        <v>9437</v>
      </c>
      <c r="D805" s="17" t="s">
        <v>21</v>
      </c>
      <c r="E805" s="24">
        <v>1210</v>
      </c>
      <c r="F805" s="17" t="s">
        <v>247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16000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9438</v>
      </c>
      <c r="B806" s="17" t="s">
        <v>9438</v>
      </c>
      <c r="C806" s="17" t="s">
        <v>9439</v>
      </c>
      <c r="D806" s="17" t="s">
        <v>21</v>
      </c>
      <c r="E806" s="24">
        <v>1210</v>
      </c>
      <c r="F806" s="17" t="s">
        <v>251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18000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9440</v>
      </c>
      <c r="B807" s="17" t="s">
        <v>9440</v>
      </c>
      <c r="C807" s="17" t="s">
        <v>9441</v>
      </c>
      <c r="D807" s="17" t="s">
        <v>21</v>
      </c>
      <c r="E807" s="24">
        <v>1210</v>
      </c>
      <c r="F807" s="17" t="s">
        <v>255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9442</v>
      </c>
      <c r="B808" s="17" t="s">
        <v>9442</v>
      </c>
      <c r="C808" s="17" t="s">
        <v>9443</v>
      </c>
      <c r="D808" s="17" t="s">
        <v>21</v>
      </c>
      <c r="E808" s="24">
        <v>1210</v>
      </c>
      <c r="F808" s="17" t="s">
        <v>257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22000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9444</v>
      </c>
      <c r="B809" s="17" t="s">
        <v>9444</v>
      </c>
      <c r="C809" s="17" t="s">
        <v>9445</v>
      </c>
      <c r="D809" s="17" t="s">
        <v>21</v>
      </c>
      <c r="E809" s="24">
        <v>1210</v>
      </c>
      <c r="F809" s="17" t="s">
        <v>259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24000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9446</v>
      </c>
      <c r="B810" s="17" t="s">
        <v>9446</v>
      </c>
      <c r="C810" s="17" t="s">
        <v>9447</v>
      </c>
      <c r="D810" s="17" t="s">
        <v>21</v>
      </c>
      <c r="E810" s="24">
        <v>1210</v>
      </c>
      <c r="F810" s="17" t="s">
        <v>263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27000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9448</v>
      </c>
      <c r="B811" s="17" t="s">
        <v>9448</v>
      </c>
      <c r="C811" s="17" t="s">
        <v>9449</v>
      </c>
      <c r="D811" s="17" t="s">
        <v>21</v>
      </c>
      <c r="E811" s="24">
        <v>1210</v>
      </c>
      <c r="F811" s="17" t="s">
        <v>265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9450</v>
      </c>
      <c r="B812" s="17" t="s">
        <v>9450</v>
      </c>
      <c r="C812" s="17" t="s">
        <v>9451</v>
      </c>
      <c r="D812" s="17" t="s">
        <v>21</v>
      </c>
      <c r="E812" s="24">
        <v>1210</v>
      </c>
      <c r="F812" s="17" t="s">
        <v>267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33000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9452</v>
      </c>
      <c r="B813" s="17" t="s">
        <v>9452</v>
      </c>
      <c r="C813" s="17" t="s">
        <v>9453</v>
      </c>
      <c r="D813" s="17" t="s">
        <v>21</v>
      </c>
      <c r="E813" s="24">
        <v>1210</v>
      </c>
      <c r="F813" s="17" t="s">
        <v>269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36000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9454</v>
      </c>
      <c r="B814" s="17" t="s">
        <v>9454</v>
      </c>
      <c r="C814" s="17" t="s">
        <v>9455</v>
      </c>
      <c r="D814" s="17" t="s">
        <v>21</v>
      </c>
      <c r="E814" s="24">
        <v>1210</v>
      </c>
      <c r="F814" s="17" t="s">
        <v>273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39000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9456</v>
      </c>
      <c r="B815" s="17" t="s">
        <v>9456</v>
      </c>
      <c r="C815" s="17" t="s">
        <v>9457</v>
      </c>
      <c r="D815" s="17" t="s">
        <v>21</v>
      </c>
      <c r="E815" s="24">
        <v>1210</v>
      </c>
      <c r="F815" s="17" t="s">
        <v>277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43000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9458</v>
      </c>
      <c r="B816" s="17" t="s">
        <v>9458</v>
      </c>
      <c r="C816" s="17" t="s">
        <v>9459</v>
      </c>
      <c r="D816" s="17" t="s">
        <v>21</v>
      </c>
      <c r="E816" s="24">
        <v>1210</v>
      </c>
      <c r="F816" s="17" t="s">
        <v>279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47000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9460</v>
      </c>
      <c r="B817" s="17" t="s">
        <v>9460</v>
      </c>
      <c r="C817" s="17" t="s">
        <v>9461</v>
      </c>
      <c r="D817" s="17" t="s">
        <v>21</v>
      </c>
      <c r="E817" s="24">
        <v>1210</v>
      </c>
      <c r="F817" s="17" t="s">
        <v>283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51000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9462</v>
      </c>
      <c r="B818" s="17" t="s">
        <v>9462</v>
      </c>
      <c r="C818" s="17" t="s">
        <v>9463</v>
      </c>
      <c r="D818" s="17" t="s">
        <v>21</v>
      </c>
      <c r="E818" s="24">
        <v>1210</v>
      </c>
      <c r="F818" s="17" t="s">
        <v>287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56000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9464</v>
      </c>
      <c r="B819" s="17" t="s">
        <v>9464</v>
      </c>
      <c r="C819" s="17" t="s">
        <v>9465</v>
      </c>
      <c r="D819" s="17" t="s">
        <v>21</v>
      </c>
      <c r="E819" s="24">
        <v>1210</v>
      </c>
      <c r="F819" s="17" t="s">
        <v>291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62000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9466</v>
      </c>
      <c r="B820" s="17" t="s">
        <v>9466</v>
      </c>
      <c r="C820" s="17" t="s">
        <v>9467</v>
      </c>
      <c r="D820" s="17" t="s">
        <v>21</v>
      </c>
      <c r="E820" s="24">
        <v>1210</v>
      </c>
      <c r="F820" s="17" t="s">
        <v>295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68000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9468</v>
      </c>
      <c r="B821" s="17" t="s">
        <v>9468</v>
      </c>
      <c r="C821" s="17" t="s">
        <v>9469</v>
      </c>
      <c r="D821" s="17" t="s">
        <v>21</v>
      </c>
      <c r="E821" s="24">
        <v>1210</v>
      </c>
      <c r="F821" s="17" t="s">
        <v>299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75000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9470</v>
      </c>
      <c r="B822" s="17" t="s">
        <v>9470</v>
      </c>
      <c r="C822" s="17" t="s">
        <v>9471</v>
      </c>
      <c r="D822" s="17" t="s">
        <v>21</v>
      </c>
      <c r="E822" s="24">
        <v>1210</v>
      </c>
      <c r="F822" s="17" t="s">
        <v>301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82000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9472</v>
      </c>
      <c r="B823" s="17" t="s">
        <v>9472</v>
      </c>
      <c r="C823" s="17" t="s">
        <v>9473</v>
      </c>
      <c r="D823" s="17" t="s">
        <v>21</v>
      </c>
      <c r="E823" s="24">
        <v>1210</v>
      </c>
      <c r="F823" s="17" t="s">
        <v>303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91000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9474</v>
      </c>
      <c r="B824" s="17" t="s">
        <v>9474</v>
      </c>
      <c r="C824" s="17" t="s">
        <v>9475</v>
      </c>
      <c r="D824" s="17" t="s">
        <v>21</v>
      </c>
      <c r="E824" s="24">
        <v>1210</v>
      </c>
      <c r="F824" s="17" t="s">
        <v>305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100000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9476</v>
      </c>
      <c r="B825" s="17" t="s">
        <v>9476</v>
      </c>
      <c r="C825" s="17" t="s">
        <v>9477</v>
      </c>
      <c r="D825" s="17" t="s">
        <v>21</v>
      </c>
      <c r="E825" s="24">
        <v>1210</v>
      </c>
      <c r="F825" s="17" t="s">
        <v>309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110000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9478</v>
      </c>
      <c r="B826" s="17" t="s">
        <v>9478</v>
      </c>
      <c r="C826" s="17" t="s">
        <v>9479</v>
      </c>
      <c r="D826" s="17" t="s">
        <v>21</v>
      </c>
      <c r="E826" s="24">
        <v>1210</v>
      </c>
      <c r="F826" s="17" t="s">
        <v>313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120000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9480</v>
      </c>
      <c r="B827" s="17" t="s">
        <v>9480</v>
      </c>
      <c r="C827" s="17" t="s">
        <v>9481</v>
      </c>
      <c r="D827" s="17" t="s">
        <v>21</v>
      </c>
      <c r="E827" s="24">
        <v>1210</v>
      </c>
      <c r="F827" s="17" t="s">
        <v>317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130000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9482</v>
      </c>
      <c r="B828" s="17" t="s">
        <v>9482</v>
      </c>
      <c r="C828" s="17" t="s">
        <v>9483</v>
      </c>
      <c r="D828" s="17" t="s">
        <v>21</v>
      </c>
      <c r="E828" s="24">
        <v>1210</v>
      </c>
      <c r="F828" s="17" t="s">
        <v>321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150000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9484</v>
      </c>
      <c r="B829" s="17" t="s">
        <v>9484</v>
      </c>
      <c r="C829" s="17" t="s">
        <v>9485</v>
      </c>
      <c r="D829" s="17" t="s">
        <v>21</v>
      </c>
      <c r="E829" s="24">
        <v>1210</v>
      </c>
      <c r="F829" s="17" t="s">
        <v>323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160000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9486</v>
      </c>
      <c r="B830" s="17" t="s">
        <v>9486</v>
      </c>
      <c r="C830" s="17" t="s">
        <v>9487</v>
      </c>
      <c r="D830" s="17" t="s">
        <v>21</v>
      </c>
      <c r="E830" s="24">
        <v>1210</v>
      </c>
      <c r="F830" s="17" t="s">
        <v>327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180000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9488</v>
      </c>
      <c r="B831" s="17" t="s">
        <v>9488</v>
      </c>
      <c r="C831" s="17" t="s">
        <v>9489</v>
      </c>
      <c r="D831" s="17" t="s">
        <v>21</v>
      </c>
      <c r="E831" s="24">
        <v>1210</v>
      </c>
      <c r="F831" s="17" t="s">
        <v>331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9490</v>
      </c>
      <c r="B832" s="17" t="s">
        <v>9490</v>
      </c>
      <c r="C832" s="17" t="s">
        <v>9491</v>
      </c>
      <c r="D832" s="17" t="s">
        <v>21</v>
      </c>
      <c r="E832" s="24">
        <v>1210</v>
      </c>
      <c r="F832" s="17" t="s">
        <v>333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220000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9492</v>
      </c>
      <c r="B833" s="17" t="s">
        <v>9492</v>
      </c>
      <c r="C833" s="17" t="s">
        <v>9493</v>
      </c>
      <c r="D833" s="17" t="s">
        <v>21</v>
      </c>
      <c r="E833" s="24">
        <v>1210</v>
      </c>
      <c r="F833" s="17" t="s">
        <v>335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240000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9494</v>
      </c>
      <c r="B834" s="17" t="s">
        <v>9494</v>
      </c>
      <c r="C834" s="17" t="s">
        <v>9495</v>
      </c>
      <c r="D834" s="17" t="s">
        <v>21</v>
      </c>
      <c r="E834" s="24">
        <v>1210</v>
      </c>
      <c r="F834" s="17" t="s">
        <v>337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270000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9496</v>
      </c>
      <c r="B835" s="17" t="s">
        <v>9496</v>
      </c>
      <c r="C835" s="17" t="s">
        <v>9497</v>
      </c>
      <c r="D835" s="17" t="s">
        <v>21</v>
      </c>
      <c r="E835" s="24">
        <v>1210</v>
      </c>
      <c r="F835" s="17" t="s">
        <v>339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12538</v>
      </c>
      <c r="K835" s="17"/>
      <c r="L835" s="17"/>
      <c r="M835" s="21">
        <v>300000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9498</v>
      </c>
      <c r="B836" s="17" t="s">
        <v>9498</v>
      </c>
      <c r="C836" s="16" t="s">
        <v>9499</v>
      </c>
      <c r="D836" s="16" t="s">
        <v>21</v>
      </c>
      <c r="E836" s="24">
        <v>1210</v>
      </c>
      <c r="F836" s="17" t="s">
        <v>341</v>
      </c>
      <c r="G836" s="17" t="str">
        <f>Config!$B$3</f>
        <v>SCH/R_IEC.SchLib</v>
      </c>
      <c r="H836" s="16" t="s">
        <v>419</v>
      </c>
      <c r="I836" s="18" t="s">
        <v>461</v>
      </c>
      <c r="J836" s="17" t="s">
        <v>12538</v>
      </c>
      <c r="K836" s="17"/>
      <c r="L836" s="17"/>
      <c r="M836" s="21">
        <v>330000</v>
      </c>
      <c r="N836" s="17"/>
      <c r="O836" s="16"/>
      <c r="P836" s="17"/>
      <c r="Q836" s="16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9500</v>
      </c>
      <c r="B837" s="17" t="s">
        <v>9500</v>
      </c>
      <c r="C837" s="17" t="s">
        <v>9501</v>
      </c>
      <c r="D837" s="17" t="s">
        <v>21</v>
      </c>
      <c r="E837" s="24">
        <v>1210</v>
      </c>
      <c r="F837" s="17" t="s">
        <v>345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360000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9502</v>
      </c>
      <c r="B838" s="17" t="s">
        <v>9502</v>
      </c>
      <c r="C838" s="17" t="s">
        <v>9503</v>
      </c>
      <c r="D838" s="17" t="s">
        <v>21</v>
      </c>
      <c r="E838" s="24">
        <v>1210</v>
      </c>
      <c r="F838" s="17" t="s">
        <v>349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390000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9504</v>
      </c>
      <c r="B839" s="17" t="s">
        <v>9504</v>
      </c>
      <c r="C839" s="17" t="s">
        <v>9505</v>
      </c>
      <c r="D839" s="17" t="s">
        <v>21</v>
      </c>
      <c r="E839" s="24">
        <v>1210</v>
      </c>
      <c r="F839" s="17" t="s">
        <v>351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430000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9506</v>
      </c>
      <c r="B840" s="17" t="s">
        <v>9506</v>
      </c>
      <c r="C840" s="17" t="s">
        <v>9507</v>
      </c>
      <c r="D840" s="17" t="s">
        <v>21</v>
      </c>
      <c r="E840" s="24">
        <v>1210</v>
      </c>
      <c r="F840" s="17" t="s">
        <v>353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470000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9508</v>
      </c>
      <c r="B841" s="17" t="s">
        <v>9508</v>
      </c>
      <c r="C841" s="17" t="s">
        <v>9509</v>
      </c>
      <c r="D841" s="17" t="s">
        <v>21</v>
      </c>
      <c r="E841" s="24">
        <v>1210</v>
      </c>
      <c r="F841" s="17" t="s">
        <v>355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510000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9510</v>
      </c>
      <c r="B842" s="17" t="s">
        <v>9510</v>
      </c>
      <c r="C842" s="17" t="s">
        <v>9511</v>
      </c>
      <c r="D842" s="17" t="s">
        <v>21</v>
      </c>
      <c r="E842" s="24">
        <v>1210</v>
      </c>
      <c r="F842" s="17" t="s">
        <v>357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560000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9512</v>
      </c>
      <c r="B843" s="17" t="s">
        <v>9512</v>
      </c>
      <c r="C843" s="17" t="s">
        <v>9513</v>
      </c>
      <c r="D843" s="17" t="s">
        <v>21</v>
      </c>
      <c r="E843" s="24">
        <v>1210</v>
      </c>
      <c r="F843" s="17" t="s">
        <v>359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620000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9514</v>
      </c>
      <c r="B844" s="17" t="s">
        <v>9514</v>
      </c>
      <c r="C844" s="17" t="s">
        <v>9515</v>
      </c>
      <c r="D844" s="17" t="s">
        <v>21</v>
      </c>
      <c r="E844" s="24">
        <v>1210</v>
      </c>
      <c r="F844" s="17" t="s">
        <v>361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680000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9516</v>
      </c>
      <c r="B845" s="17" t="s">
        <v>9516</v>
      </c>
      <c r="C845" s="17" t="s">
        <v>9517</v>
      </c>
      <c r="D845" s="17" t="s">
        <v>21</v>
      </c>
      <c r="E845" s="24">
        <v>1210</v>
      </c>
      <c r="F845" s="17" t="s">
        <v>363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750000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9518</v>
      </c>
      <c r="B846" s="17" t="s">
        <v>9518</v>
      </c>
      <c r="C846" s="17" t="s">
        <v>9519</v>
      </c>
      <c r="D846" s="17" t="s">
        <v>21</v>
      </c>
      <c r="E846" s="24">
        <v>1210</v>
      </c>
      <c r="F846" s="17" t="s">
        <v>365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820000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9520</v>
      </c>
      <c r="B847" s="17" t="s">
        <v>9520</v>
      </c>
      <c r="C847" s="17" t="s">
        <v>9521</v>
      </c>
      <c r="D847" s="17" t="s">
        <v>21</v>
      </c>
      <c r="E847" s="24">
        <v>1210</v>
      </c>
      <c r="F847" s="17" t="s">
        <v>367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910000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9522</v>
      </c>
      <c r="B848" s="17" t="s">
        <v>9522</v>
      </c>
      <c r="C848" s="17" t="s">
        <v>9523</v>
      </c>
      <c r="D848" s="17" t="s">
        <v>21</v>
      </c>
      <c r="E848" s="24">
        <v>1210</v>
      </c>
      <c r="F848" s="17" t="s">
        <v>369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1000000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9524</v>
      </c>
      <c r="B849" s="17" t="s">
        <v>9524</v>
      </c>
      <c r="C849" s="17" t="s">
        <v>9525</v>
      </c>
      <c r="D849" s="17" t="s">
        <v>21</v>
      </c>
      <c r="E849" s="24">
        <v>1210</v>
      </c>
      <c r="F849" s="17" t="s">
        <v>371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1100000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9526</v>
      </c>
      <c r="B850" s="17" t="s">
        <v>9526</v>
      </c>
      <c r="C850" s="17" t="s">
        <v>9527</v>
      </c>
      <c r="D850" s="17" t="s">
        <v>21</v>
      </c>
      <c r="E850" s="24">
        <v>1210</v>
      </c>
      <c r="F850" s="17" t="s">
        <v>373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1200000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9528</v>
      </c>
      <c r="B851" s="17" t="s">
        <v>9528</v>
      </c>
      <c r="C851" s="17" t="s">
        <v>9529</v>
      </c>
      <c r="D851" s="17" t="s">
        <v>21</v>
      </c>
      <c r="E851" s="24">
        <v>1210</v>
      </c>
      <c r="F851" s="17" t="s">
        <v>375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1300000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9530</v>
      </c>
      <c r="B852" s="17" t="s">
        <v>9530</v>
      </c>
      <c r="C852" s="17" t="s">
        <v>9531</v>
      </c>
      <c r="D852" s="17" t="s">
        <v>21</v>
      </c>
      <c r="E852" s="24">
        <v>1210</v>
      </c>
      <c r="F852" s="17" t="s">
        <v>377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1500000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9532</v>
      </c>
      <c r="B853" s="17" t="s">
        <v>9532</v>
      </c>
      <c r="C853" s="17" t="s">
        <v>9533</v>
      </c>
      <c r="D853" s="17" t="s">
        <v>21</v>
      </c>
      <c r="E853" s="24">
        <v>1210</v>
      </c>
      <c r="F853" s="17" t="s">
        <v>379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1600000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9534</v>
      </c>
      <c r="B854" s="17" t="s">
        <v>9534</v>
      </c>
      <c r="C854" s="17" t="s">
        <v>9535</v>
      </c>
      <c r="D854" s="17" t="s">
        <v>21</v>
      </c>
      <c r="E854" s="24">
        <v>1210</v>
      </c>
      <c r="F854" s="17" t="s">
        <v>381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1800000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9536</v>
      </c>
      <c r="B855" s="17" t="s">
        <v>9536</v>
      </c>
      <c r="C855" s="17" t="s">
        <v>9537</v>
      </c>
      <c r="D855" s="17" t="s">
        <v>21</v>
      </c>
      <c r="E855" s="24">
        <v>1210</v>
      </c>
      <c r="F855" s="17" t="s">
        <v>383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2000000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9538</v>
      </c>
      <c r="B856" s="17" t="s">
        <v>9538</v>
      </c>
      <c r="C856" s="17" t="s">
        <v>9539</v>
      </c>
      <c r="D856" s="17" t="s">
        <v>21</v>
      </c>
      <c r="E856" s="24">
        <v>1210</v>
      </c>
      <c r="F856" s="17" t="s">
        <v>385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2200000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9540</v>
      </c>
      <c r="B857" s="17" t="s">
        <v>9540</v>
      </c>
      <c r="C857" s="17" t="s">
        <v>9541</v>
      </c>
      <c r="D857" s="17" t="s">
        <v>21</v>
      </c>
      <c r="E857" s="24">
        <v>1210</v>
      </c>
      <c r="F857" s="17" t="s">
        <v>387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2400000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9542</v>
      </c>
      <c r="B858" s="17" t="s">
        <v>9542</v>
      </c>
      <c r="C858" s="17" t="s">
        <v>9543</v>
      </c>
      <c r="D858" s="17" t="s">
        <v>21</v>
      </c>
      <c r="E858" s="24">
        <v>1210</v>
      </c>
      <c r="F858" s="17" t="s">
        <v>389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2700000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9544</v>
      </c>
      <c r="B859" s="17" t="s">
        <v>9544</v>
      </c>
      <c r="C859" s="17" t="s">
        <v>9545</v>
      </c>
      <c r="D859" s="17" t="s">
        <v>21</v>
      </c>
      <c r="E859" s="24">
        <v>1210</v>
      </c>
      <c r="F859" s="17" t="s">
        <v>391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3000000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9546</v>
      </c>
      <c r="B860" s="17" t="s">
        <v>9546</v>
      </c>
      <c r="C860" s="17" t="s">
        <v>9547</v>
      </c>
      <c r="D860" s="17" t="s">
        <v>21</v>
      </c>
      <c r="E860" s="24">
        <v>1210</v>
      </c>
      <c r="F860" s="17" t="s">
        <v>393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3300000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9548</v>
      </c>
      <c r="B861" s="17" t="s">
        <v>9548</v>
      </c>
      <c r="C861" s="17" t="s">
        <v>9549</v>
      </c>
      <c r="D861" s="17" t="s">
        <v>21</v>
      </c>
      <c r="E861" s="24">
        <v>1210</v>
      </c>
      <c r="F861" s="17" t="s">
        <v>395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3600000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9550</v>
      </c>
      <c r="B862" s="17" t="s">
        <v>9550</v>
      </c>
      <c r="C862" s="17" t="s">
        <v>9551</v>
      </c>
      <c r="D862" s="17" t="s">
        <v>21</v>
      </c>
      <c r="E862" s="24">
        <v>1210</v>
      </c>
      <c r="F862" s="17" t="s">
        <v>397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3900000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9552</v>
      </c>
      <c r="B863" s="17" t="s">
        <v>9552</v>
      </c>
      <c r="C863" s="17" t="s">
        <v>9553</v>
      </c>
      <c r="D863" s="17" t="s">
        <v>21</v>
      </c>
      <c r="E863" s="24">
        <v>1210</v>
      </c>
      <c r="F863" s="17" t="s">
        <v>399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4300000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9554</v>
      </c>
      <c r="B864" s="17" t="s">
        <v>9554</v>
      </c>
      <c r="C864" s="17" t="s">
        <v>9555</v>
      </c>
      <c r="D864" s="17" t="s">
        <v>21</v>
      </c>
      <c r="E864" s="24">
        <v>1210</v>
      </c>
      <c r="F864" s="17" t="s">
        <v>401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4700000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9556</v>
      </c>
      <c r="B865" s="17" t="s">
        <v>9556</v>
      </c>
      <c r="C865" s="17" t="s">
        <v>9557</v>
      </c>
      <c r="D865" s="17" t="s">
        <v>21</v>
      </c>
      <c r="E865" s="24">
        <v>1210</v>
      </c>
      <c r="F865" s="17" t="s">
        <v>403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5100000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9558</v>
      </c>
      <c r="B866" s="17" t="s">
        <v>9558</v>
      </c>
      <c r="C866" s="17" t="s">
        <v>9559</v>
      </c>
      <c r="D866" s="17" t="s">
        <v>21</v>
      </c>
      <c r="E866" s="24">
        <v>1210</v>
      </c>
      <c r="F866" s="17" t="s">
        <v>405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5600000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9560</v>
      </c>
      <c r="B867" s="17" t="s">
        <v>9560</v>
      </c>
      <c r="C867" s="17" t="s">
        <v>9561</v>
      </c>
      <c r="D867" s="17" t="s">
        <v>21</v>
      </c>
      <c r="E867" s="24">
        <v>1210</v>
      </c>
      <c r="F867" s="17" t="s">
        <v>407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6200000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9562</v>
      </c>
      <c r="B868" s="17" t="s">
        <v>9562</v>
      </c>
      <c r="C868" s="17" t="s">
        <v>9563</v>
      </c>
      <c r="D868" s="17" t="s">
        <v>21</v>
      </c>
      <c r="E868" s="24">
        <v>1210</v>
      </c>
      <c r="F868" s="17" t="s">
        <v>409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6800000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9564</v>
      </c>
      <c r="B869" s="17" t="s">
        <v>9564</v>
      </c>
      <c r="C869" s="17" t="s">
        <v>9565</v>
      </c>
      <c r="D869" s="17" t="s">
        <v>21</v>
      </c>
      <c r="E869" s="24">
        <v>1210</v>
      </c>
      <c r="F869" s="17" t="s">
        <v>411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7500000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9566</v>
      </c>
      <c r="B870" s="17" t="s">
        <v>9566</v>
      </c>
      <c r="C870" s="17" t="s">
        <v>9567</v>
      </c>
      <c r="D870" s="17" t="s">
        <v>21</v>
      </c>
      <c r="E870" s="24">
        <v>1210</v>
      </c>
      <c r="F870" s="17" t="s">
        <v>413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8200000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9568</v>
      </c>
      <c r="B871" s="17" t="s">
        <v>9568</v>
      </c>
      <c r="C871" s="17" t="s">
        <v>9569</v>
      </c>
      <c r="D871" s="17" t="s">
        <v>21</v>
      </c>
      <c r="E871" s="24">
        <v>1210</v>
      </c>
      <c r="F871" s="17" t="s">
        <v>415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9100000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9570</v>
      </c>
      <c r="B872" s="17" t="s">
        <v>9570</v>
      </c>
      <c r="C872" s="17" t="s">
        <v>9571</v>
      </c>
      <c r="D872" s="17" t="s">
        <v>21</v>
      </c>
      <c r="E872" s="24">
        <v>1210</v>
      </c>
      <c r="F872" s="17" t="s">
        <v>417</v>
      </c>
      <c r="G872" s="17" t="str">
        <f>Config!$B$3</f>
        <v>SCH/R_IEC.SchLib</v>
      </c>
      <c r="H872" s="17" t="s">
        <v>419</v>
      </c>
      <c r="I872" s="17" t="s">
        <v>461</v>
      </c>
      <c r="J872" s="17" t="s">
        <v>12538</v>
      </c>
      <c r="K872" s="17"/>
      <c r="L872" s="17"/>
      <c r="M872" s="21">
        <v>10000000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6" t="s">
        <v>10250</v>
      </c>
      <c r="B873" s="16" t="s">
        <v>10250</v>
      </c>
      <c r="C873" s="16" t="s">
        <v>10251</v>
      </c>
      <c r="D873" s="16" t="s">
        <v>21</v>
      </c>
      <c r="E873" s="16">
        <v>1218</v>
      </c>
      <c r="F873" s="16" t="s">
        <v>23</v>
      </c>
      <c r="G873" s="17" t="str">
        <f>Config!$B$3</f>
        <v>SCH/R_IEC.SchLib</v>
      </c>
      <c r="H873" s="16" t="s">
        <v>419</v>
      </c>
      <c r="I873" s="18" t="s">
        <v>461</v>
      </c>
      <c r="J873" s="41"/>
      <c r="K873" s="41"/>
      <c r="L873" s="41"/>
      <c r="M873" s="19">
        <v>0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10252</v>
      </c>
      <c r="B874" s="17" t="s">
        <v>10252</v>
      </c>
      <c r="C874" s="17" t="s">
        <v>10253</v>
      </c>
      <c r="D874" s="17" t="s">
        <v>21</v>
      </c>
      <c r="E874" s="24">
        <v>1218</v>
      </c>
      <c r="F874" s="17" t="s">
        <v>29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10254</v>
      </c>
      <c r="B875" s="17" t="s">
        <v>10254</v>
      </c>
      <c r="C875" s="17" t="s">
        <v>10255</v>
      </c>
      <c r="D875" s="17" t="s">
        <v>21</v>
      </c>
      <c r="E875" s="24">
        <v>1218</v>
      </c>
      <c r="F875" s="17" t="s">
        <v>1042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1.1000000000000001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10256</v>
      </c>
      <c r="B876" s="17" t="s">
        <v>10256</v>
      </c>
      <c r="C876" s="17" t="s">
        <v>10257</v>
      </c>
      <c r="D876" s="17" t="s">
        <v>21</v>
      </c>
      <c r="E876" s="24">
        <v>1218</v>
      </c>
      <c r="F876" s="17" t="s">
        <v>31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1.2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10258</v>
      </c>
      <c r="B877" s="17" t="s">
        <v>10258</v>
      </c>
      <c r="C877" s="17" t="s">
        <v>10259</v>
      </c>
      <c r="D877" s="17" t="s">
        <v>21</v>
      </c>
      <c r="E877" s="24">
        <v>1218</v>
      </c>
      <c r="F877" s="17" t="s">
        <v>1052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1.3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10260</v>
      </c>
      <c r="B878" s="17" t="s">
        <v>10260</v>
      </c>
      <c r="C878" s="17" t="s">
        <v>10261</v>
      </c>
      <c r="D878" s="17" t="s">
        <v>21</v>
      </c>
      <c r="E878" s="24">
        <v>1218</v>
      </c>
      <c r="F878" s="17" t="s">
        <v>33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1.5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10262</v>
      </c>
      <c r="B879" s="17" t="s">
        <v>10262</v>
      </c>
      <c r="C879" s="17" t="s">
        <v>10263</v>
      </c>
      <c r="D879" s="17" t="s">
        <v>21</v>
      </c>
      <c r="E879" s="24">
        <v>1218</v>
      </c>
      <c r="F879" s="17" t="s">
        <v>1062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1.6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10264</v>
      </c>
      <c r="B880" s="17" t="s">
        <v>10264</v>
      </c>
      <c r="C880" s="17" t="s">
        <v>10265</v>
      </c>
      <c r="D880" s="17" t="s">
        <v>21</v>
      </c>
      <c r="E880" s="24">
        <v>1218</v>
      </c>
      <c r="F880" s="17" t="s">
        <v>35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1.8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10266</v>
      </c>
      <c r="B881" s="17" t="s">
        <v>10266</v>
      </c>
      <c r="C881" s="17" t="s">
        <v>10267</v>
      </c>
      <c r="D881" s="17" t="s">
        <v>21</v>
      </c>
      <c r="E881" s="24">
        <v>1218</v>
      </c>
      <c r="F881" s="17" t="s">
        <v>1070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10268</v>
      </c>
      <c r="B882" s="17" t="s">
        <v>10268</v>
      </c>
      <c r="C882" s="17" t="s">
        <v>10269</v>
      </c>
      <c r="D882" s="17" t="s">
        <v>21</v>
      </c>
      <c r="E882" s="24">
        <v>1218</v>
      </c>
      <c r="F882" s="17" t="s">
        <v>37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2.2000000000000002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10270</v>
      </c>
      <c r="B883" s="17" t="s">
        <v>10270</v>
      </c>
      <c r="C883" s="17" t="s">
        <v>10271</v>
      </c>
      <c r="D883" s="17" t="s">
        <v>21</v>
      </c>
      <c r="E883" s="24">
        <v>1218</v>
      </c>
      <c r="F883" s="17" t="s">
        <v>1080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2.4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10272</v>
      </c>
      <c r="B884" s="17" t="s">
        <v>10272</v>
      </c>
      <c r="C884" s="17" t="s">
        <v>10273</v>
      </c>
      <c r="D884" s="17" t="s">
        <v>21</v>
      </c>
      <c r="E884" s="24">
        <v>1218</v>
      </c>
      <c r="F884" s="17" t="s">
        <v>39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2.7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10274</v>
      </c>
      <c r="B885" s="17" t="s">
        <v>10274</v>
      </c>
      <c r="C885" s="17" t="s">
        <v>10275</v>
      </c>
      <c r="D885" s="17" t="s">
        <v>21</v>
      </c>
      <c r="E885" s="24">
        <v>1218</v>
      </c>
      <c r="F885" s="17" t="s">
        <v>1088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10276</v>
      </c>
      <c r="B886" s="17" t="s">
        <v>10276</v>
      </c>
      <c r="C886" s="17" t="s">
        <v>10277</v>
      </c>
      <c r="D886" s="17" t="s">
        <v>21</v>
      </c>
      <c r="E886" s="24">
        <v>1218</v>
      </c>
      <c r="F886" s="17" t="s">
        <v>41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3.3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10278</v>
      </c>
      <c r="B887" s="17" t="s">
        <v>10278</v>
      </c>
      <c r="C887" s="17" t="s">
        <v>10279</v>
      </c>
      <c r="D887" s="17" t="s">
        <v>21</v>
      </c>
      <c r="E887" s="24">
        <v>1218</v>
      </c>
      <c r="F887" s="17" t="s">
        <v>1098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3.6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10280</v>
      </c>
      <c r="B888" s="17" t="s">
        <v>10280</v>
      </c>
      <c r="C888" s="17" t="s">
        <v>10281</v>
      </c>
      <c r="D888" s="17" t="s">
        <v>21</v>
      </c>
      <c r="E888" s="24">
        <v>1218</v>
      </c>
      <c r="F888" s="17" t="s">
        <v>43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3.9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10282</v>
      </c>
      <c r="B889" s="17" t="s">
        <v>10282</v>
      </c>
      <c r="C889" s="17" t="s">
        <v>10283</v>
      </c>
      <c r="D889" s="17" t="s">
        <v>21</v>
      </c>
      <c r="E889" s="24">
        <v>1218</v>
      </c>
      <c r="F889" s="17" t="s">
        <v>1106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4.3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10284</v>
      </c>
      <c r="B890" s="17" t="s">
        <v>10284</v>
      </c>
      <c r="C890" s="17" t="s">
        <v>10285</v>
      </c>
      <c r="D890" s="17" t="s">
        <v>21</v>
      </c>
      <c r="E890" s="24">
        <v>1218</v>
      </c>
      <c r="F890" s="17" t="s">
        <v>45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4.7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10286</v>
      </c>
      <c r="B891" s="17" t="s">
        <v>10286</v>
      </c>
      <c r="C891" s="17" t="s">
        <v>10287</v>
      </c>
      <c r="D891" s="17" t="s">
        <v>21</v>
      </c>
      <c r="E891" s="24">
        <v>1218</v>
      </c>
      <c r="F891" s="17" t="s">
        <v>1116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5.0999999999999996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10288</v>
      </c>
      <c r="B892" s="17" t="s">
        <v>10288</v>
      </c>
      <c r="C892" s="17" t="s">
        <v>10289</v>
      </c>
      <c r="D892" s="17" t="s">
        <v>21</v>
      </c>
      <c r="E892" s="24">
        <v>1218</v>
      </c>
      <c r="F892" s="17" t="s">
        <v>47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5.6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10290</v>
      </c>
      <c r="B893" s="17" t="s">
        <v>10290</v>
      </c>
      <c r="C893" s="17" t="s">
        <v>10291</v>
      </c>
      <c r="D893" s="17" t="s">
        <v>21</v>
      </c>
      <c r="E893" s="24">
        <v>1218</v>
      </c>
      <c r="F893" s="17" t="s">
        <v>1128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6.2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10292</v>
      </c>
      <c r="B894" s="17" t="s">
        <v>10292</v>
      </c>
      <c r="C894" s="17" t="s">
        <v>10293</v>
      </c>
      <c r="D894" s="17" t="s">
        <v>21</v>
      </c>
      <c r="E894" s="24">
        <v>1218</v>
      </c>
      <c r="F894" s="17" t="s">
        <v>49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6.8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10294</v>
      </c>
      <c r="B895" s="17" t="s">
        <v>10294</v>
      </c>
      <c r="C895" s="17" t="s">
        <v>10295</v>
      </c>
      <c r="D895" s="17" t="s">
        <v>21</v>
      </c>
      <c r="E895" s="24">
        <v>1218</v>
      </c>
      <c r="F895" s="17" t="s">
        <v>1138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7.5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10296</v>
      </c>
      <c r="B896" s="17" t="s">
        <v>10296</v>
      </c>
      <c r="C896" s="17" t="s">
        <v>10297</v>
      </c>
      <c r="D896" s="17" t="s">
        <v>21</v>
      </c>
      <c r="E896" s="24">
        <v>1218</v>
      </c>
      <c r="F896" s="17" t="s">
        <v>51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8.1999999999999993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10298</v>
      </c>
      <c r="B897" s="17" t="s">
        <v>10298</v>
      </c>
      <c r="C897" s="17" t="s">
        <v>10299</v>
      </c>
      <c r="D897" s="17" t="s">
        <v>21</v>
      </c>
      <c r="E897" s="24">
        <v>1218</v>
      </c>
      <c r="F897" s="17" t="s">
        <v>1148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17">
        <v>9.1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10300</v>
      </c>
      <c r="B898" s="17" t="s">
        <v>10300</v>
      </c>
      <c r="C898" s="17" t="s">
        <v>10301</v>
      </c>
      <c r="D898" s="17" t="s">
        <v>21</v>
      </c>
      <c r="E898" s="24">
        <v>1218</v>
      </c>
      <c r="F898" s="17" t="s">
        <v>53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10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10302</v>
      </c>
      <c r="B899" s="17" t="s">
        <v>10302</v>
      </c>
      <c r="C899" s="17" t="s">
        <v>10303</v>
      </c>
      <c r="D899" s="17" t="s">
        <v>21</v>
      </c>
      <c r="E899" s="24">
        <v>1218</v>
      </c>
      <c r="F899" s="17" t="s">
        <v>57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11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10304</v>
      </c>
      <c r="B900" s="17" t="s">
        <v>10304</v>
      </c>
      <c r="C900" s="17" t="s">
        <v>10305</v>
      </c>
      <c r="D900" s="17" t="s">
        <v>21</v>
      </c>
      <c r="E900" s="24">
        <v>1218</v>
      </c>
      <c r="F900" s="17" t="s">
        <v>59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12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10306</v>
      </c>
      <c r="B901" s="17" t="s">
        <v>10306</v>
      </c>
      <c r="C901" s="17" t="s">
        <v>10307</v>
      </c>
      <c r="D901" s="17" t="s">
        <v>21</v>
      </c>
      <c r="E901" s="24">
        <v>1218</v>
      </c>
      <c r="F901" s="17" t="s">
        <v>61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13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10308</v>
      </c>
      <c r="B902" s="17" t="s">
        <v>10308</v>
      </c>
      <c r="C902" s="17" t="s">
        <v>10309</v>
      </c>
      <c r="D902" s="17" t="s">
        <v>21</v>
      </c>
      <c r="E902" s="24">
        <v>1218</v>
      </c>
      <c r="F902" s="17" t="s">
        <v>63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15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10310</v>
      </c>
      <c r="B903" s="17" t="s">
        <v>10310</v>
      </c>
      <c r="C903" s="17" t="s">
        <v>10311</v>
      </c>
      <c r="D903" s="17" t="s">
        <v>21</v>
      </c>
      <c r="E903" s="24">
        <v>1218</v>
      </c>
      <c r="F903" s="17" t="s">
        <v>65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16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10312</v>
      </c>
      <c r="B904" s="17" t="s">
        <v>10312</v>
      </c>
      <c r="C904" s="17" t="s">
        <v>10313</v>
      </c>
      <c r="D904" s="17" t="s">
        <v>21</v>
      </c>
      <c r="E904" s="24">
        <v>1218</v>
      </c>
      <c r="F904" s="17" t="s">
        <v>67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18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10314</v>
      </c>
      <c r="B905" s="17" t="s">
        <v>10314</v>
      </c>
      <c r="C905" s="17" t="s">
        <v>10315</v>
      </c>
      <c r="D905" s="17" t="s">
        <v>21</v>
      </c>
      <c r="E905" s="24">
        <v>1218</v>
      </c>
      <c r="F905" s="17" t="s">
        <v>69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10316</v>
      </c>
      <c r="B906" s="17" t="s">
        <v>10316</v>
      </c>
      <c r="C906" s="17" t="s">
        <v>10317</v>
      </c>
      <c r="D906" s="17" t="s">
        <v>21</v>
      </c>
      <c r="E906" s="24">
        <v>1218</v>
      </c>
      <c r="F906" s="17" t="s">
        <v>71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22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10318</v>
      </c>
      <c r="B907" s="17" t="s">
        <v>10318</v>
      </c>
      <c r="C907" s="17" t="s">
        <v>10319</v>
      </c>
      <c r="D907" s="17" t="s">
        <v>21</v>
      </c>
      <c r="E907" s="24">
        <v>1218</v>
      </c>
      <c r="F907" s="17" t="s">
        <v>75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24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10320</v>
      </c>
      <c r="B908" s="17" t="s">
        <v>10320</v>
      </c>
      <c r="C908" s="17" t="s">
        <v>10321</v>
      </c>
      <c r="D908" s="17" t="s">
        <v>21</v>
      </c>
      <c r="E908" s="24">
        <v>1218</v>
      </c>
      <c r="F908" s="17" t="s">
        <v>77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27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10322</v>
      </c>
      <c r="B909" s="17" t="s">
        <v>10322</v>
      </c>
      <c r="C909" s="17" t="s">
        <v>10323</v>
      </c>
      <c r="D909" s="17" t="s">
        <v>21</v>
      </c>
      <c r="E909" s="24">
        <v>1218</v>
      </c>
      <c r="F909" s="17" t="s">
        <v>79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10324</v>
      </c>
      <c r="B910" s="17" t="s">
        <v>10324</v>
      </c>
      <c r="C910" s="17" t="s">
        <v>10325</v>
      </c>
      <c r="D910" s="17" t="s">
        <v>21</v>
      </c>
      <c r="E910" s="24">
        <v>1218</v>
      </c>
      <c r="F910" s="17" t="s">
        <v>81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33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10326</v>
      </c>
      <c r="B911" s="17" t="s">
        <v>10326</v>
      </c>
      <c r="C911" s="17" t="s">
        <v>10327</v>
      </c>
      <c r="D911" s="17" t="s">
        <v>21</v>
      </c>
      <c r="E911" s="24">
        <v>1218</v>
      </c>
      <c r="F911" s="17" t="s">
        <v>83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36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10328</v>
      </c>
      <c r="B912" s="17" t="s">
        <v>10328</v>
      </c>
      <c r="C912" s="17" t="s">
        <v>10329</v>
      </c>
      <c r="D912" s="17" t="s">
        <v>21</v>
      </c>
      <c r="E912" s="24">
        <v>1218</v>
      </c>
      <c r="F912" s="17" t="s">
        <v>85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39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10330</v>
      </c>
      <c r="B913" s="17" t="s">
        <v>10330</v>
      </c>
      <c r="C913" s="17" t="s">
        <v>10331</v>
      </c>
      <c r="D913" s="17" t="s">
        <v>21</v>
      </c>
      <c r="E913" s="24">
        <v>1218</v>
      </c>
      <c r="F913" s="17" t="s">
        <v>87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43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10332</v>
      </c>
      <c r="B914" s="17" t="s">
        <v>10332</v>
      </c>
      <c r="C914" s="17" t="s">
        <v>10333</v>
      </c>
      <c r="D914" s="17" t="s">
        <v>21</v>
      </c>
      <c r="E914" s="24">
        <v>1218</v>
      </c>
      <c r="F914" s="17" t="s">
        <v>89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47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10334</v>
      </c>
      <c r="B915" s="17" t="s">
        <v>10334</v>
      </c>
      <c r="C915" s="17" t="s">
        <v>10335</v>
      </c>
      <c r="D915" s="17" t="s">
        <v>21</v>
      </c>
      <c r="E915" s="24">
        <v>1218</v>
      </c>
      <c r="F915" s="17" t="s">
        <v>91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51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10336</v>
      </c>
      <c r="B916" s="17" t="s">
        <v>10336</v>
      </c>
      <c r="C916" s="17" t="s">
        <v>10337</v>
      </c>
      <c r="D916" s="17" t="s">
        <v>21</v>
      </c>
      <c r="E916" s="24">
        <v>1218</v>
      </c>
      <c r="F916" s="17" t="s">
        <v>93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56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10338</v>
      </c>
      <c r="B917" s="17" t="s">
        <v>10338</v>
      </c>
      <c r="C917" s="17" t="s">
        <v>10339</v>
      </c>
      <c r="D917" s="17" t="s">
        <v>21</v>
      </c>
      <c r="E917" s="24">
        <v>1218</v>
      </c>
      <c r="F917" s="17" t="s">
        <v>95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62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10340</v>
      </c>
      <c r="B918" s="17" t="s">
        <v>10340</v>
      </c>
      <c r="C918" s="17" t="s">
        <v>10341</v>
      </c>
      <c r="D918" s="17" t="s">
        <v>21</v>
      </c>
      <c r="E918" s="24">
        <v>1218</v>
      </c>
      <c r="F918" s="17" t="s">
        <v>97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68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10342</v>
      </c>
      <c r="B919" s="17" t="s">
        <v>10342</v>
      </c>
      <c r="C919" s="17" t="s">
        <v>10343</v>
      </c>
      <c r="D919" s="17" t="s">
        <v>21</v>
      </c>
      <c r="E919" s="24">
        <v>1218</v>
      </c>
      <c r="F919" s="17" t="s">
        <v>99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75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10344</v>
      </c>
      <c r="B920" s="17" t="s">
        <v>10344</v>
      </c>
      <c r="C920" s="17" t="s">
        <v>10345</v>
      </c>
      <c r="D920" s="17" t="s">
        <v>21</v>
      </c>
      <c r="E920" s="24">
        <v>1218</v>
      </c>
      <c r="F920" s="17" t="s">
        <v>101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82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10346</v>
      </c>
      <c r="B921" s="17" t="s">
        <v>10346</v>
      </c>
      <c r="C921" s="17" t="s">
        <v>10347</v>
      </c>
      <c r="D921" s="17" t="s">
        <v>21</v>
      </c>
      <c r="E921" s="24">
        <v>1218</v>
      </c>
      <c r="F921" s="17" t="s">
        <v>103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91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10348</v>
      </c>
      <c r="B922" s="17" t="s">
        <v>10348</v>
      </c>
      <c r="C922" s="17" t="s">
        <v>10349</v>
      </c>
      <c r="D922" s="17" t="s">
        <v>21</v>
      </c>
      <c r="E922" s="24">
        <v>1218</v>
      </c>
      <c r="F922" s="17" t="s">
        <v>105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100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10350</v>
      </c>
      <c r="B923" s="17" t="s">
        <v>10350</v>
      </c>
      <c r="C923" s="17" t="s">
        <v>10351</v>
      </c>
      <c r="D923" s="17" t="s">
        <v>21</v>
      </c>
      <c r="E923" s="24">
        <v>1218</v>
      </c>
      <c r="F923" s="17" t="s">
        <v>109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110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10352</v>
      </c>
      <c r="B924" s="17" t="s">
        <v>10352</v>
      </c>
      <c r="C924" s="17" t="s">
        <v>10353</v>
      </c>
      <c r="D924" s="17" t="s">
        <v>21</v>
      </c>
      <c r="E924" s="24">
        <v>1218</v>
      </c>
      <c r="F924" s="17" t="s">
        <v>111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120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10354</v>
      </c>
      <c r="B925" s="17" t="s">
        <v>10354</v>
      </c>
      <c r="C925" s="17" t="s">
        <v>10355</v>
      </c>
      <c r="D925" s="17" t="s">
        <v>21</v>
      </c>
      <c r="E925" s="24">
        <v>1218</v>
      </c>
      <c r="F925" s="17" t="s">
        <v>113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130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10356</v>
      </c>
      <c r="B926" s="17" t="s">
        <v>10356</v>
      </c>
      <c r="C926" s="17" t="s">
        <v>10357</v>
      </c>
      <c r="D926" s="17" t="s">
        <v>21</v>
      </c>
      <c r="E926" s="24">
        <v>1218</v>
      </c>
      <c r="F926" s="17" t="s">
        <v>115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150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10358</v>
      </c>
      <c r="B927" s="17" t="s">
        <v>10358</v>
      </c>
      <c r="C927" s="17" t="s">
        <v>10359</v>
      </c>
      <c r="D927" s="17" t="s">
        <v>21</v>
      </c>
      <c r="E927" s="24">
        <v>1218</v>
      </c>
      <c r="F927" s="17" t="s">
        <v>117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160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10360</v>
      </c>
      <c r="B928" s="17" t="s">
        <v>10360</v>
      </c>
      <c r="C928" s="17" t="s">
        <v>10361</v>
      </c>
      <c r="D928" s="17" t="s">
        <v>21</v>
      </c>
      <c r="E928" s="24">
        <v>1218</v>
      </c>
      <c r="F928" s="17" t="s">
        <v>119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180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10362</v>
      </c>
      <c r="B929" s="17" t="s">
        <v>10362</v>
      </c>
      <c r="C929" s="17" t="s">
        <v>10363</v>
      </c>
      <c r="D929" s="17" t="s">
        <v>21</v>
      </c>
      <c r="E929" s="24">
        <v>1218</v>
      </c>
      <c r="F929" s="17" t="s">
        <v>123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10364</v>
      </c>
      <c r="B930" s="17" t="s">
        <v>10364</v>
      </c>
      <c r="C930" s="17" t="s">
        <v>10365</v>
      </c>
      <c r="D930" s="17" t="s">
        <v>21</v>
      </c>
      <c r="E930" s="24">
        <v>1218</v>
      </c>
      <c r="F930" s="17" t="s">
        <v>125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220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10366</v>
      </c>
      <c r="B931" s="17" t="s">
        <v>10366</v>
      </c>
      <c r="C931" s="17" t="s">
        <v>10367</v>
      </c>
      <c r="D931" s="17" t="s">
        <v>21</v>
      </c>
      <c r="E931" s="24">
        <v>1218</v>
      </c>
      <c r="F931" s="17" t="s">
        <v>129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240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10368</v>
      </c>
      <c r="B932" s="17" t="s">
        <v>10368</v>
      </c>
      <c r="C932" s="17" t="s">
        <v>10369</v>
      </c>
      <c r="D932" s="17" t="s">
        <v>21</v>
      </c>
      <c r="E932" s="24">
        <v>1218</v>
      </c>
      <c r="F932" s="17" t="s">
        <v>131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270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10370</v>
      </c>
      <c r="B933" s="17" t="s">
        <v>10370</v>
      </c>
      <c r="C933" s="17" t="s">
        <v>10371</v>
      </c>
      <c r="D933" s="17" t="s">
        <v>21</v>
      </c>
      <c r="E933" s="24">
        <v>1218</v>
      </c>
      <c r="F933" s="17" t="s">
        <v>133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10372</v>
      </c>
      <c r="B934" s="17" t="s">
        <v>10372</v>
      </c>
      <c r="C934" s="17" t="s">
        <v>10373</v>
      </c>
      <c r="D934" s="17" t="s">
        <v>21</v>
      </c>
      <c r="E934" s="24">
        <v>1218</v>
      </c>
      <c r="F934" s="17" t="s">
        <v>137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330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10374</v>
      </c>
      <c r="B935" s="17" t="s">
        <v>10374</v>
      </c>
      <c r="C935" s="17" t="s">
        <v>10375</v>
      </c>
      <c r="D935" s="17" t="s">
        <v>21</v>
      </c>
      <c r="E935" s="24">
        <v>1218</v>
      </c>
      <c r="F935" s="17" t="s">
        <v>139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360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10376</v>
      </c>
      <c r="B936" s="17" t="s">
        <v>10376</v>
      </c>
      <c r="C936" s="17" t="s">
        <v>10377</v>
      </c>
      <c r="D936" s="17" t="s">
        <v>21</v>
      </c>
      <c r="E936" s="24">
        <v>1218</v>
      </c>
      <c r="F936" s="17" t="s">
        <v>141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390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10378</v>
      </c>
      <c r="B937" s="17" t="s">
        <v>10378</v>
      </c>
      <c r="C937" s="17" t="s">
        <v>10379</v>
      </c>
      <c r="D937" s="17" t="s">
        <v>21</v>
      </c>
      <c r="E937" s="24">
        <v>1218</v>
      </c>
      <c r="F937" s="17" t="s">
        <v>143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430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10380</v>
      </c>
      <c r="B938" s="17" t="s">
        <v>10380</v>
      </c>
      <c r="C938" s="17" t="s">
        <v>10381</v>
      </c>
      <c r="D938" s="17" t="s">
        <v>21</v>
      </c>
      <c r="E938" s="24">
        <v>1218</v>
      </c>
      <c r="F938" s="17" t="s">
        <v>145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470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10382</v>
      </c>
      <c r="B939" s="17" t="s">
        <v>10382</v>
      </c>
      <c r="C939" s="17" t="s">
        <v>10383</v>
      </c>
      <c r="D939" s="17" t="s">
        <v>21</v>
      </c>
      <c r="E939" s="24">
        <v>1218</v>
      </c>
      <c r="F939" s="17" t="s">
        <v>149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510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10384</v>
      </c>
      <c r="B940" s="17" t="s">
        <v>10384</v>
      </c>
      <c r="C940" s="17" t="s">
        <v>10385</v>
      </c>
      <c r="D940" s="17" t="s">
        <v>21</v>
      </c>
      <c r="E940" s="24">
        <v>1218</v>
      </c>
      <c r="F940" s="17" t="s">
        <v>151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560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10386</v>
      </c>
      <c r="B941" s="17" t="s">
        <v>10386</v>
      </c>
      <c r="C941" s="17" t="s">
        <v>10387</v>
      </c>
      <c r="D941" s="17" t="s">
        <v>21</v>
      </c>
      <c r="E941" s="24">
        <v>1218</v>
      </c>
      <c r="F941" s="17" t="s">
        <v>153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620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10388</v>
      </c>
      <c r="B942" s="17" t="s">
        <v>10388</v>
      </c>
      <c r="C942" s="17" t="s">
        <v>10389</v>
      </c>
      <c r="D942" s="17" t="s">
        <v>21</v>
      </c>
      <c r="E942" s="24">
        <v>1218</v>
      </c>
      <c r="F942" s="17" t="s">
        <v>155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680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10390</v>
      </c>
      <c r="B943" s="17" t="s">
        <v>10390</v>
      </c>
      <c r="C943" s="17" t="s">
        <v>10391</v>
      </c>
      <c r="D943" s="17" t="s">
        <v>21</v>
      </c>
      <c r="E943" s="24">
        <v>1218</v>
      </c>
      <c r="F943" s="17" t="s">
        <v>157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750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10392</v>
      </c>
      <c r="B944" s="17" t="s">
        <v>10392</v>
      </c>
      <c r="C944" s="17" t="s">
        <v>10393</v>
      </c>
      <c r="D944" s="17" t="s">
        <v>21</v>
      </c>
      <c r="E944" s="24">
        <v>1218</v>
      </c>
      <c r="F944" s="17" t="s">
        <v>159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820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10394</v>
      </c>
      <c r="B945" s="17" t="s">
        <v>10394</v>
      </c>
      <c r="C945" s="17" t="s">
        <v>10395</v>
      </c>
      <c r="D945" s="17" t="s">
        <v>21</v>
      </c>
      <c r="E945" s="24">
        <v>1218</v>
      </c>
      <c r="F945" s="17" t="s">
        <v>161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910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10396</v>
      </c>
      <c r="B946" s="17" t="s">
        <v>10396</v>
      </c>
      <c r="C946" s="17" t="s">
        <v>10397</v>
      </c>
      <c r="D946" s="17" t="s">
        <v>21</v>
      </c>
      <c r="E946" s="24">
        <v>1218</v>
      </c>
      <c r="F946" s="17" t="s">
        <v>163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1000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10398</v>
      </c>
      <c r="B947" s="17" t="s">
        <v>10398</v>
      </c>
      <c r="C947" s="17" t="s">
        <v>10399</v>
      </c>
      <c r="D947" s="17" t="s">
        <v>21</v>
      </c>
      <c r="E947" s="24">
        <v>1218</v>
      </c>
      <c r="F947" s="17" t="s">
        <v>165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1100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10400</v>
      </c>
      <c r="B948" s="17" t="s">
        <v>10400</v>
      </c>
      <c r="C948" s="17" t="s">
        <v>10401</v>
      </c>
      <c r="D948" s="17" t="s">
        <v>21</v>
      </c>
      <c r="E948" s="24">
        <v>1218</v>
      </c>
      <c r="F948" s="17" t="s">
        <v>167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1200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10402</v>
      </c>
      <c r="B949" s="17" t="s">
        <v>10402</v>
      </c>
      <c r="C949" s="17" t="s">
        <v>10403</v>
      </c>
      <c r="D949" s="17" t="s">
        <v>21</v>
      </c>
      <c r="E949" s="24">
        <v>1218</v>
      </c>
      <c r="F949" s="17" t="s">
        <v>169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1300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10404</v>
      </c>
      <c r="B950" s="17" t="s">
        <v>10404</v>
      </c>
      <c r="C950" s="17" t="s">
        <v>10405</v>
      </c>
      <c r="D950" s="17" t="s">
        <v>21</v>
      </c>
      <c r="E950" s="24">
        <v>1218</v>
      </c>
      <c r="F950" s="17" t="s">
        <v>171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1500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10406</v>
      </c>
      <c r="B951" s="17" t="s">
        <v>10406</v>
      </c>
      <c r="C951" s="17" t="s">
        <v>10407</v>
      </c>
      <c r="D951" s="17" t="s">
        <v>21</v>
      </c>
      <c r="E951" s="24">
        <v>1218</v>
      </c>
      <c r="F951" s="17" t="s">
        <v>175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1600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10408</v>
      </c>
      <c r="B952" s="17" t="s">
        <v>10408</v>
      </c>
      <c r="C952" s="17" t="s">
        <v>10409</v>
      </c>
      <c r="D952" s="17" t="s">
        <v>21</v>
      </c>
      <c r="E952" s="24">
        <v>1218</v>
      </c>
      <c r="F952" s="17" t="s">
        <v>181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1800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10410</v>
      </c>
      <c r="B953" s="17" t="s">
        <v>10410</v>
      </c>
      <c r="C953" s="17" t="s">
        <v>10411</v>
      </c>
      <c r="D953" s="17" t="s">
        <v>21</v>
      </c>
      <c r="E953" s="24">
        <v>1218</v>
      </c>
      <c r="F953" s="17" t="s">
        <v>183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10412</v>
      </c>
      <c r="B954" s="17" t="s">
        <v>10412</v>
      </c>
      <c r="C954" s="17" t="s">
        <v>10413</v>
      </c>
      <c r="D954" s="17" t="s">
        <v>21</v>
      </c>
      <c r="E954" s="24">
        <v>1218</v>
      </c>
      <c r="F954" s="17" t="s">
        <v>187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2200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10414</v>
      </c>
      <c r="B955" s="17" t="s">
        <v>10414</v>
      </c>
      <c r="C955" s="17" t="s">
        <v>10415</v>
      </c>
      <c r="D955" s="17" t="s">
        <v>21</v>
      </c>
      <c r="E955" s="24">
        <v>1218</v>
      </c>
      <c r="F955" s="17" t="s">
        <v>191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2400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10416</v>
      </c>
      <c r="B956" s="17" t="s">
        <v>10416</v>
      </c>
      <c r="C956" s="17" t="s">
        <v>10417</v>
      </c>
      <c r="D956" s="17" t="s">
        <v>21</v>
      </c>
      <c r="E956" s="24">
        <v>1218</v>
      </c>
      <c r="F956" s="17" t="s">
        <v>193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2700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10418</v>
      </c>
      <c r="B957" s="17" t="s">
        <v>10418</v>
      </c>
      <c r="C957" s="17" t="s">
        <v>10419</v>
      </c>
      <c r="D957" s="17" t="s">
        <v>21</v>
      </c>
      <c r="E957" s="24">
        <v>1218</v>
      </c>
      <c r="F957" s="17" t="s">
        <v>197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10420</v>
      </c>
      <c r="B958" s="17" t="s">
        <v>10420</v>
      </c>
      <c r="C958" s="17" t="s">
        <v>10421</v>
      </c>
      <c r="D958" s="17" t="s">
        <v>21</v>
      </c>
      <c r="E958" s="24">
        <v>1218</v>
      </c>
      <c r="F958" s="17" t="s">
        <v>201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3300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10422</v>
      </c>
      <c r="B959" s="17" t="s">
        <v>10422</v>
      </c>
      <c r="C959" s="17" t="s">
        <v>10423</v>
      </c>
      <c r="D959" s="17" t="s">
        <v>21</v>
      </c>
      <c r="E959" s="24">
        <v>1218</v>
      </c>
      <c r="F959" s="17" t="s">
        <v>203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3600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10424</v>
      </c>
      <c r="B960" s="17" t="s">
        <v>10424</v>
      </c>
      <c r="C960" s="17" t="s">
        <v>10425</v>
      </c>
      <c r="D960" s="17" t="s">
        <v>21</v>
      </c>
      <c r="E960" s="24">
        <v>1218</v>
      </c>
      <c r="F960" s="17" t="s">
        <v>205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3900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10426</v>
      </c>
      <c r="B961" s="17" t="s">
        <v>10426</v>
      </c>
      <c r="C961" s="17" t="s">
        <v>10427</v>
      </c>
      <c r="D961" s="17" t="s">
        <v>21</v>
      </c>
      <c r="E961" s="24">
        <v>1218</v>
      </c>
      <c r="F961" s="17" t="s">
        <v>207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4300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10428</v>
      </c>
      <c r="B962" s="17" t="s">
        <v>10428</v>
      </c>
      <c r="C962" s="17" t="s">
        <v>10429</v>
      </c>
      <c r="D962" s="17" t="s">
        <v>21</v>
      </c>
      <c r="E962" s="24">
        <v>1218</v>
      </c>
      <c r="F962" s="17" t="s">
        <v>209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4700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10430</v>
      </c>
      <c r="B963" s="17" t="s">
        <v>10430</v>
      </c>
      <c r="C963" s="17" t="s">
        <v>10431</v>
      </c>
      <c r="D963" s="17" t="s">
        <v>21</v>
      </c>
      <c r="E963" s="24">
        <v>1218</v>
      </c>
      <c r="F963" s="17" t="s">
        <v>213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5100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10432</v>
      </c>
      <c r="B964" s="17" t="s">
        <v>10432</v>
      </c>
      <c r="C964" s="17" t="s">
        <v>10433</v>
      </c>
      <c r="D964" s="17" t="s">
        <v>21</v>
      </c>
      <c r="E964" s="24">
        <v>1218</v>
      </c>
      <c r="F964" s="17" t="s">
        <v>215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5600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10434</v>
      </c>
      <c r="B965" s="17" t="s">
        <v>10434</v>
      </c>
      <c r="C965" s="17" t="s">
        <v>10435</v>
      </c>
      <c r="D965" s="17" t="s">
        <v>21</v>
      </c>
      <c r="E965" s="24">
        <v>1218</v>
      </c>
      <c r="F965" s="17" t="s">
        <v>217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6200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10436</v>
      </c>
      <c r="B966" s="17" t="s">
        <v>10436</v>
      </c>
      <c r="C966" s="17" t="s">
        <v>10437</v>
      </c>
      <c r="D966" s="17" t="s">
        <v>21</v>
      </c>
      <c r="E966" s="24">
        <v>1218</v>
      </c>
      <c r="F966" s="17" t="s">
        <v>219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6800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10438</v>
      </c>
      <c r="B967" s="17" t="s">
        <v>10438</v>
      </c>
      <c r="C967" s="17" t="s">
        <v>10439</v>
      </c>
      <c r="D967" s="17" t="s">
        <v>21</v>
      </c>
      <c r="E967" s="24">
        <v>1218</v>
      </c>
      <c r="F967" s="17" t="s">
        <v>221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7500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10440</v>
      </c>
      <c r="B968" s="17" t="s">
        <v>10440</v>
      </c>
      <c r="C968" s="17" t="s">
        <v>10441</v>
      </c>
      <c r="D968" s="17" t="s">
        <v>21</v>
      </c>
      <c r="E968" s="24">
        <v>1218</v>
      </c>
      <c r="F968" s="17" t="s">
        <v>223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8200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10442</v>
      </c>
      <c r="B969" s="17" t="s">
        <v>10442</v>
      </c>
      <c r="C969" s="17" t="s">
        <v>10443</v>
      </c>
      <c r="D969" s="17" t="s">
        <v>21</v>
      </c>
      <c r="E969" s="24">
        <v>1218</v>
      </c>
      <c r="F969" s="17" t="s">
        <v>225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9100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10444</v>
      </c>
      <c r="B970" s="17" t="s">
        <v>10444</v>
      </c>
      <c r="C970" s="17" t="s">
        <v>10445</v>
      </c>
      <c r="D970" s="17" t="s">
        <v>21</v>
      </c>
      <c r="E970" s="24">
        <v>1218</v>
      </c>
      <c r="F970" s="17" t="s">
        <v>229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10000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10446</v>
      </c>
      <c r="B971" s="17" t="s">
        <v>10446</v>
      </c>
      <c r="C971" s="17" t="s">
        <v>10447</v>
      </c>
      <c r="D971" s="17" t="s">
        <v>21</v>
      </c>
      <c r="E971" s="24">
        <v>1218</v>
      </c>
      <c r="F971" s="17" t="s">
        <v>233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11000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10448</v>
      </c>
      <c r="B972" s="17" t="s">
        <v>10448</v>
      </c>
      <c r="C972" s="17" t="s">
        <v>10449</v>
      </c>
      <c r="D972" s="17" t="s">
        <v>21</v>
      </c>
      <c r="E972" s="24">
        <v>1218</v>
      </c>
      <c r="F972" s="17" t="s">
        <v>235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12000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10450</v>
      </c>
      <c r="B973" s="17" t="s">
        <v>10450</v>
      </c>
      <c r="C973" s="17" t="s">
        <v>10451</v>
      </c>
      <c r="D973" s="17" t="s">
        <v>21</v>
      </c>
      <c r="E973" s="24">
        <v>1218</v>
      </c>
      <c r="F973" s="17" t="s">
        <v>239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13000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10452</v>
      </c>
      <c r="B974" s="17" t="s">
        <v>10452</v>
      </c>
      <c r="C974" s="17" t="s">
        <v>10453</v>
      </c>
      <c r="D974" s="17" t="s">
        <v>21</v>
      </c>
      <c r="E974" s="24">
        <v>1218</v>
      </c>
      <c r="F974" s="17" t="s">
        <v>243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15000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10454</v>
      </c>
      <c r="B975" s="17" t="s">
        <v>10454</v>
      </c>
      <c r="C975" s="17" t="s">
        <v>10455</v>
      </c>
      <c r="D975" s="17" t="s">
        <v>21</v>
      </c>
      <c r="E975" s="24">
        <v>1218</v>
      </c>
      <c r="F975" s="17" t="s">
        <v>247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16000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10456</v>
      </c>
      <c r="B976" s="17" t="s">
        <v>10456</v>
      </c>
      <c r="C976" s="17" t="s">
        <v>10457</v>
      </c>
      <c r="D976" s="17" t="s">
        <v>21</v>
      </c>
      <c r="E976" s="24">
        <v>1218</v>
      </c>
      <c r="F976" s="17" t="s">
        <v>251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18000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10458</v>
      </c>
      <c r="B977" s="17" t="s">
        <v>10458</v>
      </c>
      <c r="C977" s="17" t="s">
        <v>10459</v>
      </c>
      <c r="D977" s="17" t="s">
        <v>21</v>
      </c>
      <c r="E977" s="24">
        <v>1218</v>
      </c>
      <c r="F977" s="17" t="s">
        <v>255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10460</v>
      </c>
      <c r="B978" s="17" t="s">
        <v>10460</v>
      </c>
      <c r="C978" s="17" t="s">
        <v>10461</v>
      </c>
      <c r="D978" s="17" t="s">
        <v>21</v>
      </c>
      <c r="E978" s="24">
        <v>1218</v>
      </c>
      <c r="F978" s="17" t="s">
        <v>257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22000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10462</v>
      </c>
      <c r="B979" s="17" t="s">
        <v>10462</v>
      </c>
      <c r="C979" s="17" t="s">
        <v>10463</v>
      </c>
      <c r="D979" s="17" t="s">
        <v>21</v>
      </c>
      <c r="E979" s="24">
        <v>1218</v>
      </c>
      <c r="F979" s="17" t="s">
        <v>259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24000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10464</v>
      </c>
      <c r="B980" s="17" t="s">
        <v>10464</v>
      </c>
      <c r="C980" s="17" t="s">
        <v>10465</v>
      </c>
      <c r="D980" s="17" t="s">
        <v>21</v>
      </c>
      <c r="E980" s="24">
        <v>1218</v>
      </c>
      <c r="F980" s="17" t="s">
        <v>263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27000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10466</v>
      </c>
      <c r="B981" s="17" t="s">
        <v>10466</v>
      </c>
      <c r="C981" s="17" t="s">
        <v>10467</v>
      </c>
      <c r="D981" s="17" t="s">
        <v>21</v>
      </c>
      <c r="E981" s="24">
        <v>1218</v>
      </c>
      <c r="F981" s="17" t="s">
        <v>265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10468</v>
      </c>
      <c r="B982" s="17" t="s">
        <v>10468</v>
      </c>
      <c r="C982" s="17" t="s">
        <v>10469</v>
      </c>
      <c r="D982" s="17" t="s">
        <v>21</v>
      </c>
      <c r="E982" s="24">
        <v>1218</v>
      </c>
      <c r="F982" s="17" t="s">
        <v>267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33000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10470</v>
      </c>
      <c r="B983" s="17" t="s">
        <v>10470</v>
      </c>
      <c r="C983" s="17" t="s">
        <v>10471</v>
      </c>
      <c r="D983" s="17" t="s">
        <v>21</v>
      </c>
      <c r="E983" s="24">
        <v>1218</v>
      </c>
      <c r="F983" s="17" t="s">
        <v>269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36000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10472</v>
      </c>
      <c r="B984" s="17" t="s">
        <v>10472</v>
      </c>
      <c r="C984" s="17" t="s">
        <v>10473</v>
      </c>
      <c r="D984" s="17" t="s">
        <v>21</v>
      </c>
      <c r="E984" s="24">
        <v>1218</v>
      </c>
      <c r="F984" s="17" t="s">
        <v>273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39000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10474</v>
      </c>
      <c r="B985" s="17" t="s">
        <v>10474</v>
      </c>
      <c r="C985" s="17" t="s">
        <v>10475</v>
      </c>
      <c r="D985" s="17" t="s">
        <v>21</v>
      </c>
      <c r="E985" s="24">
        <v>1218</v>
      </c>
      <c r="F985" s="17" t="s">
        <v>277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43000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10476</v>
      </c>
      <c r="B986" s="17" t="s">
        <v>10476</v>
      </c>
      <c r="C986" s="17" t="s">
        <v>10477</v>
      </c>
      <c r="D986" s="17" t="s">
        <v>21</v>
      </c>
      <c r="E986" s="24">
        <v>1218</v>
      </c>
      <c r="F986" s="17" t="s">
        <v>279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47000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10478</v>
      </c>
      <c r="B987" s="17" t="s">
        <v>10478</v>
      </c>
      <c r="C987" s="17" t="s">
        <v>10479</v>
      </c>
      <c r="D987" s="17" t="s">
        <v>21</v>
      </c>
      <c r="E987" s="24">
        <v>1218</v>
      </c>
      <c r="F987" s="17" t="s">
        <v>283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51000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10480</v>
      </c>
      <c r="B988" s="17" t="s">
        <v>10480</v>
      </c>
      <c r="C988" s="17" t="s">
        <v>10481</v>
      </c>
      <c r="D988" s="17" t="s">
        <v>21</v>
      </c>
      <c r="E988" s="24">
        <v>1218</v>
      </c>
      <c r="F988" s="17" t="s">
        <v>287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56000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10482</v>
      </c>
      <c r="B989" s="17" t="s">
        <v>10482</v>
      </c>
      <c r="C989" s="17" t="s">
        <v>10483</v>
      </c>
      <c r="D989" s="17" t="s">
        <v>21</v>
      </c>
      <c r="E989" s="24">
        <v>1218</v>
      </c>
      <c r="F989" s="17" t="s">
        <v>291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62000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10484</v>
      </c>
      <c r="B990" s="17" t="s">
        <v>10484</v>
      </c>
      <c r="C990" s="17" t="s">
        <v>10485</v>
      </c>
      <c r="D990" s="17" t="s">
        <v>21</v>
      </c>
      <c r="E990" s="24">
        <v>1218</v>
      </c>
      <c r="F990" s="17" t="s">
        <v>295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68000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10486</v>
      </c>
      <c r="B991" s="17" t="s">
        <v>10486</v>
      </c>
      <c r="C991" s="17" t="s">
        <v>10487</v>
      </c>
      <c r="D991" s="17" t="s">
        <v>21</v>
      </c>
      <c r="E991" s="24">
        <v>1218</v>
      </c>
      <c r="F991" s="17" t="s">
        <v>299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75000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10488</v>
      </c>
      <c r="B992" s="17" t="s">
        <v>10488</v>
      </c>
      <c r="C992" s="17" t="s">
        <v>10489</v>
      </c>
      <c r="D992" s="17" t="s">
        <v>21</v>
      </c>
      <c r="E992" s="24">
        <v>1218</v>
      </c>
      <c r="F992" s="17" t="s">
        <v>301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82000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10490</v>
      </c>
      <c r="B993" s="17" t="s">
        <v>10490</v>
      </c>
      <c r="C993" s="17" t="s">
        <v>10491</v>
      </c>
      <c r="D993" s="17" t="s">
        <v>21</v>
      </c>
      <c r="E993" s="24">
        <v>1218</v>
      </c>
      <c r="F993" s="17" t="s">
        <v>303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91000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10492</v>
      </c>
      <c r="B994" s="17" t="s">
        <v>10492</v>
      </c>
      <c r="C994" s="17" t="s">
        <v>10493</v>
      </c>
      <c r="D994" s="17" t="s">
        <v>21</v>
      </c>
      <c r="E994" s="24">
        <v>1218</v>
      </c>
      <c r="F994" s="17" t="s">
        <v>305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100000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10494</v>
      </c>
      <c r="B995" s="17" t="s">
        <v>10494</v>
      </c>
      <c r="C995" s="17" t="s">
        <v>10495</v>
      </c>
      <c r="D995" s="17" t="s">
        <v>21</v>
      </c>
      <c r="E995" s="24">
        <v>1218</v>
      </c>
      <c r="F995" s="17" t="s">
        <v>309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110000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10496</v>
      </c>
      <c r="B996" s="17" t="s">
        <v>10496</v>
      </c>
      <c r="C996" s="17" t="s">
        <v>10497</v>
      </c>
      <c r="D996" s="17" t="s">
        <v>21</v>
      </c>
      <c r="E996" s="24">
        <v>1218</v>
      </c>
      <c r="F996" s="17" t="s">
        <v>313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120000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10498</v>
      </c>
      <c r="B997" s="17" t="s">
        <v>10498</v>
      </c>
      <c r="C997" s="17" t="s">
        <v>10499</v>
      </c>
      <c r="D997" s="17" t="s">
        <v>21</v>
      </c>
      <c r="E997" s="24">
        <v>1218</v>
      </c>
      <c r="F997" s="17" t="s">
        <v>317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130000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10500</v>
      </c>
      <c r="B998" s="17" t="s">
        <v>10500</v>
      </c>
      <c r="C998" s="17" t="s">
        <v>10501</v>
      </c>
      <c r="D998" s="17" t="s">
        <v>21</v>
      </c>
      <c r="E998" s="24">
        <v>1218</v>
      </c>
      <c r="F998" s="17" t="s">
        <v>321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150000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10502</v>
      </c>
      <c r="B999" s="17" t="s">
        <v>10502</v>
      </c>
      <c r="C999" s="17" t="s">
        <v>10503</v>
      </c>
      <c r="D999" s="17" t="s">
        <v>21</v>
      </c>
      <c r="E999" s="24">
        <v>1218</v>
      </c>
      <c r="F999" s="17" t="s">
        <v>323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160000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10504</v>
      </c>
      <c r="B1000" s="17" t="s">
        <v>10504</v>
      </c>
      <c r="C1000" s="17" t="s">
        <v>10505</v>
      </c>
      <c r="D1000" s="17" t="s">
        <v>21</v>
      </c>
      <c r="E1000" s="24">
        <v>1218</v>
      </c>
      <c r="F1000" s="17" t="s">
        <v>327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180000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10506</v>
      </c>
      <c r="B1001" s="17" t="s">
        <v>10506</v>
      </c>
      <c r="C1001" s="17" t="s">
        <v>10507</v>
      </c>
      <c r="D1001" s="17" t="s">
        <v>21</v>
      </c>
      <c r="E1001" s="24">
        <v>1218</v>
      </c>
      <c r="F1001" s="17" t="s">
        <v>331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10508</v>
      </c>
      <c r="B1002" s="17" t="s">
        <v>10508</v>
      </c>
      <c r="C1002" s="17" t="s">
        <v>10509</v>
      </c>
      <c r="D1002" s="17" t="s">
        <v>21</v>
      </c>
      <c r="E1002" s="24">
        <v>1218</v>
      </c>
      <c r="F1002" s="17" t="s">
        <v>333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220000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10510</v>
      </c>
      <c r="B1003" s="17" t="s">
        <v>10510</v>
      </c>
      <c r="C1003" s="17" t="s">
        <v>10511</v>
      </c>
      <c r="D1003" s="17" t="s">
        <v>21</v>
      </c>
      <c r="E1003" s="24">
        <v>1218</v>
      </c>
      <c r="F1003" s="17" t="s">
        <v>335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240000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10512</v>
      </c>
      <c r="B1004" s="17" t="s">
        <v>10512</v>
      </c>
      <c r="C1004" s="17" t="s">
        <v>10513</v>
      </c>
      <c r="D1004" s="17" t="s">
        <v>21</v>
      </c>
      <c r="E1004" s="24">
        <v>1218</v>
      </c>
      <c r="F1004" s="17" t="s">
        <v>337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270000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10514</v>
      </c>
      <c r="B1005" s="17" t="s">
        <v>10514</v>
      </c>
      <c r="C1005" s="17" t="s">
        <v>10515</v>
      </c>
      <c r="D1005" s="17" t="s">
        <v>21</v>
      </c>
      <c r="E1005" s="24">
        <v>1218</v>
      </c>
      <c r="F1005" s="17" t="s">
        <v>339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300000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10516</v>
      </c>
      <c r="B1006" s="17" t="s">
        <v>10516</v>
      </c>
      <c r="C1006" s="16" t="s">
        <v>10517</v>
      </c>
      <c r="D1006" s="16" t="s">
        <v>21</v>
      </c>
      <c r="E1006" s="24">
        <v>1218</v>
      </c>
      <c r="F1006" s="17" t="s">
        <v>341</v>
      </c>
      <c r="G1006" s="17" t="str">
        <f>Config!$B$3</f>
        <v>SCH/R_IEC.SchLib</v>
      </c>
      <c r="H1006" s="16" t="s">
        <v>419</v>
      </c>
      <c r="I1006" s="18" t="s">
        <v>461</v>
      </c>
      <c r="J1006" s="40"/>
      <c r="K1006" s="40"/>
      <c r="L1006" s="40"/>
      <c r="M1006" s="21">
        <v>330000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10518</v>
      </c>
      <c r="B1007" s="17" t="s">
        <v>10518</v>
      </c>
      <c r="C1007" s="17" t="s">
        <v>10519</v>
      </c>
      <c r="D1007" s="17" t="s">
        <v>21</v>
      </c>
      <c r="E1007" s="24">
        <v>1218</v>
      </c>
      <c r="F1007" s="17" t="s">
        <v>345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360000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10520</v>
      </c>
      <c r="B1008" s="17" t="s">
        <v>10520</v>
      </c>
      <c r="C1008" s="17" t="s">
        <v>10521</v>
      </c>
      <c r="D1008" s="17" t="s">
        <v>21</v>
      </c>
      <c r="E1008" s="24">
        <v>1218</v>
      </c>
      <c r="F1008" s="17" t="s">
        <v>349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390000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10522</v>
      </c>
      <c r="B1009" s="17" t="s">
        <v>10522</v>
      </c>
      <c r="C1009" s="17" t="s">
        <v>10523</v>
      </c>
      <c r="D1009" s="17" t="s">
        <v>21</v>
      </c>
      <c r="E1009" s="24">
        <v>1218</v>
      </c>
      <c r="F1009" s="17" t="s">
        <v>351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430000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10524</v>
      </c>
      <c r="B1010" s="17" t="s">
        <v>10524</v>
      </c>
      <c r="C1010" s="17" t="s">
        <v>10525</v>
      </c>
      <c r="D1010" s="17" t="s">
        <v>21</v>
      </c>
      <c r="E1010" s="24">
        <v>1218</v>
      </c>
      <c r="F1010" s="17" t="s">
        <v>353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470000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10526</v>
      </c>
      <c r="B1011" s="17" t="s">
        <v>10526</v>
      </c>
      <c r="C1011" s="17" t="s">
        <v>10527</v>
      </c>
      <c r="D1011" s="17" t="s">
        <v>21</v>
      </c>
      <c r="E1011" s="24">
        <v>1218</v>
      </c>
      <c r="F1011" s="17" t="s">
        <v>355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510000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10528</v>
      </c>
      <c r="B1012" s="17" t="s">
        <v>10528</v>
      </c>
      <c r="C1012" s="17" t="s">
        <v>10529</v>
      </c>
      <c r="D1012" s="17" t="s">
        <v>21</v>
      </c>
      <c r="E1012" s="24">
        <v>1218</v>
      </c>
      <c r="F1012" s="17" t="s">
        <v>357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560000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10530</v>
      </c>
      <c r="B1013" s="17" t="s">
        <v>10530</v>
      </c>
      <c r="C1013" s="17" t="s">
        <v>10531</v>
      </c>
      <c r="D1013" s="17" t="s">
        <v>21</v>
      </c>
      <c r="E1013" s="24">
        <v>1218</v>
      </c>
      <c r="F1013" s="17" t="s">
        <v>359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620000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10532</v>
      </c>
      <c r="B1014" s="17" t="s">
        <v>10532</v>
      </c>
      <c r="C1014" s="17" t="s">
        <v>10533</v>
      </c>
      <c r="D1014" s="17" t="s">
        <v>21</v>
      </c>
      <c r="E1014" s="24">
        <v>1218</v>
      </c>
      <c r="F1014" s="17" t="s">
        <v>361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680000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10534</v>
      </c>
      <c r="B1015" s="17" t="s">
        <v>10534</v>
      </c>
      <c r="C1015" s="17" t="s">
        <v>10535</v>
      </c>
      <c r="D1015" s="17" t="s">
        <v>21</v>
      </c>
      <c r="E1015" s="24">
        <v>1218</v>
      </c>
      <c r="F1015" s="17" t="s">
        <v>363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750000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10536</v>
      </c>
      <c r="B1016" s="17" t="s">
        <v>10536</v>
      </c>
      <c r="C1016" s="17" t="s">
        <v>10537</v>
      </c>
      <c r="D1016" s="17" t="s">
        <v>21</v>
      </c>
      <c r="E1016" s="24">
        <v>1218</v>
      </c>
      <c r="F1016" s="17" t="s">
        <v>365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820000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10538</v>
      </c>
      <c r="B1017" s="17" t="s">
        <v>10538</v>
      </c>
      <c r="C1017" s="17" t="s">
        <v>10539</v>
      </c>
      <c r="D1017" s="17" t="s">
        <v>21</v>
      </c>
      <c r="E1017" s="24">
        <v>1218</v>
      </c>
      <c r="F1017" s="17" t="s">
        <v>367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910000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10540</v>
      </c>
      <c r="B1018" s="17" t="s">
        <v>10540</v>
      </c>
      <c r="C1018" s="17" t="s">
        <v>10541</v>
      </c>
      <c r="D1018" s="17" t="s">
        <v>21</v>
      </c>
      <c r="E1018" s="24">
        <v>1218</v>
      </c>
      <c r="F1018" s="17" t="s">
        <v>369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1000000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10542</v>
      </c>
      <c r="B1019" s="17" t="s">
        <v>10542</v>
      </c>
      <c r="C1019" s="17" t="s">
        <v>10543</v>
      </c>
      <c r="D1019" s="17" t="s">
        <v>21</v>
      </c>
      <c r="E1019" s="24">
        <v>1218</v>
      </c>
      <c r="F1019" s="17" t="s">
        <v>371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1100000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10544</v>
      </c>
      <c r="B1020" s="17" t="s">
        <v>10544</v>
      </c>
      <c r="C1020" s="17" t="s">
        <v>10545</v>
      </c>
      <c r="D1020" s="17" t="s">
        <v>21</v>
      </c>
      <c r="E1020" s="24">
        <v>1218</v>
      </c>
      <c r="F1020" s="17" t="s">
        <v>373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1200000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10546</v>
      </c>
      <c r="B1021" s="17" t="s">
        <v>10546</v>
      </c>
      <c r="C1021" s="17" t="s">
        <v>10547</v>
      </c>
      <c r="D1021" s="17" t="s">
        <v>21</v>
      </c>
      <c r="E1021" s="24">
        <v>1218</v>
      </c>
      <c r="F1021" s="17" t="s">
        <v>375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1300000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10548</v>
      </c>
      <c r="B1022" s="17" t="s">
        <v>10548</v>
      </c>
      <c r="C1022" s="17" t="s">
        <v>10549</v>
      </c>
      <c r="D1022" s="17" t="s">
        <v>21</v>
      </c>
      <c r="E1022" s="24">
        <v>1218</v>
      </c>
      <c r="F1022" s="17" t="s">
        <v>377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1500000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10550</v>
      </c>
      <c r="B1023" s="17" t="s">
        <v>10550</v>
      </c>
      <c r="C1023" s="17" t="s">
        <v>10551</v>
      </c>
      <c r="D1023" s="17" t="s">
        <v>21</v>
      </c>
      <c r="E1023" s="24">
        <v>1218</v>
      </c>
      <c r="F1023" s="17" t="s">
        <v>379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1600000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10552</v>
      </c>
      <c r="B1024" s="17" t="s">
        <v>10552</v>
      </c>
      <c r="C1024" s="17" t="s">
        <v>10553</v>
      </c>
      <c r="D1024" s="17" t="s">
        <v>21</v>
      </c>
      <c r="E1024" s="24">
        <v>1218</v>
      </c>
      <c r="F1024" s="17" t="s">
        <v>381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1800000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10554</v>
      </c>
      <c r="B1025" s="17" t="s">
        <v>10554</v>
      </c>
      <c r="C1025" s="17" t="s">
        <v>10555</v>
      </c>
      <c r="D1025" s="17" t="s">
        <v>21</v>
      </c>
      <c r="E1025" s="24">
        <v>1218</v>
      </c>
      <c r="F1025" s="17" t="s">
        <v>383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2000000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10556</v>
      </c>
      <c r="B1026" s="17" t="s">
        <v>10556</v>
      </c>
      <c r="C1026" s="17" t="s">
        <v>10557</v>
      </c>
      <c r="D1026" s="17" t="s">
        <v>21</v>
      </c>
      <c r="E1026" s="24">
        <v>1218</v>
      </c>
      <c r="F1026" s="17" t="s">
        <v>385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2200000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10558</v>
      </c>
      <c r="B1027" s="17" t="s">
        <v>10558</v>
      </c>
      <c r="C1027" s="17" t="s">
        <v>10559</v>
      </c>
      <c r="D1027" s="17" t="s">
        <v>21</v>
      </c>
      <c r="E1027" s="24">
        <v>1218</v>
      </c>
      <c r="F1027" s="17" t="s">
        <v>387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2400000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10560</v>
      </c>
      <c r="B1028" s="17" t="s">
        <v>10560</v>
      </c>
      <c r="C1028" s="17" t="s">
        <v>10561</v>
      </c>
      <c r="D1028" s="17" t="s">
        <v>21</v>
      </c>
      <c r="E1028" s="24">
        <v>1218</v>
      </c>
      <c r="F1028" s="17" t="s">
        <v>389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2700000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10562</v>
      </c>
      <c r="B1029" s="17" t="s">
        <v>10562</v>
      </c>
      <c r="C1029" s="17" t="s">
        <v>10563</v>
      </c>
      <c r="D1029" s="17" t="s">
        <v>21</v>
      </c>
      <c r="E1029" s="24">
        <v>1218</v>
      </c>
      <c r="F1029" s="17" t="s">
        <v>391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3000000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10564</v>
      </c>
      <c r="B1030" s="17" t="s">
        <v>10564</v>
      </c>
      <c r="C1030" s="17" t="s">
        <v>10565</v>
      </c>
      <c r="D1030" s="17" t="s">
        <v>21</v>
      </c>
      <c r="E1030" s="24">
        <v>1218</v>
      </c>
      <c r="F1030" s="17" t="s">
        <v>393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3300000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10566</v>
      </c>
      <c r="B1031" s="17" t="s">
        <v>10566</v>
      </c>
      <c r="C1031" s="17" t="s">
        <v>10567</v>
      </c>
      <c r="D1031" s="17" t="s">
        <v>21</v>
      </c>
      <c r="E1031" s="24">
        <v>1218</v>
      </c>
      <c r="F1031" s="17" t="s">
        <v>395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3600000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10568</v>
      </c>
      <c r="B1032" s="17" t="s">
        <v>10568</v>
      </c>
      <c r="C1032" s="17" t="s">
        <v>10569</v>
      </c>
      <c r="D1032" s="17" t="s">
        <v>21</v>
      </c>
      <c r="E1032" s="24">
        <v>1218</v>
      </c>
      <c r="F1032" s="17" t="s">
        <v>397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3900000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10570</v>
      </c>
      <c r="B1033" s="17" t="s">
        <v>10570</v>
      </c>
      <c r="C1033" s="17" t="s">
        <v>10571</v>
      </c>
      <c r="D1033" s="17" t="s">
        <v>21</v>
      </c>
      <c r="E1033" s="24">
        <v>1218</v>
      </c>
      <c r="F1033" s="17" t="s">
        <v>399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4300000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10572</v>
      </c>
      <c r="B1034" s="17" t="s">
        <v>10572</v>
      </c>
      <c r="C1034" s="17" t="s">
        <v>10573</v>
      </c>
      <c r="D1034" s="17" t="s">
        <v>21</v>
      </c>
      <c r="E1034" s="24">
        <v>1218</v>
      </c>
      <c r="F1034" s="17" t="s">
        <v>401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4700000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10574</v>
      </c>
      <c r="B1035" s="17" t="s">
        <v>10574</v>
      </c>
      <c r="C1035" s="17" t="s">
        <v>10575</v>
      </c>
      <c r="D1035" s="17" t="s">
        <v>21</v>
      </c>
      <c r="E1035" s="24">
        <v>1218</v>
      </c>
      <c r="F1035" s="17" t="s">
        <v>403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5100000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10576</v>
      </c>
      <c r="B1036" s="17" t="s">
        <v>10576</v>
      </c>
      <c r="C1036" s="17" t="s">
        <v>10577</v>
      </c>
      <c r="D1036" s="17" t="s">
        <v>21</v>
      </c>
      <c r="E1036" s="24">
        <v>1218</v>
      </c>
      <c r="F1036" s="17" t="s">
        <v>405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5600000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10578</v>
      </c>
      <c r="B1037" s="17" t="s">
        <v>10578</v>
      </c>
      <c r="C1037" s="17" t="s">
        <v>10579</v>
      </c>
      <c r="D1037" s="17" t="s">
        <v>21</v>
      </c>
      <c r="E1037" s="24">
        <v>1218</v>
      </c>
      <c r="F1037" s="17" t="s">
        <v>407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6200000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10580</v>
      </c>
      <c r="B1038" s="17" t="s">
        <v>10580</v>
      </c>
      <c r="C1038" s="17" t="s">
        <v>10581</v>
      </c>
      <c r="D1038" s="17" t="s">
        <v>21</v>
      </c>
      <c r="E1038" s="24">
        <v>1218</v>
      </c>
      <c r="F1038" s="17" t="s">
        <v>409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6800000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10582</v>
      </c>
      <c r="B1039" s="17" t="s">
        <v>10582</v>
      </c>
      <c r="C1039" s="17" t="s">
        <v>10583</v>
      </c>
      <c r="D1039" s="17" t="s">
        <v>21</v>
      </c>
      <c r="E1039" s="24">
        <v>1218</v>
      </c>
      <c r="F1039" s="17" t="s">
        <v>411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7500000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10584</v>
      </c>
      <c r="B1040" s="17" t="s">
        <v>10584</v>
      </c>
      <c r="C1040" s="17" t="s">
        <v>10585</v>
      </c>
      <c r="D1040" s="17" t="s">
        <v>21</v>
      </c>
      <c r="E1040" s="24">
        <v>1218</v>
      </c>
      <c r="F1040" s="17" t="s">
        <v>413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8200000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10586</v>
      </c>
      <c r="B1041" s="17" t="s">
        <v>10586</v>
      </c>
      <c r="C1041" s="17" t="s">
        <v>10587</v>
      </c>
      <c r="D1041" s="17" t="s">
        <v>21</v>
      </c>
      <c r="E1041" s="24">
        <v>1218</v>
      </c>
      <c r="F1041" s="17" t="s">
        <v>415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9100000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10588</v>
      </c>
      <c r="B1042" s="17" t="s">
        <v>10588</v>
      </c>
      <c r="C1042" s="17" t="s">
        <v>10589</v>
      </c>
      <c r="D1042" s="17" t="s">
        <v>21</v>
      </c>
      <c r="E1042" s="24">
        <v>1218</v>
      </c>
      <c r="F1042" s="17" t="s">
        <v>417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21">
        <v>10000000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6" t="s">
        <v>9910</v>
      </c>
      <c r="B1043" s="16" t="s">
        <v>9910</v>
      </c>
      <c r="C1043" s="16" t="s">
        <v>9911</v>
      </c>
      <c r="D1043" s="16" t="s">
        <v>21</v>
      </c>
      <c r="E1043" s="16">
        <v>2010</v>
      </c>
      <c r="F1043" s="16" t="s">
        <v>23</v>
      </c>
      <c r="G1043" s="17" t="str">
        <f>Config!$B$3</f>
        <v>SCH/R_IEC.SchLib</v>
      </c>
      <c r="H1043" s="16" t="s">
        <v>419</v>
      </c>
      <c r="I1043" s="18" t="s">
        <v>461</v>
      </c>
      <c r="J1043" s="41"/>
      <c r="K1043" s="41"/>
      <c r="L1043" s="41"/>
      <c r="M1043" s="19">
        <v>0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9912</v>
      </c>
      <c r="B1044" s="17" t="s">
        <v>9912</v>
      </c>
      <c r="C1044" s="17" t="s">
        <v>9913</v>
      </c>
      <c r="D1044" s="17" t="s">
        <v>21</v>
      </c>
      <c r="E1044" s="24">
        <v>2010</v>
      </c>
      <c r="F1044" s="17" t="s">
        <v>29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9914</v>
      </c>
      <c r="B1045" s="17" t="s">
        <v>9914</v>
      </c>
      <c r="C1045" s="17" t="s">
        <v>9915</v>
      </c>
      <c r="D1045" s="17" t="s">
        <v>21</v>
      </c>
      <c r="E1045" s="24">
        <v>2010</v>
      </c>
      <c r="F1045" s="17" t="s">
        <v>1042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1.1000000000000001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9916</v>
      </c>
      <c r="B1046" s="17" t="s">
        <v>9916</v>
      </c>
      <c r="C1046" s="17" t="s">
        <v>9917</v>
      </c>
      <c r="D1046" s="17" t="s">
        <v>21</v>
      </c>
      <c r="E1046" s="24">
        <v>2010</v>
      </c>
      <c r="F1046" s="17" t="s">
        <v>31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1.2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9918</v>
      </c>
      <c r="B1047" s="17" t="s">
        <v>9918</v>
      </c>
      <c r="C1047" s="17" t="s">
        <v>9919</v>
      </c>
      <c r="D1047" s="17" t="s">
        <v>21</v>
      </c>
      <c r="E1047" s="24">
        <v>2010</v>
      </c>
      <c r="F1047" s="17" t="s">
        <v>1052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1.3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9920</v>
      </c>
      <c r="B1048" s="17" t="s">
        <v>9920</v>
      </c>
      <c r="C1048" s="17" t="s">
        <v>9921</v>
      </c>
      <c r="D1048" s="17" t="s">
        <v>21</v>
      </c>
      <c r="E1048" s="24">
        <v>2010</v>
      </c>
      <c r="F1048" s="17" t="s">
        <v>33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1.5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9922</v>
      </c>
      <c r="B1049" s="17" t="s">
        <v>9922</v>
      </c>
      <c r="C1049" s="17" t="s">
        <v>9923</v>
      </c>
      <c r="D1049" s="17" t="s">
        <v>21</v>
      </c>
      <c r="E1049" s="24">
        <v>2010</v>
      </c>
      <c r="F1049" s="17" t="s">
        <v>1062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1.6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9924</v>
      </c>
      <c r="B1050" s="17" t="s">
        <v>9924</v>
      </c>
      <c r="C1050" s="17" t="s">
        <v>9925</v>
      </c>
      <c r="D1050" s="17" t="s">
        <v>21</v>
      </c>
      <c r="E1050" s="24">
        <v>2010</v>
      </c>
      <c r="F1050" s="17" t="s">
        <v>35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1.8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9926</v>
      </c>
      <c r="B1051" s="17" t="s">
        <v>9926</v>
      </c>
      <c r="C1051" s="17" t="s">
        <v>9927</v>
      </c>
      <c r="D1051" s="17" t="s">
        <v>21</v>
      </c>
      <c r="E1051" s="24">
        <v>2010</v>
      </c>
      <c r="F1051" s="17" t="s">
        <v>1070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9928</v>
      </c>
      <c r="B1052" s="17" t="s">
        <v>9928</v>
      </c>
      <c r="C1052" s="17" t="s">
        <v>9929</v>
      </c>
      <c r="D1052" s="17" t="s">
        <v>21</v>
      </c>
      <c r="E1052" s="24">
        <v>2010</v>
      </c>
      <c r="F1052" s="17" t="s">
        <v>37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2.2000000000000002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9930</v>
      </c>
      <c r="B1053" s="17" t="s">
        <v>9930</v>
      </c>
      <c r="C1053" s="17" t="s">
        <v>9931</v>
      </c>
      <c r="D1053" s="17" t="s">
        <v>21</v>
      </c>
      <c r="E1053" s="24">
        <v>2010</v>
      </c>
      <c r="F1053" s="17" t="s">
        <v>1080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2.4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9932</v>
      </c>
      <c r="B1054" s="17" t="s">
        <v>9932</v>
      </c>
      <c r="C1054" s="17" t="s">
        <v>9933</v>
      </c>
      <c r="D1054" s="17" t="s">
        <v>21</v>
      </c>
      <c r="E1054" s="24">
        <v>2010</v>
      </c>
      <c r="F1054" s="17" t="s">
        <v>39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2.7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9934</v>
      </c>
      <c r="B1055" s="17" t="s">
        <v>9934</v>
      </c>
      <c r="C1055" s="17" t="s">
        <v>9935</v>
      </c>
      <c r="D1055" s="17" t="s">
        <v>21</v>
      </c>
      <c r="E1055" s="24">
        <v>2010</v>
      </c>
      <c r="F1055" s="17" t="s">
        <v>1088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9936</v>
      </c>
      <c r="B1056" s="17" t="s">
        <v>9936</v>
      </c>
      <c r="C1056" s="17" t="s">
        <v>9937</v>
      </c>
      <c r="D1056" s="17" t="s">
        <v>21</v>
      </c>
      <c r="E1056" s="24">
        <v>2010</v>
      </c>
      <c r="F1056" s="17" t="s">
        <v>41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3.3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9938</v>
      </c>
      <c r="B1057" s="17" t="s">
        <v>9938</v>
      </c>
      <c r="C1057" s="17" t="s">
        <v>9939</v>
      </c>
      <c r="D1057" s="17" t="s">
        <v>21</v>
      </c>
      <c r="E1057" s="24">
        <v>2010</v>
      </c>
      <c r="F1057" s="17" t="s">
        <v>1098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3.6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9940</v>
      </c>
      <c r="B1058" s="17" t="s">
        <v>9940</v>
      </c>
      <c r="C1058" s="17" t="s">
        <v>9941</v>
      </c>
      <c r="D1058" s="17" t="s">
        <v>21</v>
      </c>
      <c r="E1058" s="24">
        <v>2010</v>
      </c>
      <c r="F1058" s="17" t="s">
        <v>43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3.9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9942</v>
      </c>
      <c r="B1059" s="17" t="s">
        <v>9942</v>
      </c>
      <c r="C1059" s="17" t="s">
        <v>9943</v>
      </c>
      <c r="D1059" s="17" t="s">
        <v>21</v>
      </c>
      <c r="E1059" s="24">
        <v>2010</v>
      </c>
      <c r="F1059" s="17" t="s">
        <v>1106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4.3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9944</v>
      </c>
      <c r="B1060" s="17" t="s">
        <v>9944</v>
      </c>
      <c r="C1060" s="17" t="s">
        <v>9945</v>
      </c>
      <c r="D1060" s="17" t="s">
        <v>21</v>
      </c>
      <c r="E1060" s="24">
        <v>2010</v>
      </c>
      <c r="F1060" s="17" t="s">
        <v>45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4.7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9946</v>
      </c>
      <c r="B1061" s="17" t="s">
        <v>9946</v>
      </c>
      <c r="C1061" s="17" t="s">
        <v>9947</v>
      </c>
      <c r="D1061" s="17" t="s">
        <v>21</v>
      </c>
      <c r="E1061" s="24">
        <v>2010</v>
      </c>
      <c r="F1061" s="17" t="s">
        <v>1116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5.0999999999999996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9948</v>
      </c>
      <c r="B1062" s="17" t="s">
        <v>9948</v>
      </c>
      <c r="C1062" s="17" t="s">
        <v>9949</v>
      </c>
      <c r="D1062" s="17" t="s">
        <v>21</v>
      </c>
      <c r="E1062" s="24">
        <v>2010</v>
      </c>
      <c r="F1062" s="17" t="s">
        <v>47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5.6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9950</v>
      </c>
      <c r="B1063" s="17" t="s">
        <v>9950</v>
      </c>
      <c r="C1063" s="17" t="s">
        <v>9951</v>
      </c>
      <c r="D1063" s="17" t="s">
        <v>21</v>
      </c>
      <c r="E1063" s="24">
        <v>2010</v>
      </c>
      <c r="F1063" s="17" t="s">
        <v>1128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6.2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9952</v>
      </c>
      <c r="B1064" s="17" t="s">
        <v>9952</v>
      </c>
      <c r="C1064" s="17" t="s">
        <v>9953</v>
      </c>
      <c r="D1064" s="17" t="s">
        <v>21</v>
      </c>
      <c r="E1064" s="24">
        <v>2010</v>
      </c>
      <c r="F1064" s="17" t="s">
        <v>49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6.8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9954</v>
      </c>
      <c r="B1065" s="17" t="s">
        <v>9954</v>
      </c>
      <c r="C1065" s="17" t="s">
        <v>9955</v>
      </c>
      <c r="D1065" s="17" t="s">
        <v>21</v>
      </c>
      <c r="E1065" s="24">
        <v>2010</v>
      </c>
      <c r="F1065" s="17" t="s">
        <v>1138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7.5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9956</v>
      </c>
      <c r="B1066" s="17" t="s">
        <v>9956</v>
      </c>
      <c r="C1066" s="17" t="s">
        <v>9957</v>
      </c>
      <c r="D1066" s="17" t="s">
        <v>21</v>
      </c>
      <c r="E1066" s="24">
        <v>2010</v>
      </c>
      <c r="F1066" s="17" t="s">
        <v>51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8.1999999999999993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9958</v>
      </c>
      <c r="B1067" s="17" t="s">
        <v>9958</v>
      </c>
      <c r="C1067" s="17" t="s">
        <v>9959</v>
      </c>
      <c r="D1067" s="17" t="s">
        <v>21</v>
      </c>
      <c r="E1067" s="24">
        <v>2010</v>
      </c>
      <c r="F1067" s="17" t="s">
        <v>1148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17">
        <v>9.1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9960</v>
      </c>
      <c r="B1068" s="17" t="s">
        <v>9960</v>
      </c>
      <c r="C1068" s="17" t="s">
        <v>9961</v>
      </c>
      <c r="D1068" s="17" t="s">
        <v>21</v>
      </c>
      <c r="E1068" s="24">
        <v>2010</v>
      </c>
      <c r="F1068" s="17" t="s">
        <v>53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10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9962</v>
      </c>
      <c r="B1069" s="17" t="s">
        <v>9962</v>
      </c>
      <c r="C1069" s="17" t="s">
        <v>9963</v>
      </c>
      <c r="D1069" s="17" t="s">
        <v>21</v>
      </c>
      <c r="E1069" s="24">
        <v>2010</v>
      </c>
      <c r="F1069" s="17" t="s">
        <v>57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11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9964</v>
      </c>
      <c r="B1070" s="17" t="s">
        <v>9964</v>
      </c>
      <c r="C1070" s="17" t="s">
        <v>9965</v>
      </c>
      <c r="D1070" s="17" t="s">
        <v>21</v>
      </c>
      <c r="E1070" s="24">
        <v>2010</v>
      </c>
      <c r="F1070" s="17" t="s">
        <v>59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12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9966</v>
      </c>
      <c r="B1071" s="17" t="s">
        <v>9966</v>
      </c>
      <c r="C1071" s="17" t="s">
        <v>9967</v>
      </c>
      <c r="D1071" s="17" t="s">
        <v>21</v>
      </c>
      <c r="E1071" s="24">
        <v>2010</v>
      </c>
      <c r="F1071" s="17" t="s">
        <v>61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13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9968</v>
      </c>
      <c r="B1072" s="17" t="s">
        <v>9968</v>
      </c>
      <c r="C1072" s="17" t="s">
        <v>9969</v>
      </c>
      <c r="D1072" s="17" t="s">
        <v>21</v>
      </c>
      <c r="E1072" s="24">
        <v>2010</v>
      </c>
      <c r="F1072" s="17" t="s">
        <v>63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15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9970</v>
      </c>
      <c r="B1073" s="17" t="s">
        <v>9970</v>
      </c>
      <c r="C1073" s="17" t="s">
        <v>9971</v>
      </c>
      <c r="D1073" s="17" t="s">
        <v>21</v>
      </c>
      <c r="E1073" s="24">
        <v>2010</v>
      </c>
      <c r="F1073" s="17" t="s">
        <v>65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16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9972</v>
      </c>
      <c r="B1074" s="17" t="s">
        <v>9972</v>
      </c>
      <c r="C1074" s="17" t="s">
        <v>9973</v>
      </c>
      <c r="D1074" s="17" t="s">
        <v>21</v>
      </c>
      <c r="E1074" s="24">
        <v>2010</v>
      </c>
      <c r="F1074" s="17" t="s">
        <v>67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18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9974</v>
      </c>
      <c r="B1075" s="17" t="s">
        <v>9974</v>
      </c>
      <c r="C1075" s="17" t="s">
        <v>9975</v>
      </c>
      <c r="D1075" s="17" t="s">
        <v>21</v>
      </c>
      <c r="E1075" s="24">
        <v>2010</v>
      </c>
      <c r="F1075" s="17" t="s">
        <v>69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9976</v>
      </c>
      <c r="B1076" s="17" t="s">
        <v>9976</v>
      </c>
      <c r="C1076" s="17" t="s">
        <v>9977</v>
      </c>
      <c r="D1076" s="17" t="s">
        <v>21</v>
      </c>
      <c r="E1076" s="24">
        <v>2010</v>
      </c>
      <c r="F1076" s="17" t="s">
        <v>71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22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9978</v>
      </c>
      <c r="B1077" s="17" t="s">
        <v>9978</v>
      </c>
      <c r="C1077" s="17" t="s">
        <v>9979</v>
      </c>
      <c r="D1077" s="17" t="s">
        <v>21</v>
      </c>
      <c r="E1077" s="24">
        <v>2010</v>
      </c>
      <c r="F1077" s="17" t="s">
        <v>75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24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9980</v>
      </c>
      <c r="B1078" s="17" t="s">
        <v>9980</v>
      </c>
      <c r="C1078" s="17" t="s">
        <v>9981</v>
      </c>
      <c r="D1078" s="17" t="s">
        <v>21</v>
      </c>
      <c r="E1078" s="24">
        <v>2010</v>
      </c>
      <c r="F1078" s="17" t="s">
        <v>77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27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9982</v>
      </c>
      <c r="B1079" s="17" t="s">
        <v>9982</v>
      </c>
      <c r="C1079" s="17" t="s">
        <v>9983</v>
      </c>
      <c r="D1079" s="17" t="s">
        <v>21</v>
      </c>
      <c r="E1079" s="24">
        <v>2010</v>
      </c>
      <c r="F1079" s="17" t="s">
        <v>79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9984</v>
      </c>
      <c r="B1080" s="17" t="s">
        <v>9984</v>
      </c>
      <c r="C1080" s="17" t="s">
        <v>9985</v>
      </c>
      <c r="D1080" s="17" t="s">
        <v>21</v>
      </c>
      <c r="E1080" s="24">
        <v>2010</v>
      </c>
      <c r="F1080" s="17" t="s">
        <v>81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33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9986</v>
      </c>
      <c r="B1081" s="17" t="s">
        <v>9986</v>
      </c>
      <c r="C1081" s="17" t="s">
        <v>9987</v>
      </c>
      <c r="D1081" s="17" t="s">
        <v>21</v>
      </c>
      <c r="E1081" s="24">
        <v>2010</v>
      </c>
      <c r="F1081" s="17" t="s">
        <v>83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36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9988</v>
      </c>
      <c r="B1082" s="17" t="s">
        <v>9988</v>
      </c>
      <c r="C1082" s="17" t="s">
        <v>9989</v>
      </c>
      <c r="D1082" s="17" t="s">
        <v>21</v>
      </c>
      <c r="E1082" s="24">
        <v>2010</v>
      </c>
      <c r="F1082" s="17" t="s">
        <v>85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39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9990</v>
      </c>
      <c r="B1083" s="17" t="s">
        <v>9990</v>
      </c>
      <c r="C1083" s="17" t="s">
        <v>9991</v>
      </c>
      <c r="D1083" s="17" t="s">
        <v>21</v>
      </c>
      <c r="E1083" s="24">
        <v>2010</v>
      </c>
      <c r="F1083" s="17" t="s">
        <v>87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43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9992</v>
      </c>
      <c r="B1084" s="17" t="s">
        <v>9992</v>
      </c>
      <c r="C1084" s="17" t="s">
        <v>9993</v>
      </c>
      <c r="D1084" s="17" t="s">
        <v>21</v>
      </c>
      <c r="E1084" s="24">
        <v>2010</v>
      </c>
      <c r="F1084" s="17" t="s">
        <v>89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47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9994</v>
      </c>
      <c r="B1085" s="17" t="s">
        <v>9994</v>
      </c>
      <c r="C1085" s="17" t="s">
        <v>9995</v>
      </c>
      <c r="D1085" s="17" t="s">
        <v>21</v>
      </c>
      <c r="E1085" s="24">
        <v>2010</v>
      </c>
      <c r="F1085" s="17" t="s">
        <v>91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51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9996</v>
      </c>
      <c r="B1086" s="17" t="s">
        <v>9996</v>
      </c>
      <c r="C1086" s="17" t="s">
        <v>9997</v>
      </c>
      <c r="D1086" s="17" t="s">
        <v>21</v>
      </c>
      <c r="E1086" s="24">
        <v>2010</v>
      </c>
      <c r="F1086" s="17" t="s">
        <v>93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56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9998</v>
      </c>
      <c r="B1087" s="17" t="s">
        <v>9998</v>
      </c>
      <c r="C1087" s="17" t="s">
        <v>9999</v>
      </c>
      <c r="D1087" s="17" t="s">
        <v>21</v>
      </c>
      <c r="E1087" s="24">
        <v>2010</v>
      </c>
      <c r="F1087" s="17" t="s">
        <v>95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62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10000</v>
      </c>
      <c r="B1088" s="17" t="s">
        <v>10000</v>
      </c>
      <c r="C1088" s="17" t="s">
        <v>10001</v>
      </c>
      <c r="D1088" s="17" t="s">
        <v>21</v>
      </c>
      <c r="E1088" s="24">
        <v>2010</v>
      </c>
      <c r="F1088" s="17" t="s">
        <v>97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68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10002</v>
      </c>
      <c r="B1089" s="17" t="s">
        <v>10002</v>
      </c>
      <c r="C1089" s="17" t="s">
        <v>10003</v>
      </c>
      <c r="D1089" s="17" t="s">
        <v>21</v>
      </c>
      <c r="E1089" s="24">
        <v>2010</v>
      </c>
      <c r="F1089" s="17" t="s">
        <v>99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75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10004</v>
      </c>
      <c r="B1090" s="17" t="s">
        <v>10004</v>
      </c>
      <c r="C1090" s="17" t="s">
        <v>10005</v>
      </c>
      <c r="D1090" s="17" t="s">
        <v>21</v>
      </c>
      <c r="E1090" s="24">
        <v>2010</v>
      </c>
      <c r="F1090" s="17" t="s">
        <v>101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82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10006</v>
      </c>
      <c r="B1091" s="17" t="s">
        <v>10006</v>
      </c>
      <c r="C1091" s="17" t="s">
        <v>10007</v>
      </c>
      <c r="D1091" s="17" t="s">
        <v>21</v>
      </c>
      <c r="E1091" s="24">
        <v>2010</v>
      </c>
      <c r="F1091" s="17" t="s">
        <v>103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91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10008</v>
      </c>
      <c r="B1092" s="17" t="s">
        <v>10008</v>
      </c>
      <c r="C1092" s="17" t="s">
        <v>10009</v>
      </c>
      <c r="D1092" s="17" t="s">
        <v>21</v>
      </c>
      <c r="E1092" s="24">
        <v>2010</v>
      </c>
      <c r="F1092" s="17" t="s">
        <v>105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100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10010</v>
      </c>
      <c r="B1093" s="17" t="s">
        <v>10010</v>
      </c>
      <c r="C1093" s="17" t="s">
        <v>10011</v>
      </c>
      <c r="D1093" s="17" t="s">
        <v>21</v>
      </c>
      <c r="E1093" s="24">
        <v>2010</v>
      </c>
      <c r="F1093" s="17" t="s">
        <v>109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110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10012</v>
      </c>
      <c r="B1094" s="17" t="s">
        <v>10012</v>
      </c>
      <c r="C1094" s="17" t="s">
        <v>10013</v>
      </c>
      <c r="D1094" s="17" t="s">
        <v>21</v>
      </c>
      <c r="E1094" s="24">
        <v>2010</v>
      </c>
      <c r="F1094" s="17" t="s">
        <v>111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120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10014</v>
      </c>
      <c r="B1095" s="17" t="s">
        <v>10014</v>
      </c>
      <c r="C1095" s="17" t="s">
        <v>10015</v>
      </c>
      <c r="D1095" s="17" t="s">
        <v>21</v>
      </c>
      <c r="E1095" s="24">
        <v>2010</v>
      </c>
      <c r="F1095" s="17" t="s">
        <v>113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130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10016</v>
      </c>
      <c r="B1096" s="17" t="s">
        <v>10016</v>
      </c>
      <c r="C1096" s="17" t="s">
        <v>10017</v>
      </c>
      <c r="D1096" s="17" t="s">
        <v>21</v>
      </c>
      <c r="E1096" s="24">
        <v>2010</v>
      </c>
      <c r="F1096" s="17" t="s">
        <v>115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150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10018</v>
      </c>
      <c r="B1097" s="17" t="s">
        <v>10018</v>
      </c>
      <c r="C1097" s="17" t="s">
        <v>10019</v>
      </c>
      <c r="D1097" s="17" t="s">
        <v>21</v>
      </c>
      <c r="E1097" s="24">
        <v>2010</v>
      </c>
      <c r="F1097" s="17" t="s">
        <v>117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160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10020</v>
      </c>
      <c r="B1098" s="17" t="s">
        <v>10020</v>
      </c>
      <c r="C1098" s="17" t="s">
        <v>10021</v>
      </c>
      <c r="D1098" s="17" t="s">
        <v>21</v>
      </c>
      <c r="E1098" s="24">
        <v>2010</v>
      </c>
      <c r="F1098" s="17" t="s">
        <v>119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180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10022</v>
      </c>
      <c r="B1099" s="17" t="s">
        <v>10022</v>
      </c>
      <c r="C1099" s="17" t="s">
        <v>10023</v>
      </c>
      <c r="D1099" s="17" t="s">
        <v>21</v>
      </c>
      <c r="E1099" s="24">
        <v>2010</v>
      </c>
      <c r="F1099" s="17" t="s">
        <v>123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10024</v>
      </c>
      <c r="B1100" s="17" t="s">
        <v>10024</v>
      </c>
      <c r="C1100" s="17" t="s">
        <v>10025</v>
      </c>
      <c r="D1100" s="17" t="s">
        <v>21</v>
      </c>
      <c r="E1100" s="24">
        <v>2010</v>
      </c>
      <c r="F1100" s="17" t="s">
        <v>125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220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10026</v>
      </c>
      <c r="B1101" s="17" t="s">
        <v>10026</v>
      </c>
      <c r="C1101" s="17" t="s">
        <v>10027</v>
      </c>
      <c r="D1101" s="17" t="s">
        <v>21</v>
      </c>
      <c r="E1101" s="24">
        <v>2010</v>
      </c>
      <c r="F1101" s="17" t="s">
        <v>129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240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10028</v>
      </c>
      <c r="B1102" s="17" t="s">
        <v>10028</v>
      </c>
      <c r="C1102" s="17" t="s">
        <v>10029</v>
      </c>
      <c r="D1102" s="17" t="s">
        <v>21</v>
      </c>
      <c r="E1102" s="24">
        <v>2010</v>
      </c>
      <c r="F1102" s="17" t="s">
        <v>131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270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10030</v>
      </c>
      <c r="B1103" s="17" t="s">
        <v>10030</v>
      </c>
      <c r="C1103" s="17" t="s">
        <v>10031</v>
      </c>
      <c r="D1103" s="17" t="s">
        <v>21</v>
      </c>
      <c r="E1103" s="24">
        <v>2010</v>
      </c>
      <c r="F1103" s="17" t="s">
        <v>133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10032</v>
      </c>
      <c r="B1104" s="17" t="s">
        <v>10032</v>
      </c>
      <c r="C1104" s="17" t="s">
        <v>10033</v>
      </c>
      <c r="D1104" s="17" t="s">
        <v>21</v>
      </c>
      <c r="E1104" s="24">
        <v>2010</v>
      </c>
      <c r="F1104" s="17" t="s">
        <v>137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330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10034</v>
      </c>
      <c r="B1105" s="17" t="s">
        <v>10034</v>
      </c>
      <c r="C1105" s="17" t="s">
        <v>10035</v>
      </c>
      <c r="D1105" s="17" t="s">
        <v>21</v>
      </c>
      <c r="E1105" s="24">
        <v>2010</v>
      </c>
      <c r="F1105" s="17" t="s">
        <v>139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360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10036</v>
      </c>
      <c r="B1106" s="17" t="s">
        <v>10036</v>
      </c>
      <c r="C1106" s="17" t="s">
        <v>10037</v>
      </c>
      <c r="D1106" s="17" t="s">
        <v>21</v>
      </c>
      <c r="E1106" s="24">
        <v>2010</v>
      </c>
      <c r="F1106" s="17" t="s">
        <v>141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390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10038</v>
      </c>
      <c r="B1107" s="17" t="s">
        <v>10038</v>
      </c>
      <c r="C1107" s="17" t="s">
        <v>10039</v>
      </c>
      <c r="D1107" s="17" t="s">
        <v>21</v>
      </c>
      <c r="E1107" s="24">
        <v>2010</v>
      </c>
      <c r="F1107" s="17" t="s">
        <v>143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430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10040</v>
      </c>
      <c r="B1108" s="17" t="s">
        <v>10040</v>
      </c>
      <c r="C1108" s="17" t="s">
        <v>10041</v>
      </c>
      <c r="D1108" s="17" t="s">
        <v>21</v>
      </c>
      <c r="E1108" s="24">
        <v>2010</v>
      </c>
      <c r="F1108" s="17" t="s">
        <v>145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470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10042</v>
      </c>
      <c r="B1109" s="17" t="s">
        <v>10042</v>
      </c>
      <c r="C1109" s="17" t="s">
        <v>10043</v>
      </c>
      <c r="D1109" s="17" t="s">
        <v>21</v>
      </c>
      <c r="E1109" s="24">
        <v>2010</v>
      </c>
      <c r="F1109" s="17" t="s">
        <v>149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510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10044</v>
      </c>
      <c r="B1110" s="17" t="s">
        <v>10044</v>
      </c>
      <c r="C1110" s="17" t="s">
        <v>10045</v>
      </c>
      <c r="D1110" s="17" t="s">
        <v>21</v>
      </c>
      <c r="E1110" s="24">
        <v>2010</v>
      </c>
      <c r="F1110" s="17" t="s">
        <v>151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560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10046</v>
      </c>
      <c r="B1111" s="17" t="s">
        <v>10046</v>
      </c>
      <c r="C1111" s="17" t="s">
        <v>10047</v>
      </c>
      <c r="D1111" s="17" t="s">
        <v>21</v>
      </c>
      <c r="E1111" s="24">
        <v>2010</v>
      </c>
      <c r="F1111" s="17" t="s">
        <v>153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620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10048</v>
      </c>
      <c r="B1112" s="17" t="s">
        <v>10048</v>
      </c>
      <c r="C1112" s="17" t="s">
        <v>10049</v>
      </c>
      <c r="D1112" s="17" t="s">
        <v>21</v>
      </c>
      <c r="E1112" s="24">
        <v>2010</v>
      </c>
      <c r="F1112" s="17" t="s">
        <v>155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680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10050</v>
      </c>
      <c r="B1113" s="17" t="s">
        <v>10050</v>
      </c>
      <c r="C1113" s="17" t="s">
        <v>10051</v>
      </c>
      <c r="D1113" s="17" t="s">
        <v>21</v>
      </c>
      <c r="E1113" s="24">
        <v>2010</v>
      </c>
      <c r="F1113" s="17" t="s">
        <v>157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750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10052</v>
      </c>
      <c r="B1114" s="17" t="s">
        <v>10052</v>
      </c>
      <c r="C1114" s="17" t="s">
        <v>10053</v>
      </c>
      <c r="D1114" s="17" t="s">
        <v>21</v>
      </c>
      <c r="E1114" s="24">
        <v>2010</v>
      </c>
      <c r="F1114" s="17" t="s">
        <v>159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820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10054</v>
      </c>
      <c r="B1115" s="17" t="s">
        <v>10054</v>
      </c>
      <c r="C1115" s="17" t="s">
        <v>10055</v>
      </c>
      <c r="D1115" s="17" t="s">
        <v>21</v>
      </c>
      <c r="E1115" s="24">
        <v>2010</v>
      </c>
      <c r="F1115" s="17" t="s">
        <v>161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910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10056</v>
      </c>
      <c r="B1116" s="17" t="s">
        <v>10056</v>
      </c>
      <c r="C1116" s="17" t="s">
        <v>10057</v>
      </c>
      <c r="D1116" s="17" t="s">
        <v>21</v>
      </c>
      <c r="E1116" s="24">
        <v>2010</v>
      </c>
      <c r="F1116" s="17" t="s">
        <v>163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1000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10058</v>
      </c>
      <c r="B1117" s="17" t="s">
        <v>10058</v>
      </c>
      <c r="C1117" s="17" t="s">
        <v>10059</v>
      </c>
      <c r="D1117" s="17" t="s">
        <v>21</v>
      </c>
      <c r="E1117" s="24">
        <v>2010</v>
      </c>
      <c r="F1117" s="17" t="s">
        <v>165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1100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10060</v>
      </c>
      <c r="B1118" s="17" t="s">
        <v>10060</v>
      </c>
      <c r="C1118" s="17" t="s">
        <v>10061</v>
      </c>
      <c r="D1118" s="17" t="s">
        <v>21</v>
      </c>
      <c r="E1118" s="24">
        <v>2010</v>
      </c>
      <c r="F1118" s="17" t="s">
        <v>167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1200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10062</v>
      </c>
      <c r="B1119" s="17" t="s">
        <v>10062</v>
      </c>
      <c r="C1119" s="17" t="s">
        <v>10063</v>
      </c>
      <c r="D1119" s="17" t="s">
        <v>21</v>
      </c>
      <c r="E1119" s="24">
        <v>2010</v>
      </c>
      <c r="F1119" s="17" t="s">
        <v>169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1300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10064</v>
      </c>
      <c r="B1120" s="17" t="s">
        <v>10064</v>
      </c>
      <c r="C1120" s="17" t="s">
        <v>10065</v>
      </c>
      <c r="D1120" s="17" t="s">
        <v>21</v>
      </c>
      <c r="E1120" s="24">
        <v>2010</v>
      </c>
      <c r="F1120" s="17" t="s">
        <v>171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1500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10066</v>
      </c>
      <c r="B1121" s="17" t="s">
        <v>10066</v>
      </c>
      <c r="C1121" s="17" t="s">
        <v>10067</v>
      </c>
      <c r="D1121" s="17" t="s">
        <v>21</v>
      </c>
      <c r="E1121" s="24">
        <v>2010</v>
      </c>
      <c r="F1121" s="17" t="s">
        <v>175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1600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10068</v>
      </c>
      <c r="B1122" s="17" t="s">
        <v>10068</v>
      </c>
      <c r="C1122" s="17" t="s">
        <v>10069</v>
      </c>
      <c r="D1122" s="17" t="s">
        <v>21</v>
      </c>
      <c r="E1122" s="24">
        <v>2010</v>
      </c>
      <c r="F1122" s="17" t="s">
        <v>181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1800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10070</v>
      </c>
      <c r="B1123" s="17" t="s">
        <v>10070</v>
      </c>
      <c r="C1123" s="17" t="s">
        <v>10071</v>
      </c>
      <c r="D1123" s="17" t="s">
        <v>21</v>
      </c>
      <c r="E1123" s="24">
        <v>2010</v>
      </c>
      <c r="F1123" s="17" t="s">
        <v>183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10072</v>
      </c>
      <c r="B1124" s="17" t="s">
        <v>10072</v>
      </c>
      <c r="C1124" s="17" t="s">
        <v>10073</v>
      </c>
      <c r="D1124" s="17" t="s">
        <v>21</v>
      </c>
      <c r="E1124" s="24">
        <v>2010</v>
      </c>
      <c r="F1124" s="17" t="s">
        <v>187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2200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10074</v>
      </c>
      <c r="B1125" s="17" t="s">
        <v>10074</v>
      </c>
      <c r="C1125" s="17" t="s">
        <v>10075</v>
      </c>
      <c r="D1125" s="17" t="s">
        <v>21</v>
      </c>
      <c r="E1125" s="24">
        <v>2010</v>
      </c>
      <c r="F1125" s="17" t="s">
        <v>191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2400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10076</v>
      </c>
      <c r="B1126" s="17" t="s">
        <v>10076</v>
      </c>
      <c r="C1126" s="17" t="s">
        <v>10077</v>
      </c>
      <c r="D1126" s="17" t="s">
        <v>21</v>
      </c>
      <c r="E1126" s="24">
        <v>2010</v>
      </c>
      <c r="F1126" s="17" t="s">
        <v>193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2700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10078</v>
      </c>
      <c r="B1127" s="17" t="s">
        <v>10078</v>
      </c>
      <c r="C1127" s="17" t="s">
        <v>10079</v>
      </c>
      <c r="D1127" s="17" t="s">
        <v>21</v>
      </c>
      <c r="E1127" s="24">
        <v>2010</v>
      </c>
      <c r="F1127" s="17" t="s">
        <v>197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10080</v>
      </c>
      <c r="B1128" s="17" t="s">
        <v>10080</v>
      </c>
      <c r="C1128" s="17" t="s">
        <v>10081</v>
      </c>
      <c r="D1128" s="17" t="s">
        <v>21</v>
      </c>
      <c r="E1128" s="24">
        <v>2010</v>
      </c>
      <c r="F1128" s="17" t="s">
        <v>201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3300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10082</v>
      </c>
      <c r="B1129" s="17" t="s">
        <v>10082</v>
      </c>
      <c r="C1129" s="17" t="s">
        <v>10083</v>
      </c>
      <c r="D1129" s="17" t="s">
        <v>21</v>
      </c>
      <c r="E1129" s="24">
        <v>2010</v>
      </c>
      <c r="F1129" s="17" t="s">
        <v>203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3600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10084</v>
      </c>
      <c r="B1130" s="17" t="s">
        <v>10084</v>
      </c>
      <c r="C1130" s="17" t="s">
        <v>10085</v>
      </c>
      <c r="D1130" s="17" t="s">
        <v>21</v>
      </c>
      <c r="E1130" s="24">
        <v>2010</v>
      </c>
      <c r="F1130" s="17" t="s">
        <v>205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3900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10086</v>
      </c>
      <c r="B1131" s="17" t="s">
        <v>10086</v>
      </c>
      <c r="C1131" s="17" t="s">
        <v>10087</v>
      </c>
      <c r="D1131" s="17" t="s">
        <v>21</v>
      </c>
      <c r="E1131" s="24">
        <v>2010</v>
      </c>
      <c r="F1131" s="17" t="s">
        <v>207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4300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10088</v>
      </c>
      <c r="B1132" s="17" t="s">
        <v>10088</v>
      </c>
      <c r="C1132" s="17" t="s">
        <v>10089</v>
      </c>
      <c r="D1132" s="17" t="s">
        <v>21</v>
      </c>
      <c r="E1132" s="24">
        <v>2010</v>
      </c>
      <c r="F1132" s="17" t="s">
        <v>209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4700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10090</v>
      </c>
      <c r="B1133" s="17" t="s">
        <v>10090</v>
      </c>
      <c r="C1133" s="17" t="s">
        <v>10091</v>
      </c>
      <c r="D1133" s="17" t="s">
        <v>21</v>
      </c>
      <c r="E1133" s="24">
        <v>2010</v>
      </c>
      <c r="F1133" s="17" t="s">
        <v>213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5100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10092</v>
      </c>
      <c r="B1134" s="17" t="s">
        <v>10092</v>
      </c>
      <c r="C1134" s="17" t="s">
        <v>10093</v>
      </c>
      <c r="D1134" s="17" t="s">
        <v>21</v>
      </c>
      <c r="E1134" s="24">
        <v>2010</v>
      </c>
      <c r="F1134" s="17" t="s">
        <v>215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5600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10094</v>
      </c>
      <c r="B1135" s="17" t="s">
        <v>10094</v>
      </c>
      <c r="C1135" s="17" t="s">
        <v>10095</v>
      </c>
      <c r="D1135" s="17" t="s">
        <v>21</v>
      </c>
      <c r="E1135" s="24">
        <v>2010</v>
      </c>
      <c r="F1135" s="17" t="s">
        <v>217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6200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10096</v>
      </c>
      <c r="B1136" s="17" t="s">
        <v>10096</v>
      </c>
      <c r="C1136" s="17" t="s">
        <v>10097</v>
      </c>
      <c r="D1136" s="17" t="s">
        <v>21</v>
      </c>
      <c r="E1136" s="24">
        <v>2010</v>
      </c>
      <c r="F1136" s="17" t="s">
        <v>219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6800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10098</v>
      </c>
      <c r="B1137" s="17" t="s">
        <v>10098</v>
      </c>
      <c r="C1137" s="17" t="s">
        <v>10099</v>
      </c>
      <c r="D1137" s="17" t="s">
        <v>21</v>
      </c>
      <c r="E1137" s="24">
        <v>2010</v>
      </c>
      <c r="F1137" s="17" t="s">
        <v>221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7500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10100</v>
      </c>
      <c r="B1138" s="17" t="s">
        <v>10100</v>
      </c>
      <c r="C1138" s="17" t="s">
        <v>10101</v>
      </c>
      <c r="D1138" s="17" t="s">
        <v>21</v>
      </c>
      <c r="E1138" s="24">
        <v>2010</v>
      </c>
      <c r="F1138" s="17" t="s">
        <v>223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8200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10102</v>
      </c>
      <c r="B1139" s="17" t="s">
        <v>10102</v>
      </c>
      <c r="C1139" s="17" t="s">
        <v>10103</v>
      </c>
      <c r="D1139" s="17" t="s">
        <v>21</v>
      </c>
      <c r="E1139" s="24">
        <v>2010</v>
      </c>
      <c r="F1139" s="17" t="s">
        <v>225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9100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10104</v>
      </c>
      <c r="B1140" s="17" t="s">
        <v>10104</v>
      </c>
      <c r="C1140" s="17" t="s">
        <v>10105</v>
      </c>
      <c r="D1140" s="17" t="s">
        <v>21</v>
      </c>
      <c r="E1140" s="24">
        <v>2010</v>
      </c>
      <c r="F1140" s="17" t="s">
        <v>229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10000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10106</v>
      </c>
      <c r="B1141" s="17" t="s">
        <v>10106</v>
      </c>
      <c r="C1141" s="17" t="s">
        <v>10107</v>
      </c>
      <c r="D1141" s="17" t="s">
        <v>21</v>
      </c>
      <c r="E1141" s="24">
        <v>2010</v>
      </c>
      <c r="F1141" s="17" t="s">
        <v>233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11000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10108</v>
      </c>
      <c r="B1142" s="17" t="s">
        <v>10108</v>
      </c>
      <c r="C1142" s="17" t="s">
        <v>10109</v>
      </c>
      <c r="D1142" s="17" t="s">
        <v>21</v>
      </c>
      <c r="E1142" s="24">
        <v>2010</v>
      </c>
      <c r="F1142" s="17" t="s">
        <v>235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12000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10110</v>
      </c>
      <c r="B1143" s="17" t="s">
        <v>10110</v>
      </c>
      <c r="C1143" s="17" t="s">
        <v>10111</v>
      </c>
      <c r="D1143" s="17" t="s">
        <v>21</v>
      </c>
      <c r="E1143" s="24">
        <v>2010</v>
      </c>
      <c r="F1143" s="17" t="s">
        <v>239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13000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10112</v>
      </c>
      <c r="B1144" s="17" t="s">
        <v>10112</v>
      </c>
      <c r="C1144" s="17" t="s">
        <v>10113</v>
      </c>
      <c r="D1144" s="17" t="s">
        <v>21</v>
      </c>
      <c r="E1144" s="24">
        <v>2010</v>
      </c>
      <c r="F1144" s="17" t="s">
        <v>243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15000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10114</v>
      </c>
      <c r="B1145" s="17" t="s">
        <v>10114</v>
      </c>
      <c r="C1145" s="17" t="s">
        <v>10115</v>
      </c>
      <c r="D1145" s="17" t="s">
        <v>21</v>
      </c>
      <c r="E1145" s="24">
        <v>2010</v>
      </c>
      <c r="F1145" s="17" t="s">
        <v>247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16000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10116</v>
      </c>
      <c r="B1146" s="17" t="s">
        <v>10116</v>
      </c>
      <c r="C1146" s="17" t="s">
        <v>10117</v>
      </c>
      <c r="D1146" s="17" t="s">
        <v>21</v>
      </c>
      <c r="E1146" s="24">
        <v>2010</v>
      </c>
      <c r="F1146" s="17" t="s">
        <v>251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18000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10118</v>
      </c>
      <c r="B1147" s="17" t="s">
        <v>10118</v>
      </c>
      <c r="C1147" s="17" t="s">
        <v>10119</v>
      </c>
      <c r="D1147" s="17" t="s">
        <v>21</v>
      </c>
      <c r="E1147" s="24">
        <v>2010</v>
      </c>
      <c r="F1147" s="17" t="s">
        <v>255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10120</v>
      </c>
      <c r="B1148" s="17" t="s">
        <v>10120</v>
      </c>
      <c r="C1148" s="17" t="s">
        <v>10121</v>
      </c>
      <c r="D1148" s="17" t="s">
        <v>21</v>
      </c>
      <c r="E1148" s="24">
        <v>2010</v>
      </c>
      <c r="F1148" s="17" t="s">
        <v>257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22000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10122</v>
      </c>
      <c r="B1149" s="17" t="s">
        <v>10122</v>
      </c>
      <c r="C1149" s="17" t="s">
        <v>10123</v>
      </c>
      <c r="D1149" s="17" t="s">
        <v>21</v>
      </c>
      <c r="E1149" s="24">
        <v>2010</v>
      </c>
      <c r="F1149" s="17" t="s">
        <v>259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24000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10124</v>
      </c>
      <c r="B1150" s="17" t="s">
        <v>10124</v>
      </c>
      <c r="C1150" s="17" t="s">
        <v>10125</v>
      </c>
      <c r="D1150" s="17" t="s">
        <v>21</v>
      </c>
      <c r="E1150" s="24">
        <v>2010</v>
      </c>
      <c r="F1150" s="17" t="s">
        <v>263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27000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10126</v>
      </c>
      <c r="B1151" s="17" t="s">
        <v>10126</v>
      </c>
      <c r="C1151" s="17" t="s">
        <v>10127</v>
      </c>
      <c r="D1151" s="17" t="s">
        <v>21</v>
      </c>
      <c r="E1151" s="24">
        <v>2010</v>
      </c>
      <c r="F1151" s="17" t="s">
        <v>265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10128</v>
      </c>
      <c r="B1152" s="17" t="s">
        <v>10128</v>
      </c>
      <c r="C1152" s="17" t="s">
        <v>10129</v>
      </c>
      <c r="D1152" s="17" t="s">
        <v>21</v>
      </c>
      <c r="E1152" s="24">
        <v>2010</v>
      </c>
      <c r="F1152" s="17" t="s">
        <v>267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33000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10130</v>
      </c>
      <c r="B1153" s="17" t="s">
        <v>10130</v>
      </c>
      <c r="C1153" s="17" t="s">
        <v>10131</v>
      </c>
      <c r="D1153" s="17" t="s">
        <v>21</v>
      </c>
      <c r="E1153" s="24">
        <v>2010</v>
      </c>
      <c r="F1153" s="17" t="s">
        <v>269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36000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10132</v>
      </c>
      <c r="B1154" s="17" t="s">
        <v>10132</v>
      </c>
      <c r="C1154" s="17" t="s">
        <v>10133</v>
      </c>
      <c r="D1154" s="17" t="s">
        <v>21</v>
      </c>
      <c r="E1154" s="24">
        <v>2010</v>
      </c>
      <c r="F1154" s="17" t="s">
        <v>273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39000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10134</v>
      </c>
      <c r="B1155" s="17" t="s">
        <v>10134</v>
      </c>
      <c r="C1155" s="17" t="s">
        <v>10135</v>
      </c>
      <c r="D1155" s="17" t="s">
        <v>21</v>
      </c>
      <c r="E1155" s="24">
        <v>2010</v>
      </c>
      <c r="F1155" s="17" t="s">
        <v>277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43000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10136</v>
      </c>
      <c r="B1156" s="17" t="s">
        <v>10136</v>
      </c>
      <c r="C1156" s="17" t="s">
        <v>10137</v>
      </c>
      <c r="D1156" s="17" t="s">
        <v>21</v>
      </c>
      <c r="E1156" s="24">
        <v>2010</v>
      </c>
      <c r="F1156" s="17" t="s">
        <v>279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47000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10138</v>
      </c>
      <c r="B1157" s="17" t="s">
        <v>10138</v>
      </c>
      <c r="C1157" s="17" t="s">
        <v>10139</v>
      </c>
      <c r="D1157" s="17" t="s">
        <v>21</v>
      </c>
      <c r="E1157" s="24">
        <v>2010</v>
      </c>
      <c r="F1157" s="17" t="s">
        <v>283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51000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10140</v>
      </c>
      <c r="B1158" s="17" t="s">
        <v>10140</v>
      </c>
      <c r="C1158" s="17" t="s">
        <v>10141</v>
      </c>
      <c r="D1158" s="17" t="s">
        <v>21</v>
      </c>
      <c r="E1158" s="24">
        <v>2010</v>
      </c>
      <c r="F1158" s="17" t="s">
        <v>287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56000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10142</v>
      </c>
      <c r="B1159" s="17" t="s">
        <v>10142</v>
      </c>
      <c r="C1159" s="17" t="s">
        <v>10143</v>
      </c>
      <c r="D1159" s="17" t="s">
        <v>21</v>
      </c>
      <c r="E1159" s="24">
        <v>2010</v>
      </c>
      <c r="F1159" s="17" t="s">
        <v>291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62000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10144</v>
      </c>
      <c r="B1160" s="17" t="s">
        <v>10144</v>
      </c>
      <c r="C1160" s="17" t="s">
        <v>10145</v>
      </c>
      <c r="D1160" s="17" t="s">
        <v>21</v>
      </c>
      <c r="E1160" s="24">
        <v>2010</v>
      </c>
      <c r="F1160" s="17" t="s">
        <v>295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68000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10146</v>
      </c>
      <c r="B1161" s="17" t="s">
        <v>10146</v>
      </c>
      <c r="C1161" s="17" t="s">
        <v>10147</v>
      </c>
      <c r="D1161" s="17" t="s">
        <v>21</v>
      </c>
      <c r="E1161" s="24">
        <v>2010</v>
      </c>
      <c r="F1161" s="17" t="s">
        <v>299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75000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10148</v>
      </c>
      <c r="B1162" s="17" t="s">
        <v>10148</v>
      </c>
      <c r="C1162" s="17" t="s">
        <v>10149</v>
      </c>
      <c r="D1162" s="17" t="s">
        <v>21</v>
      </c>
      <c r="E1162" s="24">
        <v>2010</v>
      </c>
      <c r="F1162" s="17" t="s">
        <v>301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82000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10150</v>
      </c>
      <c r="B1163" s="17" t="s">
        <v>10150</v>
      </c>
      <c r="C1163" s="17" t="s">
        <v>10151</v>
      </c>
      <c r="D1163" s="17" t="s">
        <v>21</v>
      </c>
      <c r="E1163" s="24">
        <v>2010</v>
      </c>
      <c r="F1163" s="17" t="s">
        <v>303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91000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10152</v>
      </c>
      <c r="B1164" s="17" t="s">
        <v>10152</v>
      </c>
      <c r="C1164" s="17" t="s">
        <v>10153</v>
      </c>
      <c r="D1164" s="17" t="s">
        <v>21</v>
      </c>
      <c r="E1164" s="24">
        <v>2010</v>
      </c>
      <c r="F1164" s="17" t="s">
        <v>305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100000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10154</v>
      </c>
      <c r="B1165" s="17" t="s">
        <v>10154</v>
      </c>
      <c r="C1165" s="17" t="s">
        <v>10155</v>
      </c>
      <c r="D1165" s="17" t="s">
        <v>21</v>
      </c>
      <c r="E1165" s="24">
        <v>2010</v>
      </c>
      <c r="F1165" s="17" t="s">
        <v>309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110000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10156</v>
      </c>
      <c r="B1166" s="17" t="s">
        <v>10156</v>
      </c>
      <c r="C1166" s="17" t="s">
        <v>10157</v>
      </c>
      <c r="D1166" s="17" t="s">
        <v>21</v>
      </c>
      <c r="E1166" s="24">
        <v>2010</v>
      </c>
      <c r="F1166" s="17" t="s">
        <v>313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120000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10158</v>
      </c>
      <c r="B1167" s="17" t="s">
        <v>10158</v>
      </c>
      <c r="C1167" s="17" t="s">
        <v>10159</v>
      </c>
      <c r="D1167" s="17" t="s">
        <v>21</v>
      </c>
      <c r="E1167" s="24">
        <v>2010</v>
      </c>
      <c r="F1167" s="17" t="s">
        <v>317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130000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10160</v>
      </c>
      <c r="B1168" s="17" t="s">
        <v>10160</v>
      </c>
      <c r="C1168" s="17" t="s">
        <v>10161</v>
      </c>
      <c r="D1168" s="17" t="s">
        <v>21</v>
      </c>
      <c r="E1168" s="24">
        <v>2010</v>
      </c>
      <c r="F1168" s="17" t="s">
        <v>321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150000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10162</v>
      </c>
      <c r="B1169" s="17" t="s">
        <v>10162</v>
      </c>
      <c r="C1169" s="17" t="s">
        <v>10163</v>
      </c>
      <c r="D1169" s="17" t="s">
        <v>21</v>
      </c>
      <c r="E1169" s="24">
        <v>2010</v>
      </c>
      <c r="F1169" s="17" t="s">
        <v>323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160000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10164</v>
      </c>
      <c r="B1170" s="17" t="s">
        <v>10164</v>
      </c>
      <c r="C1170" s="17" t="s">
        <v>10165</v>
      </c>
      <c r="D1170" s="17" t="s">
        <v>21</v>
      </c>
      <c r="E1170" s="24">
        <v>2010</v>
      </c>
      <c r="F1170" s="17" t="s">
        <v>327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180000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10166</v>
      </c>
      <c r="B1171" s="17" t="s">
        <v>10166</v>
      </c>
      <c r="C1171" s="17" t="s">
        <v>10167</v>
      </c>
      <c r="D1171" s="17" t="s">
        <v>21</v>
      </c>
      <c r="E1171" s="24">
        <v>2010</v>
      </c>
      <c r="F1171" s="17" t="s">
        <v>331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10168</v>
      </c>
      <c r="B1172" s="17" t="s">
        <v>10168</v>
      </c>
      <c r="C1172" s="17" t="s">
        <v>10169</v>
      </c>
      <c r="D1172" s="17" t="s">
        <v>21</v>
      </c>
      <c r="E1172" s="24">
        <v>2010</v>
      </c>
      <c r="F1172" s="17" t="s">
        <v>333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220000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10170</v>
      </c>
      <c r="B1173" s="17" t="s">
        <v>10170</v>
      </c>
      <c r="C1173" s="17" t="s">
        <v>10171</v>
      </c>
      <c r="D1173" s="17" t="s">
        <v>21</v>
      </c>
      <c r="E1173" s="24">
        <v>2010</v>
      </c>
      <c r="F1173" s="17" t="s">
        <v>335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240000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10172</v>
      </c>
      <c r="B1174" s="17" t="s">
        <v>10172</v>
      </c>
      <c r="C1174" s="17" t="s">
        <v>10173</v>
      </c>
      <c r="D1174" s="17" t="s">
        <v>21</v>
      </c>
      <c r="E1174" s="24">
        <v>2010</v>
      </c>
      <c r="F1174" s="17" t="s">
        <v>337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270000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10174</v>
      </c>
      <c r="B1175" s="17" t="s">
        <v>10174</v>
      </c>
      <c r="C1175" s="17" t="s">
        <v>10175</v>
      </c>
      <c r="D1175" s="17" t="s">
        <v>21</v>
      </c>
      <c r="E1175" s="24">
        <v>2010</v>
      </c>
      <c r="F1175" s="17" t="s">
        <v>339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300000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10176</v>
      </c>
      <c r="B1176" s="17" t="s">
        <v>10176</v>
      </c>
      <c r="C1176" s="16" t="s">
        <v>10177</v>
      </c>
      <c r="D1176" s="16" t="s">
        <v>21</v>
      </c>
      <c r="E1176" s="24">
        <v>2010</v>
      </c>
      <c r="F1176" s="17" t="s">
        <v>341</v>
      </c>
      <c r="G1176" s="17" t="str">
        <f>Config!$B$3</f>
        <v>SCH/R_IEC.SchLib</v>
      </c>
      <c r="H1176" s="16" t="s">
        <v>419</v>
      </c>
      <c r="I1176" s="18" t="s">
        <v>461</v>
      </c>
      <c r="J1176" s="40"/>
      <c r="K1176" s="40"/>
      <c r="L1176" s="40"/>
      <c r="M1176" s="21">
        <v>330000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10178</v>
      </c>
      <c r="B1177" s="17" t="s">
        <v>10178</v>
      </c>
      <c r="C1177" s="17" t="s">
        <v>10179</v>
      </c>
      <c r="D1177" s="17" t="s">
        <v>21</v>
      </c>
      <c r="E1177" s="24">
        <v>2010</v>
      </c>
      <c r="F1177" s="17" t="s">
        <v>345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360000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10180</v>
      </c>
      <c r="B1178" s="17" t="s">
        <v>10180</v>
      </c>
      <c r="C1178" s="17" t="s">
        <v>10181</v>
      </c>
      <c r="D1178" s="17" t="s">
        <v>21</v>
      </c>
      <c r="E1178" s="24">
        <v>2010</v>
      </c>
      <c r="F1178" s="17" t="s">
        <v>349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390000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10182</v>
      </c>
      <c r="B1179" s="17" t="s">
        <v>10182</v>
      </c>
      <c r="C1179" s="17" t="s">
        <v>10183</v>
      </c>
      <c r="D1179" s="17" t="s">
        <v>21</v>
      </c>
      <c r="E1179" s="24">
        <v>2010</v>
      </c>
      <c r="F1179" s="17" t="s">
        <v>351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430000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10184</v>
      </c>
      <c r="B1180" s="17" t="s">
        <v>10184</v>
      </c>
      <c r="C1180" s="17" t="s">
        <v>10185</v>
      </c>
      <c r="D1180" s="17" t="s">
        <v>21</v>
      </c>
      <c r="E1180" s="24">
        <v>2010</v>
      </c>
      <c r="F1180" s="17" t="s">
        <v>353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470000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10186</v>
      </c>
      <c r="B1181" s="17" t="s">
        <v>10186</v>
      </c>
      <c r="C1181" s="17" t="s">
        <v>10187</v>
      </c>
      <c r="D1181" s="17" t="s">
        <v>21</v>
      </c>
      <c r="E1181" s="24">
        <v>2010</v>
      </c>
      <c r="F1181" s="17" t="s">
        <v>355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510000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10188</v>
      </c>
      <c r="B1182" s="17" t="s">
        <v>10188</v>
      </c>
      <c r="C1182" s="17" t="s">
        <v>10189</v>
      </c>
      <c r="D1182" s="17" t="s">
        <v>21</v>
      </c>
      <c r="E1182" s="24">
        <v>2010</v>
      </c>
      <c r="F1182" s="17" t="s">
        <v>357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560000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10190</v>
      </c>
      <c r="B1183" s="17" t="s">
        <v>10190</v>
      </c>
      <c r="C1183" s="17" t="s">
        <v>10191</v>
      </c>
      <c r="D1183" s="17" t="s">
        <v>21</v>
      </c>
      <c r="E1183" s="24">
        <v>2010</v>
      </c>
      <c r="F1183" s="17" t="s">
        <v>359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620000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10192</v>
      </c>
      <c r="B1184" s="17" t="s">
        <v>10192</v>
      </c>
      <c r="C1184" s="17" t="s">
        <v>10193</v>
      </c>
      <c r="D1184" s="17" t="s">
        <v>21</v>
      </c>
      <c r="E1184" s="24">
        <v>2010</v>
      </c>
      <c r="F1184" s="17" t="s">
        <v>361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680000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10194</v>
      </c>
      <c r="B1185" s="17" t="s">
        <v>10194</v>
      </c>
      <c r="C1185" s="17" t="s">
        <v>10195</v>
      </c>
      <c r="D1185" s="17" t="s">
        <v>21</v>
      </c>
      <c r="E1185" s="24">
        <v>2010</v>
      </c>
      <c r="F1185" s="17" t="s">
        <v>363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750000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10196</v>
      </c>
      <c r="B1186" s="17" t="s">
        <v>10196</v>
      </c>
      <c r="C1186" s="17" t="s">
        <v>10197</v>
      </c>
      <c r="D1186" s="17" t="s">
        <v>21</v>
      </c>
      <c r="E1186" s="24">
        <v>2010</v>
      </c>
      <c r="F1186" s="17" t="s">
        <v>365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820000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10198</v>
      </c>
      <c r="B1187" s="17" t="s">
        <v>10198</v>
      </c>
      <c r="C1187" s="17" t="s">
        <v>10199</v>
      </c>
      <c r="D1187" s="17" t="s">
        <v>21</v>
      </c>
      <c r="E1187" s="24">
        <v>2010</v>
      </c>
      <c r="F1187" s="17" t="s">
        <v>367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910000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10200</v>
      </c>
      <c r="B1188" s="17" t="s">
        <v>10200</v>
      </c>
      <c r="C1188" s="17" t="s">
        <v>10201</v>
      </c>
      <c r="D1188" s="17" t="s">
        <v>21</v>
      </c>
      <c r="E1188" s="24">
        <v>2010</v>
      </c>
      <c r="F1188" s="17" t="s">
        <v>369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1000000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10202</v>
      </c>
      <c r="B1189" s="17" t="s">
        <v>10202</v>
      </c>
      <c r="C1189" s="17" t="s">
        <v>10203</v>
      </c>
      <c r="D1189" s="17" t="s">
        <v>21</v>
      </c>
      <c r="E1189" s="24">
        <v>2010</v>
      </c>
      <c r="F1189" s="17" t="s">
        <v>371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1100000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10204</v>
      </c>
      <c r="B1190" s="17" t="s">
        <v>10204</v>
      </c>
      <c r="C1190" s="17" t="s">
        <v>10205</v>
      </c>
      <c r="D1190" s="17" t="s">
        <v>21</v>
      </c>
      <c r="E1190" s="24">
        <v>2010</v>
      </c>
      <c r="F1190" s="17" t="s">
        <v>373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1200000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10206</v>
      </c>
      <c r="B1191" s="17" t="s">
        <v>10206</v>
      </c>
      <c r="C1191" s="17" t="s">
        <v>10207</v>
      </c>
      <c r="D1191" s="17" t="s">
        <v>21</v>
      </c>
      <c r="E1191" s="24">
        <v>2010</v>
      </c>
      <c r="F1191" s="17" t="s">
        <v>375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1300000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10208</v>
      </c>
      <c r="B1192" s="17" t="s">
        <v>10208</v>
      </c>
      <c r="C1192" s="17" t="s">
        <v>10209</v>
      </c>
      <c r="D1192" s="17" t="s">
        <v>21</v>
      </c>
      <c r="E1192" s="24">
        <v>2010</v>
      </c>
      <c r="F1192" s="17" t="s">
        <v>377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1500000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10210</v>
      </c>
      <c r="B1193" s="17" t="s">
        <v>10210</v>
      </c>
      <c r="C1193" s="17" t="s">
        <v>10211</v>
      </c>
      <c r="D1193" s="17" t="s">
        <v>21</v>
      </c>
      <c r="E1193" s="24">
        <v>2010</v>
      </c>
      <c r="F1193" s="17" t="s">
        <v>379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1600000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10212</v>
      </c>
      <c r="B1194" s="17" t="s">
        <v>10212</v>
      </c>
      <c r="C1194" s="17" t="s">
        <v>10213</v>
      </c>
      <c r="D1194" s="17" t="s">
        <v>21</v>
      </c>
      <c r="E1194" s="24">
        <v>2010</v>
      </c>
      <c r="F1194" s="17" t="s">
        <v>381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1800000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10214</v>
      </c>
      <c r="B1195" s="17" t="s">
        <v>10214</v>
      </c>
      <c r="C1195" s="17" t="s">
        <v>10215</v>
      </c>
      <c r="D1195" s="17" t="s">
        <v>21</v>
      </c>
      <c r="E1195" s="24">
        <v>2010</v>
      </c>
      <c r="F1195" s="17" t="s">
        <v>383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2000000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10216</v>
      </c>
      <c r="B1196" s="17" t="s">
        <v>10216</v>
      </c>
      <c r="C1196" s="17" t="s">
        <v>10217</v>
      </c>
      <c r="D1196" s="17" t="s">
        <v>21</v>
      </c>
      <c r="E1196" s="24">
        <v>2010</v>
      </c>
      <c r="F1196" s="17" t="s">
        <v>385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2200000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10218</v>
      </c>
      <c r="B1197" s="17" t="s">
        <v>10218</v>
      </c>
      <c r="C1197" s="17" t="s">
        <v>10219</v>
      </c>
      <c r="D1197" s="17" t="s">
        <v>21</v>
      </c>
      <c r="E1197" s="24">
        <v>2010</v>
      </c>
      <c r="F1197" s="17" t="s">
        <v>387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2400000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10220</v>
      </c>
      <c r="B1198" s="17" t="s">
        <v>10220</v>
      </c>
      <c r="C1198" s="17" t="s">
        <v>10221</v>
      </c>
      <c r="D1198" s="17" t="s">
        <v>21</v>
      </c>
      <c r="E1198" s="24">
        <v>2010</v>
      </c>
      <c r="F1198" s="17" t="s">
        <v>389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2700000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10222</v>
      </c>
      <c r="B1199" s="17" t="s">
        <v>10222</v>
      </c>
      <c r="C1199" s="17" t="s">
        <v>10223</v>
      </c>
      <c r="D1199" s="17" t="s">
        <v>21</v>
      </c>
      <c r="E1199" s="24">
        <v>2010</v>
      </c>
      <c r="F1199" s="17" t="s">
        <v>391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3000000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10224</v>
      </c>
      <c r="B1200" s="17" t="s">
        <v>10224</v>
      </c>
      <c r="C1200" s="17" t="s">
        <v>10225</v>
      </c>
      <c r="D1200" s="17" t="s">
        <v>21</v>
      </c>
      <c r="E1200" s="24">
        <v>2010</v>
      </c>
      <c r="F1200" s="17" t="s">
        <v>393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3300000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10226</v>
      </c>
      <c r="B1201" s="17" t="s">
        <v>10226</v>
      </c>
      <c r="C1201" s="17" t="s">
        <v>10227</v>
      </c>
      <c r="D1201" s="17" t="s">
        <v>21</v>
      </c>
      <c r="E1201" s="24">
        <v>2010</v>
      </c>
      <c r="F1201" s="17" t="s">
        <v>395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3600000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10228</v>
      </c>
      <c r="B1202" s="17" t="s">
        <v>10228</v>
      </c>
      <c r="C1202" s="17" t="s">
        <v>10229</v>
      </c>
      <c r="D1202" s="17" t="s">
        <v>21</v>
      </c>
      <c r="E1202" s="24">
        <v>2010</v>
      </c>
      <c r="F1202" s="17" t="s">
        <v>397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3900000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10230</v>
      </c>
      <c r="B1203" s="17" t="s">
        <v>10230</v>
      </c>
      <c r="C1203" s="17" t="s">
        <v>10231</v>
      </c>
      <c r="D1203" s="17" t="s">
        <v>21</v>
      </c>
      <c r="E1203" s="24">
        <v>2010</v>
      </c>
      <c r="F1203" s="17" t="s">
        <v>399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4300000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10232</v>
      </c>
      <c r="B1204" s="17" t="s">
        <v>10232</v>
      </c>
      <c r="C1204" s="17" t="s">
        <v>10233</v>
      </c>
      <c r="D1204" s="17" t="s">
        <v>21</v>
      </c>
      <c r="E1204" s="24">
        <v>2010</v>
      </c>
      <c r="F1204" s="17" t="s">
        <v>401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4700000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10234</v>
      </c>
      <c r="B1205" s="17" t="s">
        <v>10234</v>
      </c>
      <c r="C1205" s="17" t="s">
        <v>10235</v>
      </c>
      <c r="D1205" s="17" t="s">
        <v>21</v>
      </c>
      <c r="E1205" s="24">
        <v>2010</v>
      </c>
      <c r="F1205" s="17" t="s">
        <v>403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5100000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10236</v>
      </c>
      <c r="B1206" s="17" t="s">
        <v>10236</v>
      </c>
      <c r="C1206" s="17" t="s">
        <v>10237</v>
      </c>
      <c r="D1206" s="17" t="s">
        <v>21</v>
      </c>
      <c r="E1206" s="24">
        <v>2010</v>
      </c>
      <c r="F1206" s="17" t="s">
        <v>405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5600000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10238</v>
      </c>
      <c r="B1207" s="17" t="s">
        <v>10238</v>
      </c>
      <c r="C1207" s="17" t="s">
        <v>10239</v>
      </c>
      <c r="D1207" s="17" t="s">
        <v>21</v>
      </c>
      <c r="E1207" s="24">
        <v>2010</v>
      </c>
      <c r="F1207" s="17" t="s">
        <v>407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6200000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10240</v>
      </c>
      <c r="B1208" s="17" t="s">
        <v>10240</v>
      </c>
      <c r="C1208" s="17" t="s">
        <v>10241</v>
      </c>
      <c r="D1208" s="17" t="s">
        <v>21</v>
      </c>
      <c r="E1208" s="24">
        <v>2010</v>
      </c>
      <c r="F1208" s="17" t="s">
        <v>409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6800000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10242</v>
      </c>
      <c r="B1209" s="17" t="s">
        <v>10242</v>
      </c>
      <c r="C1209" s="17" t="s">
        <v>10243</v>
      </c>
      <c r="D1209" s="17" t="s">
        <v>21</v>
      </c>
      <c r="E1209" s="24">
        <v>2010</v>
      </c>
      <c r="F1209" s="17" t="s">
        <v>411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7500000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10244</v>
      </c>
      <c r="B1210" s="17" t="s">
        <v>10244</v>
      </c>
      <c r="C1210" s="17" t="s">
        <v>10245</v>
      </c>
      <c r="D1210" s="17" t="s">
        <v>21</v>
      </c>
      <c r="E1210" s="24">
        <v>2010</v>
      </c>
      <c r="F1210" s="17" t="s">
        <v>413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8200000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10246</v>
      </c>
      <c r="B1211" s="17" t="s">
        <v>10246</v>
      </c>
      <c r="C1211" s="17" t="s">
        <v>10247</v>
      </c>
      <c r="D1211" s="17" t="s">
        <v>21</v>
      </c>
      <c r="E1211" s="24">
        <v>2010</v>
      </c>
      <c r="F1211" s="17" t="s">
        <v>415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9100000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10248</v>
      </c>
      <c r="B1212" s="17" t="s">
        <v>10248</v>
      </c>
      <c r="C1212" s="17" t="s">
        <v>10249</v>
      </c>
      <c r="D1212" s="17" t="s">
        <v>21</v>
      </c>
      <c r="E1212" s="24">
        <v>2010</v>
      </c>
      <c r="F1212" s="17" t="s">
        <v>417</v>
      </c>
      <c r="G1212" s="17" t="str">
        <f>Config!$B$3</f>
        <v>SCH/R_IEC.SchLib</v>
      </c>
      <c r="H1212" s="17" t="s">
        <v>419</v>
      </c>
      <c r="I1212" s="17" t="s">
        <v>461</v>
      </c>
      <c r="J1212" s="41"/>
      <c r="K1212" s="41"/>
      <c r="L1212" s="41"/>
      <c r="M1212" s="21">
        <v>10000000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6" t="s">
        <v>9572</v>
      </c>
      <c r="B1213" s="16" t="s">
        <v>9572</v>
      </c>
      <c r="C1213" s="16" t="s">
        <v>9573</v>
      </c>
      <c r="D1213" s="16" t="s">
        <v>21</v>
      </c>
      <c r="E1213" s="16">
        <v>2512</v>
      </c>
      <c r="F1213" s="16" t="s">
        <v>23</v>
      </c>
      <c r="G1213" s="17" t="str">
        <f>Config!$B$3</f>
        <v>SCH/R_IEC.SchLib</v>
      </c>
      <c r="H1213" s="16" t="s">
        <v>419</v>
      </c>
      <c r="I1213" s="18" t="s">
        <v>461</v>
      </c>
      <c r="J1213" s="17" t="s">
        <v>7477</v>
      </c>
      <c r="K1213" s="17"/>
      <c r="L1213" s="17"/>
      <c r="M1213" s="19">
        <v>0</v>
      </c>
      <c r="N1213" s="17"/>
      <c r="O1213" s="16"/>
      <c r="P1213" s="17"/>
      <c r="Q1213" s="16"/>
      <c r="R1213" s="17"/>
      <c r="S1213" s="16"/>
      <c r="T1213" s="17"/>
      <c r="U1213" s="16"/>
      <c r="V1213" s="16"/>
      <c r="W1213" s="17"/>
      <c r="X1213" s="17"/>
      <c r="Y1213" s="16"/>
      <c r="Z1213" s="17"/>
      <c r="AA1213" s="17"/>
      <c r="AB1213" s="17"/>
    </row>
    <row r="1214" spans="1:28">
      <c r="A1214" s="17" t="s">
        <v>9574</v>
      </c>
      <c r="B1214" s="17" t="s">
        <v>9574</v>
      </c>
      <c r="C1214" s="17" t="s">
        <v>9575</v>
      </c>
      <c r="D1214" s="17" t="s">
        <v>21</v>
      </c>
      <c r="E1214" s="24">
        <v>2512</v>
      </c>
      <c r="F1214" s="17" t="s">
        <v>29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9576</v>
      </c>
      <c r="B1215" s="17" t="s">
        <v>9576</v>
      </c>
      <c r="C1215" s="17" t="s">
        <v>9577</v>
      </c>
      <c r="D1215" s="17" t="s">
        <v>21</v>
      </c>
      <c r="E1215" s="24">
        <v>2512</v>
      </c>
      <c r="F1215" s="17" t="s">
        <v>1042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1.1000000000000001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9578</v>
      </c>
      <c r="B1216" s="17" t="s">
        <v>9578</v>
      </c>
      <c r="C1216" s="17" t="s">
        <v>9579</v>
      </c>
      <c r="D1216" s="17" t="s">
        <v>21</v>
      </c>
      <c r="E1216" s="24">
        <v>2512</v>
      </c>
      <c r="F1216" s="17" t="s">
        <v>31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1.2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9580</v>
      </c>
      <c r="B1217" s="17" t="s">
        <v>9580</v>
      </c>
      <c r="C1217" s="17" t="s">
        <v>9581</v>
      </c>
      <c r="D1217" s="17" t="s">
        <v>21</v>
      </c>
      <c r="E1217" s="24">
        <v>2512</v>
      </c>
      <c r="F1217" s="17" t="s">
        <v>1052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1.3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9582</v>
      </c>
      <c r="B1218" s="17" t="s">
        <v>9582</v>
      </c>
      <c r="C1218" s="17" t="s">
        <v>9583</v>
      </c>
      <c r="D1218" s="17" t="s">
        <v>21</v>
      </c>
      <c r="E1218" s="24">
        <v>2512</v>
      </c>
      <c r="F1218" s="17" t="s">
        <v>33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1.5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9584</v>
      </c>
      <c r="B1219" s="17" t="s">
        <v>9584</v>
      </c>
      <c r="C1219" s="17" t="s">
        <v>9585</v>
      </c>
      <c r="D1219" s="17" t="s">
        <v>21</v>
      </c>
      <c r="E1219" s="24">
        <v>2512</v>
      </c>
      <c r="F1219" s="17" t="s">
        <v>1062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1.6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9586</v>
      </c>
      <c r="B1220" s="17" t="s">
        <v>9586</v>
      </c>
      <c r="C1220" s="17" t="s">
        <v>9587</v>
      </c>
      <c r="D1220" s="17" t="s">
        <v>21</v>
      </c>
      <c r="E1220" s="24">
        <v>2512</v>
      </c>
      <c r="F1220" s="17" t="s">
        <v>35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1.8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9588</v>
      </c>
      <c r="B1221" s="17" t="s">
        <v>9588</v>
      </c>
      <c r="C1221" s="17" t="s">
        <v>9589</v>
      </c>
      <c r="D1221" s="17" t="s">
        <v>21</v>
      </c>
      <c r="E1221" s="24">
        <v>2512</v>
      </c>
      <c r="F1221" s="17" t="s">
        <v>1070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9590</v>
      </c>
      <c r="B1222" s="17" t="s">
        <v>9590</v>
      </c>
      <c r="C1222" s="17" t="s">
        <v>9591</v>
      </c>
      <c r="D1222" s="17" t="s">
        <v>21</v>
      </c>
      <c r="E1222" s="24">
        <v>2512</v>
      </c>
      <c r="F1222" s="17" t="s">
        <v>37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2.2000000000000002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9592</v>
      </c>
      <c r="B1223" s="17" t="s">
        <v>9592</v>
      </c>
      <c r="C1223" s="17" t="s">
        <v>9593</v>
      </c>
      <c r="D1223" s="17" t="s">
        <v>21</v>
      </c>
      <c r="E1223" s="24">
        <v>2512</v>
      </c>
      <c r="F1223" s="17" t="s">
        <v>1080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2.4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9594</v>
      </c>
      <c r="B1224" s="17" t="s">
        <v>9594</v>
      </c>
      <c r="C1224" s="17" t="s">
        <v>9595</v>
      </c>
      <c r="D1224" s="17" t="s">
        <v>21</v>
      </c>
      <c r="E1224" s="24">
        <v>2512</v>
      </c>
      <c r="F1224" s="17" t="s">
        <v>39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2.7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9596</v>
      </c>
      <c r="B1225" s="17" t="s">
        <v>9596</v>
      </c>
      <c r="C1225" s="17" t="s">
        <v>9597</v>
      </c>
      <c r="D1225" s="17" t="s">
        <v>21</v>
      </c>
      <c r="E1225" s="24">
        <v>2512</v>
      </c>
      <c r="F1225" s="17" t="s">
        <v>1088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9598</v>
      </c>
      <c r="B1226" s="17" t="s">
        <v>9598</v>
      </c>
      <c r="C1226" s="17" t="s">
        <v>9599</v>
      </c>
      <c r="D1226" s="17" t="s">
        <v>21</v>
      </c>
      <c r="E1226" s="24">
        <v>2512</v>
      </c>
      <c r="F1226" s="17" t="s">
        <v>41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3.3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9600</v>
      </c>
      <c r="B1227" s="17" t="s">
        <v>9600</v>
      </c>
      <c r="C1227" s="17" t="s">
        <v>9601</v>
      </c>
      <c r="D1227" s="17" t="s">
        <v>21</v>
      </c>
      <c r="E1227" s="24">
        <v>2512</v>
      </c>
      <c r="F1227" s="17" t="s">
        <v>1098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3.6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9602</v>
      </c>
      <c r="B1228" s="17" t="s">
        <v>9602</v>
      </c>
      <c r="C1228" s="17" t="s">
        <v>9603</v>
      </c>
      <c r="D1228" s="17" t="s">
        <v>21</v>
      </c>
      <c r="E1228" s="24">
        <v>2512</v>
      </c>
      <c r="F1228" s="17" t="s">
        <v>43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3.9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9604</v>
      </c>
      <c r="B1229" s="17" t="s">
        <v>9604</v>
      </c>
      <c r="C1229" s="17" t="s">
        <v>9605</v>
      </c>
      <c r="D1229" s="17" t="s">
        <v>21</v>
      </c>
      <c r="E1229" s="24">
        <v>2512</v>
      </c>
      <c r="F1229" s="17" t="s">
        <v>1106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4.3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9606</v>
      </c>
      <c r="B1230" s="17" t="s">
        <v>9606</v>
      </c>
      <c r="C1230" s="17" t="s">
        <v>9607</v>
      </c>
      <c r="D1230" s="17" t="s">
        <v>21</v>
      </c>
      <c r="E1230" s="24">
        <v>2512</v>
      </c>
      <c r="F1230" s="17" t="s">
        <v>45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4.7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9608</v>
      </c>
      <c r="B1231" s="17" t="s">
        <v>9608</v>
      </c>
      <c r="C1231" s="17" t="s">
        <v>9609</v>
      </c>
      <c r="D1231" s="17" t="s">
        <v>21</v>
      </c>
      <c r="E1231" s="24">
        <v>2512</v>
      </c>
      <c r="F1231" s="17" t="s">
        <v>1116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5.0999999999999996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9610</v>
      </c>
      <c r="B1232" s="17" t="s">
        <v>9610</v>
      </c>
      <c r="C1232" s="17" t="s">
        <v>9611</v>
      </c>
      <c r="D1232" s="17" t="s">
        <v>21</v>
      </c>
      <c r="E1232" s="24">
        <v>2512</v>
      </c>
      <c r="F1232" s="17" t="s">
        <v>47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5.6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9612</v>
      </c>
      <c r="B1233" s="17" t="s">
        <v>9612</v>
      </c>
      <c r="C1233" s="17" t="s">
        <v>9613</v>
      </c>
      <c r="D1233" s="17" t="s">
        <v>21</v>
      </c>
      <c r="E1233" s="24">
        <v>2512</v>
      </c>
      <c r="F1233" s="17" t="s">
        <v>1128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6.2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9614</v>
      </c>
      <c r="B1234" s="17" t="s">
        <v>9614</v>
      </c>
      <c r="C1234" s="17" t="s">
        <v>9615</v>
      </c>
      <c r="D1234" s="17" t="s">
        <v>21</v>
      </c>
      <c r="E1234" s="24">
        <v>2512</v>
      </c>
      <c r="F1234" s="17" t="s">
        <v>49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6.8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9616</v>
      </c>
      <c r="B1235" s="17" t="s">
        <v>9616</v>
      </c>
      <c r="C1235" s="17" t="s">
        <v>9617</v>
      </c>
      <c r="D1235" s="17" t="s">
        <v>21</v>
      </c>
      <c r="E1235" s="24">
        <v>2512</v>
      </c>
      <c r="F1235" s="17" t="s">
        <v>1138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7.5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9618</v>
      </c>
      <c r="B1236" s="17" t="s">
        <v>9618</v>
      </c>
      <c r="C1236" s="17" t="s">
        <v>9619</v>
      </c>
      <c r="D1236" s="17" t="s">
        <v>21</v>
      </c>
      <c r="E1236" s="24">
        <v>2512</v>
      </c>
      <c r="F1236" s="17" t="s">
        <v>51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8.1999999999999993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9620</v>
      </c>
      <c r="B1237" s="17" t="s">
        <v>9620</v>
      </c>
      <c r="C1237" s="17" t="s">
        <v>9621</v>
      </c>
      <c r="D1237" s="17" t="s">
        <v>21</v>
      </c>
      <c r="E1237" s="24">
        <v>2512</v>
      </c>
      <c r="F1237" s="17" t="s">
        <v>1148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17">
        <v>9.1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9622</v>
      </c>
      <c r="B1238" s="17" t="s">
        <v>9622</v>
      </c>
      <c r="C1238" s="17" t="s">
        <v>9623</v>
      </c>
      <c r="D1238" s="17" t="s">
        <v>21</v>
      </c>
      <c r="E1238" s="24">
        <v>2512</v>
      </c>
      <c r="F1238" s="17" t="s">
        <v>53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10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9624</v>
      </c>
      <c r="B1239" s="17" t="s">
        <v>9624</v>
      </c>
      <c r="C1239" s="17" t="s">
        <v>9625</v>
      </c>
      <c r="D1239" s="17" t="s">
        <v>21</v>
      </c>
      <c r="E1239" s="24">
        <v>2512</v>
      </c>
      <c r="F1239" s="17" t="s">
        <v>57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11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9626</v>
      </c>
      <c r="B1240" s="17" t="s">
        <v>9626</v>
      </c>
      <c r="C1240" s="17" t="s">
        <v>9627</v>
      </c>
      <c r="D1240" s="17" t="s">
        <v>21</v>
      </c>
      <c r="E1240" s="24">
        <v>2512</v>
      </c>
      <c r="F1240" s="17" t="s">
        <v>59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12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9628</v>
      </c>
      <c r="B1241" s="17" t="s">
        <v>9628</v>
      </c>
      <c r="C1241" s="17" t="s">
        <v>9629</v>
      </c>
      <c r="D1241" s="17" t="s">
        <v>21</v>
      </c>
      <c r="E1241" s="24">
        <v>2512</v>
      </c>
      <c r="F1241" s="17" t="s">
        <v>61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13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9630</v>
      </c>
      <c r="B1242" s="17" t="s">
        <v>9630</v>
      </c>
      <c r="C1242" s="17" t="s">
        <v>9631</v>
      </c>
      <c r="D1242" s="17" t="s">
        <v>21</v>
      </c>
      <c r="E1242" s="24">
        <v>2512</v>
      </c>
      <c r="F1242" s="17" t="s">
        <v>63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15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9632</v>
      </c>
      <c r="B1243" s="17" t="s">
        <v>9632</v>
      </c>
      <c r="C1243" s="17" t="s">
        <v>9633</v>
      </c>
      <c r="D1243" s="17" t="s">
        <v>21</v>
      </c>
      <c r="E1243" s="24">
        <v>2512</v>
      </c>
      <c r="F1243" s="17" t="s">
        <v>65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16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9634</v>
      </c>
      <c r="B1244" s="17" t="s">
        <v>9634</v>
      </c>
      <c r="C1244" s="17" t="s">
        <v>9635</v>
      </c>
      <c r="D1244" s="17" t="s">
        <v>21</v>
      </c>
      <c r="E1244" s="24">
        <v>2512</v>
      </c>
      <c r="F1244" s="17" t="s">
        <v>67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18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9636</v>
      </c>
      <c r="B1245" s="17" t="s">
        <v>9636</v>
      </c>
      <c r="C1245" s="17" t="s">
        <v>9637</v>
      </c>
      <c r="D1245" s="17" t="s">
        <v>21</v>
      </c>
      <c r="E1245" s="24">
        <v>2512</v>
      </c>
      <c r="F1245" s="17" t="s">
        <v>69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9638</v>
      </c>
      <c r="B1246" s="17" t="s">
        <v>9638</v>
      </c>
      <c r="C1246" s="17" t="s">
        <v>9639</v>
      </c>
      <c r="D1246" s="17" t="s">
        <v>21</v>
      </c>
      <c r="E1246" s="24">
        <v>2512</v>
      </c>
      <c r="F1246" s="17" t="s">
        <v>71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22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9640</v>
      </c>
      <c r="B1247" s="17" t="s">
        <v>9640</v>
      </c>
      <c r="C1247" s="17" t="s">
        <v>9641</v>
      </c>
      <c r="D1247" s="17" t="s">
        <v>21</v>
      </c>
      <c r="E1247" s="24">
        <v>2512</v>
      </c>
      <c r="F1247" s="17" t="s">
        <v>75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24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9642</v>
      </c>
      <c r="B1248" s="17" t="s">
        <v>9642</v>
      </c>
      <c r="C1248" s="17" t="s">
        <v>9643</v>
      </c>
      <c r="D1248" s="17" t="s">
        <v>21</v>
      </c>
      <c r="E1248" s="24">
        <v>2512</v>
      </c>
      <c r="F1248" s="17" t="s">
        <v>77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27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9644</v>
      </c>
      <c r="B1249" s="17" t="s">
        <v>9644</v>
      </c>
      <c r="C1249" s="17" t="s">
        <v>9645</v>
      </c>
      <c r="D1249" s="17" t="s">
        <v>21</v>
      </c>
      <c r="E1249" s="24">
        <v>2512</v>
      </c>
      <c r="F1249" s="17" t="s">
        <v>79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9646</v>
      </c>
      <c r="B1250" s="17" t="s">
        <v>9646</v>
      </c>
      <c r="C1250" s="17" t="s">
        <v>9647</v>
      </c>
      <c r="D1250" s="17" t="s">
        <v>21</v>
      </c>
      <c r="E1250" s="24">
        <v>2512</v>
      </c>
      <c r="F1250" s="17" t="s">
        <v>81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33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9648</v>
      </c>
      <c r="B1251" s="17" t="s">
        <v>9648</v>
      </c>
      <c r="C1251" s="17" t="s">
        <v>9649</v>
      </c>
      <c r="D1251" s="17" t="s">
        <v>21</v>
      </c>
      <c r="E1251" s="24">
        <v>2512</v>
      </c>
      <c r="F1251" s="17" t="s">
        <v>83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36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9650</v>
      </c>
      <c r="B1252" s="17" t="s">
        <v>9650</v>
      </c>
      <c r="C1252" s="17" t="s">
        <v>9651</v>
      </c>
      <c r="D1252" s="17" t="s">
        <v>21</v>
      </c>
      <c r="E1252" s="24">
        <v>2512</v>
      </c>
      <c r="F1252" s="17" t="s">
        <v>85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39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9652</v>
      </c>
      <c r="B1253" s="17" t="s">
        <v>9652</v>
      </c>
      <c r="C1253" s="17" t="s">
        <v>9653</v>
      </c>
      <c r="D1253" s="17" t="s">
        <v>21</v>
      </c>
      <c r="E1253" s="24">
        <v>2512</v>
      </c>
      <c r="F1253" s="17" t="s">
        <v>87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43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9654</v>
      </c>
      <c r="B1254" s="17" t="s">
        <v>9654</v>
      </c>
      <c r="C1254" s="17" t="s">
        <v>9655</v>
      </c>
      <c r="D1254" s="17" t="s">
        <v>21</v>
      </c>
      <c r="E1254" s="24">
        <v>2512</v>
      </c>
      <c r="F1254" s="17" t="s">
        <v>89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47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9656</v>
      </c>
      <c r="B1255" s="17" t="s">
        <v>9656</v>
      </c>
      <c r="C1255" s="17" t="s">
        <v>9657</v>
      </c>
      <c r="D1255" s="17" t="s">
        <v>21</v>
      </c>
      <c r="E1255" s="24">
        <v>2512</v>
      </c>
      <c r="F1255" s="17" t="s">
        <v>91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51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9658</v>
      </c>
      <c r="B1256" s="17" t="s">
        <v>9658</v>
      </c>
      <c r="C1256" s="17" t="s">
        <v>9659</v>
      </c>
      <c r="D1256" s="17" t="s">
        <v>21</v>
      </c>
      <c r="E1256" s="24">
        <v>2512</v>
      </c>
      <c r="F1256" s="17" t="s">
        <v>93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56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9660</v>
      </c>
      <c r="B1257" s="17" t="s">
        <v>9660</v>
      </c>
      <c r="C1257" s="17" t="s">
        <v>9661</v>
      </c>
      <c r="D1257" s="17" t="s">
        <v>21</v>
      </c>
      <c r="E1257" s="24">
        <v>2512</v>
      </c>
      <c r="F1257" s="17" t="s">
        <v>95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62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9662</v>
      </c>
      <c r="B1258" s="17" t="s">
        <v>9662</v>
      </c>
      <c r="C1258" s="17" t="s">
        <v>9663</v>
      </c>
      <c r="D1258" s="17" t="s">
        <v>21</v>
      </c>
      <c r="E1258" s="24">
        <v>2512</v>
      </c>
      <c r="F1258" s="17" t="s">
        <v>97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68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9664</v>
      </c>
      <c r="B1259" s="17" t="s">
        <v>9664</v>
      </c>
      <c r="C1259" s="17" t="s">
        <v>9665</v>
      </c>
      <c r="D1259" s="17" t="s">
        <v>21</v>
      </c>
      <c r="E1259" s="24">
        <v>2512</v>
      </c>
      <c r="F1259" s="17" t="s">
        <v>99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75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9666</v>
      </c>
      <c r="B1260" s="17" t="s">
        <v>9666</v>
      </c>
      <c r="C1260" s="17" t="s">
        <v>9667</v>
      </c>
      <c r="D1260" s="17" t="s">
        <v>21</v>
      </c>
      <c r="E1260" s="24">
        <v>2512</v>
      </c>
      <c r="F1260" s="17" t="s">
        <v>101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82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9668</v>
      </c>
      <c r="B1261" s="17" t="s">
        <v>9668</v>
      </c>
      <c r="C1261" s="17" t="s">
        <v>9669</v>
      </c>
      <c r="D1261" s="17" t="s">
        <v>21</v>
      </c>
      <c r="E1261" s="24">
        <v>2512</v>
      </c>
      <c r="F1261" s="17" t="s">
        <v>103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91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9670</v>
      </c>
      <c r="B1262" s="17" t="s">
        <v>9670</v>
      </c>
      <c r="C1262" s="17" t="s">
        <v>9671</v>
      </c>
      <c r="D1262" s="17" t="s">
        <v>21</v>
      </c>
      <c r="E1262" s="24">
        <v>2512</v>
      </c>
      <c r="F1262" s="17" t="s">
        <v>105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100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9672</v>
      </c>
      <c r="B1263" s="17" t="s">
        <v>9672</v>
      </c>
      <c r="C1263" s="17" t="s">
        <v>9673</v>
      </c>
      <c r="D1263" s="17" t="s">
        <v>21</v>
      </c>
      <c r="E1263" s="24">
        <v>2512</v>
      </c>
      <c r="F1263" s="17" t="s">
        <v>109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110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9674</v>
      </c>
      <c r="B1264" s="17" t="s">
        <v>9674</v>
      </c>
      <c r="C1264" s="17" t="s">
        <v>9675</v>
      </c>
      <c r="D1264" s="17" t="s">
        <v>21</v>
      </c>
      <c r="E1264" s="24">
        <v>2512</v>
      </c>
      <c r="F1264" s="17" t="s">
        <v>111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120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9676</v>
      </c>
      <c r="B1265" s="17" t="s">
        <v>9676</v>
      </c>
      <c r="C1265" s="17" t="s">
        <v>9677</v>
      </c>
      <c r="D1265" s="17" t="s">
        <v>21</v>
      </c>
      <c r="E1265" s="24">
        <v>2512</v>
      </c>
      <c r="F1265" s="17" t="s">
        <v>113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130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9678</v>
      </c>
      <c r="B1266" s="17" t="s">
        <v>9678</v>
      </c>
      <c r="C1266" s="17" t="s">
        <v>9679</v>
      </c>
      <c r="D1266" s="17" t="s">
        <v>21</v>
      </c>
      <c r="E1266" s="24">
        <v>2512</v>
      </c>
      <c r="F1266" s="17" t="s">
        <v>115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150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9680</v>
      </c>
      <c r="B1267" s="17" t="s">
        <v>9680</v>
      </c>
      <c r="C1267" s="17" t="s">
        <v>9681</v>
      </c>
      <c r="D1267" s="17" t="s">
        <v>21</v>
      </c>
      <c r="E1267" s="24">
        <v>2512</v>
      </c>
      <c r="F1267" s="17" t="s">
        <v>117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160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9682</v>
      </c>
      <c r="B1268" s="17" t="s">
        <v>9682</v>
      </c>
      <c r="C1268" s="17" t="s">
        <v>9683</v>
      </c>
      <c r="D1268" s="17" t="s">
        <v>21</v>
      </c>
      <c r="E1268" s="24">
        <v>2512</v>
      </c>
      <c r="F1268" s="17" t="s">
        <v>119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180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9684</v>
      </c>
      <c r="B1269" s="17" t="s">
        <v>9684</v>
      </c>
      <c r="C1269" s="17" t="s">
        <v>9685</v>
      </c>
      <c r="D1269" s="17" t="s">
        <v>21</v>
      </c>
      <c r="E1269" s="24">
        <v>2512</v>
      </c>
      <c r="F1269" s="17" t="s">
        <v>123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9686</v>
      </c>
      <c r="B1270" s="17" t="s">
        <v>9686</v>
      </c>
      <c r="C1270" s="17" t="s">
        <v>9687</v>
      </c>
      <c r="D1270" s="17" t="s">
        <v>21</v>
      </c>
      <c r="E1270" s="24">
        <v>2512</v>
      </c>
      <c r="F1270" s="17" t="s">
        <v>125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220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9688</v>
      </c>
      <c r="B1271" s="17" t="s">
        <v>9688</v>
      </c>
      <c r="C1271" s="17" t="s">
        <v>9689</v>
      </c>
      <c r="D1271" s="17" t="s">
        <v>21</v>
      </c>
      <c r="E1271" s="24">
        <v>2512</v>
      </c>
      <c r="F1271" s="17" t="s">
        <v>129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240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9690</v>
      </c>
      <c r="B1272" s="17" t="s">
        <v>9690</v>
      </c>
      <c r="C1272" s="17" t="s">
        <v>9691</v>
      </c>
      <c r="D1272" s="17" t="s">
        <v>21</v>
      </c>
      <c r="E1272" s="24">
        <v>2512</v>
      </c>
      <c r="F1272" s="17" t="s">
        <v>131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270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9692</v>
      </c>
      <c r="B1273" s="17" t="s">
        <v>9692</v>
      </c>
      <c r="C1273" s="17" t="s">
        <v>9693</v>
      </c>
      <c r="D1273" s="17" t="s">
        <v>21</v>
      </c>
      <c r="E1273" s="24">
        <v>2512</v>
      </c>
      <c r="F1273" s="17" t="s">
        <v>133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9694</v>
      </c>
      <c r="B1274" s="17" t="s">
        <v>9694</v>
      </c>
      <c r="C1274" s="17" t="s">
        <v>9695</v>
      </c>
      <c r="D1274" s="17" t="s">
        <v>21</v>
      </c>
      <c r="E1274" s="24">
        <v>2512</v>
      </c>
      <c r="F1274" s="17" t="s">
        <v>137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330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9696</v>
      </c>
      <c r="B1275" s="17" t="s">
        <v>9696</v>
      </c>
      <c r="C1275" s="17" t="s">
        <v>9697</v>
      </c>
      <c r="D1275" s="17" t="s">
        <v>21</v>
      </c>
      <c r="E1275" s="24">
        <v>2512</v>
      </c>
      <c r="F1275" s="17" t="s">
        <v>139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360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9698</v>
      </c>
      <c r="B1276" s="17" t="s">
        <v>9698</v>
      </c>
      <c r="C1276" s="17" t="s">
        <v>9699</v>
      </c>
      <c r="D1276" s="17" t="s">
        <v>21</v>
      </c>
      <c r="E1276" s="24">
        <v>2512</v>
      </c>
      <c r="F1276" s="17" t="s">
        <v>141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390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9700</v>
      </c>
      <c r="B1277" s="17" t="s">
        <v>9700</v>
      </c>
      <c r="C1277" s="17" t="s">
        <v>9701</v>
      </c>
      <c r="D1277" s="17" t="s">
        <v>21</v>
      </c>
      <c r="E1277" s="24">
        <v>2512</v>
      </c>
      <c r="F1277" s="17" t="s">
        <v>143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430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9702</v>
      </c>
      <c r="B1278" s="17" t="s">
        <v>9702</v>
      </c>
      <c r="C1278" s="17" t="s">
        <v>9703</v>
      </c>
      <c r="D1278" s="17" t="s">
        <v>21</v>
      </c>
      <c r="E1278" s="24">
        <v>2512</v>
      </c>
      <c r="F1278" s="17" t="s">
        <v>145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470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9704</v>
      </c>
      <c r="B1279" s="17" t="s">
        <v>9704</v>
      </c>
      <c r="C1279" s="17" t="s">
        <v>9705</v>
      </c>
      <c r="D1279" s="17" t="s">
        <v>21</v>
      </c>
      <c r="E1279" s="24">
        <v>2512</v>
      </c>
      <c r="F1279" s="17" t="s">
        <v>149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510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9706</v>
      </c>
      <c r="B1280" s="17" t="s">
        <v>9706</v>
      </c>
      <c r="C1280" s="17" t="s">
        <v>9707</v>
      </c>
      <c r="D1280" s="17" t="s">
        <v>21</v>
      </c>
      <c r="E1280" s="24">
        <v>2512</v>
      </c>
      <c r="F1280" s="17" t="s">
        <v>151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560</v>
      </c>
      <c r="N1280" s="17" t="s">
        <v>14077</v>
      </c>
      <c r="O1280" s="17" t="s">
        <v>477</v>
      </c>
      <c r="P1280" s="17" t="s">
        <v>13700</v>
      </c>
      <c r="Q1280" s="17" t="s">
        <v>25</v>
      </c>
      <c r="R1280" s="17" t="s">
        <v>13701</v>
      </c>
      <c r="S1280" t="s">
        <v>477</v>
      </c>
      <c r="T1280" s="17" t="s">
        <v>13702</v>
      </c>
      <c r="U1280" t="s">
        <v>25</v>
      </c>
      <c r="V1280" s="17" t="s">
        <v>13703</v>
      </c>
      <c r="W1280" s="17"/>
      <c r="X1280" s="17"/>
      <c r="Y1280" s="17"/>
      <c r="Z1280" s="17"/>
      <c r="AA1280" s="17"/>
      <c r="AB1280" s="17"/>
    </row>
    <row r="1281" spans="1:28">
      <c r="A1281" s="17" t="s">
        <v>9708</v>
      </c>
      <c r="B1281" s="17" t="s">
        <v>9708</v>
      </c>
      <c r="C1281" s="17" t="s">
        <v>9709</v>
      </c>
      <c r="D1281" s="17" t="s">
        <v>21</v>
      </c>
      <c r="E1281" s="24">
        <v>2512</v>
      </c>
      <c r="F1281" s="17" t="s">
        <v>153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620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9710</v>
      </c>
      <c r="B1282" s="17" t="s">
        <v>9710</v>
      </c>
      <c r="C1282" s="17" t="s">
        <v>9711</v>
      </c>
      <c r="D1282" s="17" t="s">
        <v>21</v>
      </c>
      <c r="E1282" s="24">
        <v>2512</v>
      </c>
      <c r="F1282" s="17" t="s">
        <v>155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680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9712</v>
      </c>
      <c r="B1283" s="17" t="s">
        <v>9712</v>
      </c>
      <c r="C1283" s="17" t="s">
        <v>9713</v>
      </c>
      <c r="D1283" s="17" t="s">
        <v>21</v>
      </c>
      <c r="E1283" s="24">
        <v>2512</v>
      </c>
      <c r="F1283" s="17" t="s">
        <v>157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750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9714</v>
      </c>
      <c r="B1284" s="17" t="s">
        <v>9714</v>
      </c>
      <c r="C1284" s="17" t="s">
        <v>9715</v>
      </c>
      <c r="D1284" s="17" t="s">
        <v>21</v>
      </c>
      <c r="E1284" s="24">
        <v>2512</v>
      </c>
      <c r="F1284" s="17" t="s">
        <v>159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820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9716</v>
      </c>
      <c r="B1285" s="17" t="s">
        <v>9716</v>
      </c>
      <c r="C1285" s="17" t="s">
        <v>9717</v>
      </c>
      <c r="D1285" s="17" t="s">
        <v>21</v>
      </c>
      <c r="E1285" s="24">
        <v>2512</v>
      </c>
      <c r="F1285" s="17" t="s">
        <v>161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910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9718</v>
      </c>
      <c r="B1286" s="17" t="s">
        <v>9718</v>
      </c>
      <c r="C1286" s="17" t="s">
        <v>9719</v>
      </c>
      <c r="D1286" s="17" t="s">
        <v>21</v>
      </c>
      <c r="E1286" s="24">
        <v>2512</v>
      </c>
      <c r="F1286" s="17" t="s">
        <v>163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1000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9720</v>
      </c>
      <c r="B1287" s="17" t="s">
        <v>9720</v>
      </c>
      <c r="C1287" s="17" t="s">
        <v>9721</v>
      </c>
      <c r="D1287" s="17" t="s">
        <v>21</v>
      </c>
      <c r="E1287" s="24">
        <v>2512</v>
      </c>
      <c r="F1287" s="17" t="s">
        <v>165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1100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6" t="s">
        <v>8080</v>
      </c>
      <c r="B1288" s="16" t="s">
        <v>8080</v>
      </c>
      <c r="C1288" s="16" t="s">
        <v>8081</v>
      </c>
      <c r="D1288" s="16" t="s">
        <v>21</v>
      </c>
      <c r="E1288" s="16" t="s">
        <v>7475</v>
      </c>
      <c r="F1288" s="16" t="s">
        <v>167</v>
      </c>
      <c r="G1288" s="17" t="str">
        <f>Config!$B$3</f>
        <v>SCH/R_IEC.SchLib</v>
      </c>
      <c r="H1288" s="16" t="s">
        <v>419</v>
      </c>
      <c r="I1288" s="18" t="s">
        <v>461</v>
      </c>
      <c r="J1288" s="16" t="s">
        <v>7477</v>
      </c>
      <c r="K1288" s="16"/>
      <c r="L1288" s="16"/>
      <c r="M1288" s="20">
        <v>1200</v>
      </c>
      <c r="N1288" s="17" t="s">
        <v>14077</v>
      </c>
      <c r="O1288" s="16" t="s">
        <v>477</v>
      </c>
      <c r="P1288" s="16" t="s">
        <v>8084</v>
      </c>
      <c r="Q1288" s="16" t="s">
        <v>25</v>
      </c>
      <c r="R1288" s="16" t="s">
        <v>8085</v>
      </c>
      <c r="S1288" s="16" t="s">
        <v>477</v>
      </c>
      <c r="T1288" s="16" t="s">
        <v>8082</v>
      </c>
      <c r="U1288" s="16" t="s">
        <v>25</v>
      </c>
      <c r="V1288" s="16" t="s">
        <v>8083</v>
      </c>
      <c r="W1288" s="17"/>
      <c r="X1288" s="17"/>
      <c r="Y1288" s="17"/>
      <c r="Z1288" s="17"/>
      <c r="AA1288" s="17"/>
      <c r="AB1288" s="17" t="str">
        <f t="shared" ref="AB1288" si="9">"GPR"&amp;E1288&amp;F1288</f>
        <v>GPR25121K2</v>
      </c>
    </row>
    <row r="1289" spans="1:28">
      <c r="A1289" s="17" t="s">
        <v>9722</v>
      </c>
      <c r="B1289" s="17" t="s">
        <v>9722</v>
      </c>
      <c r="C1289" s="17" t="s">
        <v>9723</v>
      </c>
      <c r="D1289" s="17" t="s">
        <v>21</v>
      </c>
      <c r="E1289" s="24">
        <v>2512</v>
      </c>
      <c r="F1289" s="17" t="s">
        <v>169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1300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9724</v>
      </c>
      <c r="B1290" s="17" t="s">
        <v>9724</v>
      </c>
      <c r="C1290" s="17" t="s">
        <v>9725</v>
      </c>
      <c r="D1290" s="17" t="s">
        <v>21</v>
      </c>
      <c r="E1290" s="24">
        <v>2512</v>
      </c>
      <c r="F1290" s="17" t="s">
        <v>171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1500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9726</v>
      </c>
      <c r="B1291" s="17" t="s">
        <v>9726</v>
      </c>
      <c r="C1291" s="17" t="s">
        <v>9727</v>
      </c>
      <c r="D1291" s="17" t="s">
        <v>21</v>
      </c>
      <c r="E1291" s="24">
        <v>2512</v>
      </c>
      <c r="F1291" s="17" t="s">
        <v>175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1600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9728</v>
      </c>
      <c r="B1292" s="17" t="s">
        <v>9728</v>
      </c>
      <c r="C1292" s="17" t="s">
        <v>9729</v>
      </c>
      <c r="D1292" s="17" t="s">
        <v>21</v>
      </c>
      <c r="E1292" s="24">
        <v>2512</v>
      </c>
      <c r="F1292" s="17" t="s">
        <v>181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1800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9730</v>
      </c>
      <c r="B1293" s="17" t="s">
        <v>9730</v>
      </c>
      <c r="C1293" s="17" t="s">
        <v>9731</v>
      </c>
      <c r="D1293" s="17" t="s">
        <v>21</v>
      </c>
      <c r="E1293" s="24">
        <v>2512</v>
      </c>
      <c r="F1293" s="17" t="s">
        <v>183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9732</v>
      </c>
      <c r="B1294" s="17" t="s">
        <v>9732</v>
      </c>
      <c r="C1294" s="17" t="s">
        <v>9733</v>
      </c>
      <c r="D1294" s="17" t="s">
        <v>21</v>
      </c>
      <c r="E1294" s="24">
        <v>2512</v>
      </c>
      <c r="F1294" s="17" t="s">
        <v>187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2200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9734</v>
      </c>
      <c r="B1295" s="17" t="s">
        <v>9734</v>
      </c>
      <c r="C1295" s="17" t="s">
        <v>9735</v>
      </c>
      <c r="D1295" s="17" t="s">
        <v>21</v>
      </c>
      <c r="E1295" s="24">
        <v>2512</v>
      </c>
      <c r="F1295" s="17" t="s">
        <v>191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2400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9736</v>
      </c>
      <c r="B1296" s="17" t="s">
        <v>9736</v>
      </c>
      <c r="C1296" s="17" t="s">
        <v>9737</v>
      </c>
      <c r="D1296" s="17" t="s">
        <v>21</v>
      </c>
      <c r="E1296" s="24">
        <v>2512</v>
      </c>
      <c r="F1296" s="17" t="s">
        <v>193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2700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9738</v>
      </c>
      <c r="B1297" s="17" t="s">
        <v>9738</v>
      </c>
      <c r="C1297" s="17" t="s">
        <v>9739</v>
      </c>
      <c r="D1297" s="17" t="s">
        <v>21</v>
      </c>
      <c r="E1297" s="24">
        <v>2512</v>
      </c>
      <c r="F1297" s="17" t="s">
        <v>197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9740</v>
      </c>
      <c r="B1298" s="17" t="s">
        <v>9740</v>
      </c>
      <c r="C1298" s="17" t="s">
        <v>9741</v>
      </c>
      <c r="D1298" s="17" t="s">
        <v>21</v>
      </c>
      <c r="E1298" s="24">
        <v>2512</v>
      </c>
      <c r="F1298" s="17" t="s">
        <v>201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3300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9742</v>
      </c>
      <c r="B1299" s="17" t="s">
        <v>9742</v>
      </c>
      <c r="C1299" s="17" t="s">
        <v>9743</v>
      </c>
      <c r="D1299" s="17" t="s">
        <v>21</v>
      </c>
      <c r="E1299" s="24">
        <v>2512</v>
      </c>
      <c r="F1299" s="17" t="s">
        <v>203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3600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9744</v>
      </c>
      <c r="B1300" s="17" t="s">
        <v>9744</v>
      </c>
      <c r="C1300" s="17" t="s">
        <v>9745</v>
      </c>
      <c r="D1300" s="17" t="s">
        <v>21</v>
      </c>
      <c r="E1300" s="24">
        <v>2512</v>
      </c>
      <c r="F1300" s="17" t="s">
        <v>205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3900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9746</v>
      </c>
      <c r="B1301" s="17" t="s">
        <v>9746</v>
      </c>
      <c r="C1301" s="17" t="s">
        <v>9747</v>
      </c>
      <c r="D1301" s="17" t="s">
        <v>21</v>
      </c>
      <c r="E1301" s="24">
        <v>2512</v>
      </c>
      <c r="F1301" s="17" t="s">
        <v>207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4300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9748</v>
      </c>
      <c r="B1302" s="17" t="s">
        <v>9748</v>
      </c>
      <c r="C1302" s="17" t="s">
        <v>9749</v>
      </c>
      <c r="D1302" s="17" t="s">
        <v>21</v>
      </c>
      <c r="E1302" s="24">
        <v>2512</v>
      </c>
      <c r="F1302" s="17" t="s">
        <v>209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4700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9750</v>
      </c>
      <c r="B1303" s="17" t="s">
        <v>9750</v>
      </c>
      <c r="C1303" s="17" t="s">
        <v>9751</v>
      </c>
      <c r="D1303" s="17" t="s">
        <v>21</v>
      </c>
      <c r="E1303" s="24">
        <v>2512</v>
      </c>
      <c r="F1303" s="17" t="s">
        <v>213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5100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9752</v>
      </c>
      <c r="B1304" s="17" t="s">
        <v>9752</v>
      </c>
      <c r="C1304" s="17" t="s">
        <v>9753</v>
      </c>
      <c r="D1304" s="17" t="s">
        <v>21</v>
      </c>
      <c r="E1304" s="24">
        <v>2512</v>
      </c>
      <c r="F1304" s="17" t="s">
        <v>215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5600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9754</v>
      </c>
      <c r="B1305" s="17" t="s">
        <v>9754</v>
      </c>
      <c r="C1305" s="17" t="s">
        <v>9755</v>
      </c>
      <c r="D1305" s="17" t="s">
        <v>21</v>
      </c>
      <c r="E1305" s="24">
        <v>2512</v>
      </c>
      <c r="F1305" s="17" t="s">
        <v>217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6200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9756</v>
      </c>
      <c r="B1306" s="17" t="s">
        <v>9756</v>
      </c>
      <c r="C1306" s="17" t="s">
        <v>9757</v>
      </c>
      <c r="D1306" s="17" t="s">
        <v>21</v>
      </c>
      <c r="E1306" s="24">
        <v>2512</v>
      </c>
      <c r="F1306" s="17" t="s">
        <v>219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6800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9758</v>
      </c>
      <c r="B1307" s="17" t="s">
        <v>9758</v>
      </c>
      <c r="C1307" s="17" t="s">
        <v>9759</v>
      </c>
      <c r="D1307" s="17" t="s">
        <v>21</v>
      </c>
      <c r="E1307" s="24">
        <v>2512</v>
      </c>
      <c r="F1307" s="17" t="s">
        <v>221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7500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9760</v>
      </c>
      <c r="B1308" s="17" t="s">
        <v>9760</v>
      </c>
      <c r="C1308" s="17" t="s">
        <v>9761</v>
      </c>
      <c r="D1308" s="17" t="s">
        <v>21</v>
      </c>
      <c r="E1308" s="24">
        <v>2512</v>
      </c>
      <c r="F1308" s="17" t="s">
        <v>223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8200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9762</v>
      </c>
      <c r="B1309" s="17" t="s">
        <v>9762</v>
      </c>
      <c r="C1309" s="17" t="s">
        <v>9763</v>
      </c>
      <c r="D1309" s="17" t="s">
        <v>21</v>
      </c>
      <c r="E1309" s="24">
        <v>2512</v>
      </c>
      <c r="F1309" s="17" t="s">
        <v>225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9100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9764</v>
      </c>
      <c r="B1310" s="17" t="s">
        <v>9764</v>
      </c>
      <c r="C1310" s="17" t="s">
        <v>9765</v>
      </c>
      <c r="D1310" s="17" t="s">
        <v>21</v>
      </c>
      <c r="E1310" s="24">
        <v>2512</v>
      </c>
      <c r="F1310" s="17" t="s">
        <v>229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10000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9766</v>
      </c>
      <c r="B1311" s="17" t="s">
        <v>9766</v>
      </c>
      <c r="C1311" s="17" t="s">
        <v>9767</v>
      </c>
      <c r="D1311" s="17" t="s">
        <v>21</v>
      </c>
      <c r="E1311" s="24">
        <v>2512</v>
      </c>
      <c r="F1311" s="17" t="s">
        <v>233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11000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9768</v>
      </c>
      <c r="B1312" s="17" t="s">
        <v>9768</v>
      </c>
      <c r="C1312" s="17" t="s">
        <v>9769</v>
      </c>
      <c r="D1312" s="17" t="s">
        <v>21</v>
      </c>
      <c r="E1312" s="24">
        <v>2512</v>
      </c>
      <c r="F1312" s="17" t="s">
        <v>235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12000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9770</v>
      </c>
      <c r="B1313" s="17" t="s">
        <v>9770</v>
      </c>
      <c r="C1313" s="17" t="s">
        <v>9771</v>
      </c>
      <c r="D1313" s="17" t="s">
        <v>21</v>
      </c>
      <c r="E1313" s="24">
        <v>2512</v>
      </c>
      <c r="F1313" s="17" t="s">
        <v>239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13000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9772</v>
      </c>
      <c r="B1314" s="17" t="s">
        <v>9772</v>
      </c>
      <c r="C1314" s="17" t="s">
        <v>9773</v>
      </c>
      <c r="D1314" s="17" t="s">
        <v>21</v>
      </c>
      <c r="E1314" s="24">
        <v>2512</v>
      </c>
      <c r="F1314" s="17" t="s">
        <v>243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15000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9774</v>
      </c>
      <c r="B1315" s="17" t="s">
        <v>9774</v>
      </c>
      <c r="C1315" s="17" t="s">
        <v>9775</v>
      </c>
      <c r="D1315" s="17" t="s">
        <v>21</v>
      </c>
      <c r="E1315" s="24">
        <v>2512</v>
      </c>
      <c r="F1315" s="17" t="s">
        <v>247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16000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9776</v>
      </c>
      <c r="B1316" s="17" t="s">
        <v>9776</v>
      </c>
      <c r="C1316" s="17" t="s">
        <v>9777</v>
      </c>
      <c r="D1316" s="17" t="s">
        <v>21</v>
      </c>
      <c r="E1316" s="24">
        <v>2512</v>
      </c>
      <c r="F1316" s="17" t="s">
        <v>251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18000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9778</v>
      </c>
      <c r="B1317" s="17" t="s">
        <v>9778</v>
      </c>
      <c r="C1317" s="17" t="s">
        <v>9779</v>
      </c>
      <c r="D1317" s="17" t="s">
        <v>21</v>
      </c>
      <c r="E1317" s="24">
        <v>2512</v>
      </c>
      <c r="F1317" s="17" t="s">
        <v>255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9780</v>
      </c>
      <c r="B1318" s="17" t="s">
        <v>9780</v>
      </c>
      <c r="C1318" s="17" t="s">
        <v>9781</v>
      </c>
      <c r="D1318" s="17" t="s">
        <v>21</v>
      </c>
      <c r="E1318" s="24">
        <v>2512</v>
      </c>
      <c r="F1318" s="17" t="s">
        <v>257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22000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9782</v>
      </c>
      <c r="B1319" s="17" t="s">
        <v>9782</v>
      </c>
      <c r="C1319" s="17" t="s">
        <v>9783</v>
      </c>
      <c r="D1319" s="17" t="s">
        <v>21</v>
      </c>
      <c r="E1319" s="24">
        <v>2512</v>
      </c>
      <c r="F1319" s="17" t="s">
        <v>259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24000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9784</v>
      </c>
      <c r="B1320" s="17" t="s">
        <v>9784</v>
      </c>
      <c r="C1320" s="17" t="s">
        <v>9785</v>
      </c>
      <c r="D1320" s="17" t="s">
        <v>21</v>
      </c>
      <c r="E1320" s="24">
        <v>2512</v>
      </c>
      <c r="F1320" s="17" t="s">
        <v>263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27000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9786</v>
      </c>
      <c r="B1321" s="17" t="s">
        <v>9786</v>
      </c>
      <c r="C1321" s="17" t="s">
        <v>9787</v>
      </c>
      <c r="D1321" s="17" t="s">
        <v>21</v>
      </c>
      <c r="E1321" s="24">
        <v>2512</v>
      </c>
      <c r="F1321" s="17" t="s">
        <v>265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9788</v>
      </c>
      <c r="B1322" s="17" t="s">
        <v>9788</v>
      </c>
      <c r="C1322" s="17" t="s">
        <v>9789</v>
      </c>
      <c r="D1322" s="17" t="s">
        <v>21</v>
      </c>
      <c r="E1322" s="24">
        <v>2512</v>
      </c>
      <c r="F1322" s="17" t="s">
        <v>267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33000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9790</v>
      </c>
      <c r="B1323" s="17" t="s">
        <v>9790</v>
      </c>
      <c r="C1323" s="17" t="s">
        <v>9791</v>
      </c>
      <c r="D1323" s="17" t="s">
        <v>21</v>
      </c>
      <c r="E1323" s="24">
        <v>2512</v>
      </c>
      <c r="F1323" s="17" t="s">
        <v>269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36000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9792</v>
      </c>
      <c r="B1324" s="17" t="s">
        <v>9792</v>
      </c>
      <c r="C1324" s="17" t="s">
        <v>9793</v>
      </c>
      <c r="D1324" s="17" t="s">
        <v>21</v>
      </c>
      <c r="E1324" s="24">
        <v>2512</v>
      </c>
      <c r="F1324" s="17" t="s">
        <v>273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39000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9794</v>
      </c>
      <c r="B1325" s="17" t="s">
        <v>9794</v>
      </c>
      <c r="C1325" s="17" t="s">
        <v>9795</v>
      </c>
      <c r="D1325" s="17" t="s">
        <v>21</v>
      </c>
      <c r="E1325" s="24">
        <v>2512</v>
      </c>
      <c r="F1325" s="17" t="s">
        <v>277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43000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9796</v>
      </c>
      <c r="B1326" s="17" t="s">
        <v>9796</v>
      </c>
      <c r="C1326" s="17" t="s">
        <v>9797</v>
      </c>
      <c r="D1326" s="17" t="s">
        <v>21</v>
      </c>
      <c r="E1326" s="24">
        <v>2512</v>
      </c>
      <c r="F1326" s="17" t="s">
        <v>279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47000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9798</v>
      </c>
      <c r="B1327" s="17" t="s">
        <v>9798</v>
      </c>
      <c r="C1327" s="17" t="s">
        <v>9799</v>
      </c>
      <c r="D1327" s="17" t="s">
        <v>21</v>
      </c>
      <c r="E1327" s="24">
        <v>2512</v>
      </c>
      <c r="F1327" s="17" t="s">
        <v>283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51000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9800</v>
      </c>
      <c r="B1328" s="17" t="s">
        <v>9800</v>
      </c>
      <c r="C1328" s="17" t="s">
        <v>9801</v>
      </c>
      <c r="D1328" s="17" t="s">
        <v>21</v>
      </c>
      <c r="E1328" s="24">
        <v>2512</v>
      </c>
      <c r="F1328" s="17" t="s">
        <v>287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56000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9802</v>
      </c>
      <c r="B1329" s="17" t="s">
        <v>9802</v>
      </c>
      <c r="C1329" s="17" t="s">
        <v>9803</v>
      </c>
      <c r="D1329" s="17" t="s">
        <v>21</v>
      </c>
      <c r="E1329" s="24">
        <v>2512</v>
      </c>
      <c r="F1329" s="17" t="s">
        <v>291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62000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9804</v>
      </c>
      <c r="B1330" s="17" t="s">
        <v>9804</v>
      </c>
      <c r="C1330" s="17" t="s">
        <v>9805</v>
      </c>
      <c r="D1330" s="17" t="s">
        <v>21</v>
      </c>
      <c r="E1330" s="24">
        <v>2512</v>
      </c>
      <c r="F1330" s="17" t="s">
        <v>295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68000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9806</v>
      </c>
      <c r="B1331" s="17" t="s">
        <v>9806</v>
      </c>
      <c r="C1331" s="17" t="s">
        <v>9807</v>
      </c>
      <c r="D1331" s="17" t="s">
        <v>21</v>
      </c>
      <c r="E1331" s="24">
        <v>2512</v>
      </c>
      <c r="F1331" s="17" t="s">
        <v>299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75000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9808</v>
      </c>
      <c r="B1332" s="17" t="s">
        <v>9808</v>
      </c>
      <c r="C1332" s="17" t="s">
        <v>9809</v>
      </c>
      <c r="D1332" s="17" t="s">
        <v>21</v>
      </c>
      <c r="E1332" s="24">
        <v>2512</v>
      </c>
      <c r="F1332" s="17" t="s">
        <v>301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82000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9810</v>
      </c>
      <c r="B1333" s="17" t="s">
        <v>9810</v>
      </c>
      <c r="C1333" s="17" t="s">
        <v>9811</v>
      </c>
      <c r="D1333" s="17" t="s">
        <v>21</v>
      </c>
      <c r="E1333" s="24">
        <v>2512</v>
      </c>
      <c r="F1333" s="17" t="s">
        <v>303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91000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9812</v>
      </c>
      <c r="B1334" s="17" t="s">
        <v>9812</v>
      </c>
      <c r="C1334" s="17" t="s">
        <v>9813</v>
      </c>
      <c r="D1334" s="17" t="s">
        <v>21</v>
      </c>
      <c r="E1334" s="24">
        <v>2512</v>
      </c>
      <c r="F1334" s="17" t="s">
        <v>305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100000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9814</v>
      </c>
      <c r="B1335" s="17" t="s">
        <v>9814</v>
      </c>
      <c r="C1335" s="17" t="s">
        <v>9815</v>
      </c>
      <c r="D1335" s="17" t="s">
        <v>21</v>
      </c>
      <c r="E1335" s="24">
        <v>2512</v>
      </c>
      <c r="F1335" s="17" t="s">
        <v>309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110000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9816</v>
      </c>
      <c r="B1336" s="17" t="s">
        <v>9816</v>
      </c>
      <c r="C1336" s="17" t="s">
        <v>9817</v>
      </c>
      <c r="D1336" s="17" t="s">
        <v>21</v>
      </c>
      <c r="E1336" s="24">
        <v>2512</v>
      </c>
      <c r="F1336" s="17" t="s">
        <v>313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120000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9818</v>
      </c>
      <c r="B1337" s="17" t="s">
        <v>9818</v>
      </c>
      <c r="C1337" s="17" t="s">
        <v>9819</v>
      </c>
      <c r="D1337" s="17" t="s">
        <v>21</v>
      </c>
      <c r="E1337" s="24">
        <v>2512</v>
      </c>
      <c r="F1337" s="17" t="s">
        <v>317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130000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9820</v>
      </c>
      <c r="B1338" s="17" t="s">
        <v>9820</v>
      </c>
      <c r="C1338" s="17" t="s">
        <v>9821</v>
      </c>
      <c r="D1338" s="17" t="s">
        <v>21</v>
      </c>
      <c r="E1338" s="24">
        <v>2512</v>
      </c>
      <c r="F1338" s="17" t="s">
        <v>321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150000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9822</v>
      </c>
      <c r="B1339" s="17" t="s">
        <v>9822</v>
      </c>
      <c r="C1339" s="17" t="s">
        <v>9823</v>
      </c>
      <c r="D1339" s="17" t="s">
        <v>21</v>
      </c>
      <c r="E1339" s="24">
        <v>2512</v>
      </c>
      <c r="F1339" s="17" t="s">
        <v>323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160000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9824</v>
      </c>
      <c r="B1340" s="17" t="s">
        <v>9824</v>
      </c>
      <c r="C1340" s="17" t="s">
        <v>9825</v>
      </c>
      <c r="D1340" s="17" t="s">
        <v>21</v>
      </c>
      <c r="E1340" s="24">
        <v>2512</v>
      </c>
      <c r="F1340" s="17" t="s">
        <v>327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180000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9826</v>
      </c>
      <c r="B1341" s="17" t="s">
        <v>9826</v>
      </c>
      <c r="C1341" s="17" t="s">
        <v>9827</v>
      </c>
      <c r="D1341" s="17" t="s">
        <v>21</v>
      </c>
      <c r="E1341" s="24">
        <v>2512</v>
      </c>
      <c r="F1341" s="17" t="s">
        <v>331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9828</v>
      </c>
      <c r="B1342" s="17" t="s">
        <v>9828</v>
      </c>
      <c r="C1342" s="17" t="s">
        <v>9829</v>
      </c>
      <c r="D1342" s="17" t="s">
        <v>21</v>
      </c>
      <c r="E1342" s="24">
        <v>2512</v>
      </c>
      <c r="F1342" s="17" t="s">
        <v>333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220000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9830</v>
      </c>
      <c r="B1343" s="17" t="s">
        <v>9830</v>
      </c>
      <c r="C1343" s="17" t="s">
        <v>9831</v>
      </c>
      <c r="D1343" s="17" t="s">
        <v>21</v>
      </c>
      <c r="E1343" s="24">
        <v>2512</v>
      </c>
      <c r="F1343" s="17" t="s">
        <v>335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240000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9832</v>
      </c>
      <c r="B1344" s="17" t="s">
        <v>9832</v>
      </c>
      <c r="C1344" s="17" t="s">
        <v>9833</v>
      </c>
      <c r="D1344" s="17" t="s">
        <v>21</v>
      </c>
      <c r="E1344" s="24">
        <v>2512</v>
      </c>
      <c r="F1344" s="17" t="s">
        <v>337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270000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9834</v>
      </c>
      <c r="B1345" s="17" t="s">
        <v>9834</v>
      </c>
      <c r="C1345" s="17" t="s">
        <v>9835</v>
      </c>
      <c r="D1345" s="17" t="s">
        <v>21</v>
      </c>
      <c r="E1345" s="24">
        <v>2512</v>
      </c>
      <c r="F1345" s="17" t="s">
        <v>339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300000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9836</v>
      </c>
      <c r="B1346" s="17" t="s">
        <v>9836</v>
      </c>
      <c r="C1346" s="16" t="s">
        <v>9837</v>
      </c>
      <c r="D1346" s="16" t="s">
        <v>21</v>
      </c>
      <c r="E1346" s="24">
        <v>2512</v>
      </c>
      <c r="F1346" s="17" t="s">
        <v>341</v>
      </c>
      <c r="G1346" s="17" t="str">
        <f>Config!$B$3</f>
        <v>SCH/R_IEC.SchLib</v>
      </c>
      <c r="H1346" s="16" t="s">
        <v>419</v>
      </c>
      <c r="I1346" s="18" t="s">
        <v>461</v>
      </c>
      <c r="J1346" s="17" t="s">
        <v>7477</v>
      </c>
      <c r="K1346" s="17"/>
      <c r="L1346" s="17"/>
      <c r="M1346" s="21">
        <v>330000</v>
      </c>
      <c r="N1346" s="17"/>
      <c r="O1346" s="16"/>
      <c r="P1346" s="17"/>
      <c r="Q1346" s="16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9838</v>
      </c>
      <c r="B1347" s="17" t="s">
        <v>9838</v>
      </c>
      <c r="C1347" s="17" t="s">
        <v>9839</v>
      </c>
      <c r="D1347" s="17" t="s">
        <v>21</v>
      </c>
      <c r="E1347" s="24">
        <v>2512</v>
      </c>
      <c r="F1347" s="17" t="s">
        <v>345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360000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9840</v>
      </c>
      <c r="B1348" s="17" t="s">
        <v>9840</v>
      </c>
      <c r="C1348" s="17" t="s">
        <v>9841</v>
      </c>
      <c r="D1348" s="17" t="s">
        <v>21</v>
      </c>
      <c r="E1348" s="24">
        <v>2512</v>
      </c>
      <c r="F1348" s="17" t="s">
        <v>349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390000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9842</v>
      </c>
      <c r="B1349" s="17" t="s">
        <v>9842</v>
      </c>
      <c r="C1349" s="17" t="s">
        <v>9843</v>
      </c>
      <c r="D1349" s="17" t="s">
        <v>21</v>
      </c>
      <c r="E1349" s="24">
        <v>2512</v>
      </c>
      <c r="F1349" s="17" t="s">
        <v>351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430000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9844</v>
      </c>
      <c r="B1350" s="17" t="s">
        <v>9844</v>
      </c>
      <c r="C1350" s="17" t="s">
        <v>9845</v>
      </c>
      <c r="D1350" s="17" t="s">
        <v>21</v>
      </c>
      <c r="E1350" s="24">
        <v>2512</v>
      </c>
      <c r="F1350" s="17" t="s">
        <v>353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470000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9846</v>
      </c>
      <c r="B1351" s="17" t="s">
        <v>9846</v>
      </c>
      <c r="C1351" s="17" t="s">
        <v>9847</v>
      </c>
      <c r="D1351" s="17" t="s">
        <v>21</v>
      </c>
      <c r="E1351" s="24">
        <v>2512</v>
      </c>
      <c r="F1351" s="17" t="s">
        <v>355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510000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9848</v>
      </c>
      <c r="B1352" s="17" t="s">
        <v>9848</v>
      </c>
      <c r="C1352" s="17" t="s">
        <v>9849</v>
      </c>
      <c r="D1352" s="17" t="s">
        <v>21</v>
      </c>
      <c r="E1352" s="24">
        <v>2512</v>
      </c>
      <c r="F1352" s="17" t="s">
        <v>357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560000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9850</v>
      </c>
      <c r="B1353" s="17" t="s">
        <v>9850</v>
      </c>
      <c r="C1353" s="17" t="s">
        <v>9851</v>
      </c>
      <c r="D1353" s="17" t="s">
        <v>21</v>
      </c>
      <c r="E1353" s="24">
        <v>2512</v>
      </c>
      <c r="F1353" s="17" t="s">
        <v>359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620000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9852</v>
      </c>
      <c r="B1354" s="17" t="s">
        <v>9852</v>
      </c>
      <c r="C1354" s="17" t="s">
        <v>9853</v>
      </c>
      <c r="D1354" s="17" t="s">
        <v>21</v>
      </c>
      <c r="E1354" s="24">
        <v>2512</v>
      </c>
      <c r="F1354" s="17" t="s">
        <v>361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680000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9854</v>
      </c>
      <c r="B1355" s="17" t="s">
        <v>9854</v>
      </c>
      <c r="C1355" s="17" t="s">
        <v>9855</v>
      </c>
      <c r="D1355" s="17" t="s">
        <v>21</v>
      </c>
      <c r="E1355" s="24">
        <v>2512</v>
      </c>
      <c r="F1355" s="17" t="s">
        <v>363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750000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9856</v>
      </c>
      <c r="B1356" s="17" t="s">
        <v>9856</v>
      </c>
      <c r="C1356" s="17" t="s">
        <v>9857</v>
      </c>
      <c r="D1356" s="17" t="s">
        <v>21</v>
      </c>
      <c r="E1356" s="24">
        <v>2512</v>
      </c>
      <c r="F1356" s="17" t="s">
        <v>365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820000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9858</v>
      </c>
      <c r="B1357" s="17" t="s">
        <v>9858</v>
      </c>
      <c r="C1357" s="17" t="s">
        <v>9859</v>
      </c>
      <c r="D1357" s="17" t="s">
        <v>21</v>
      </c>
      <c r="E1357" s="24">
        <v>2512</v>
      </c>
      <c r="F1357" s="17" t="s">
        <v>367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910000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9860</v>
      </c>
      <c r="B1358" s="17" t="s">
        <v>9860</v>
      </c>
      <c r="C1358" s="17" t="s">
        <v>9861</v>
      </c>
      <c r="D1358" s="17" t="s">
        <v>21</v>
      </c>
      <c r="E1358" s="24">
        <v>2512</v>
      </c>
      <c r="F1358" s="17" t="s">
        <v>369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1000000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9862</v>
      </c>
      <c r="B1359" s="17" t="s">
        <v>9862</v>
      </c>
      <c r="C1359" s="17" t="s">
        <v>9863</v>
      </c>
      <c r="D1359" s="17" t="s">
        <v>21</v>
      </c>
      <c r="E1359" s="24">
        <v>2512</v>
      </c>
      <c r="F1359" s="17" t="s">
        <v>371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1100000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9864</v>
      </c>
      <c r="B1360" s="17" t="s">
        <v>9864</v>
      </c>
      <c r="C1360" s="17" t="s">
        <v>9865</v>
      </c>
      <c r="D1360" s="17" t="s">
        <v>21</v>
      </c>
      <c r="E1360" s="24">
        <v>2512</v>
      </c>
      <c r="F1360" s="17" t="s">
        <v>373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1200000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9866</v>
      </c>
      <c r="B1361" s="17" t="s">
        <v>9866</v>
      </c>
      <c r="C1361" s="17" t="s">
        <v>9867</v>
      </c>
      <c r="D1361" s="17" t="s">
        <v>21</v>
      </c>
      <c r="E1361" s="24">
        <v>2512</v>
      </c>
      <c r="F1361" s="17" t="s">
        <v>375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1300000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9868</v>
      </c>
      <c r="B1362" s="17" t="s">
        <v>9868</v>
      </c>
      <c r="C1362" s="17" t="s">
        <v>9869</v>
      </c>
      <c r="D1362" s="17" t="s">
        <v>21</v>
      </c>
      <c r="E1362" s="24">
        <v>2512</v>
      </c>
      <c r="F1362" s="17" t="s">
        <v>377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1500000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9870</v>
      </c>
      <c r="B1363" s="17" t="s">
        <v>9870</v>
      </c>
      <c r="C1363" s="17" t="s">
        <v>9871</v>
      </c>
      <c r="D1363" s="17" t="s">
        <v>21</v>
      </c>
      <c r="E1363" s="24">
        <v>2512</v>
      </c>
      <c r="F1363" s="17" t="s">
        <v>379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1600000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9872</v>
      </c>
      <c r="B1364" s="17" t="s">
        <v>9872</v>
      </c>
      <c r="C1364" s="17" t="s">
        <v>9873</v>
      </c>
      <c r="D1364" s="17" t="s">
        <v>21</v>
      </c>
      <c r="E1364" s="24">
        <v>2512</v>
      </c>
      <c r="F1364" s="17" t="s">
        <v>381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1800000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9874</v>
      </c>
      <c r="B1365" s="17" t="s">
        <v>9874</v>
      </c>
      <c r="C1365" s="17" t="s">
        <v>9875</v>
      </c>
      <c r="D1365" s="17" t="s">
        <v>21</v>
      </c>
      <c r="E1365" s="24">
        <v>2512</v>
      </c>
      <c r="F1365" s="17" t="s">
        <v>383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2000000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9876</v>
      </c>
      <c r="B1366" s="17" t="s">
        <v>9876</v>
      </c>
      <c r="C1366" s="17" t="s">
        <v>9877</v>
      </c>
      <c r="D1366" s="17" t="s">
        <v>21</v>
      </c>
      <c r="E1366" s="24">
        <v>2512</v>
      </c>
      <c r="F1366" s="17" t="s">
        <v>385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2200000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9878</v>
      </c>
      <c r="B1367" s="17" t="s">
        <v>9878</v>
      </c>
      <c r="C1367" s="17" t="s">
        <v>9879</v>
      </c>
      <c r="D1367" s="17" t="s">
        <v>21</v>
      </c>
      <c r="E1367" s="24">
        <v>2512</v>
      </c>
      <c r="F1367" s="17" t="s">
        <v>387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2400000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9880</v>
      </c>
      <c r="B1368" s="17" t="s">
        <v>9880</v>
      </c>
      <c r="C1368" s="17" t="s">
        <v>9881</v>
      </c>
      <c r="D1368" s="17" t="s">
        <v>21</v>
      </c>
      <c r="E1368" s="24">
        <v>2512</v>
      </c>
      <c r="F1368" s="17" t="s">
        <v>389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2700000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9882</v>
      </c>
      <c r="B1369" s="17" t="s">
        <v>9882</v>
      </c>
      <c r="C1369" s="17" t="s">
        <v>9883</v>
      </c>
      <c r="D1369" s="17" t="s">
        <v>21</v>
      </c>
      <c r="E1369" s="24">
        <v>2512</v>
      </c>
      <c r="F1369" s="17" t="s">
        <v>391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3000000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9884</v>
      </c>
      <c r="B1370" s="17" t="s">
        <v>9884</v>
      </c>
      <c r="C1370" s="17" t="s">
        <v>9885</v>
      </c>
      <c r="D1370" s="17" t="s">
        <v>21</v>
      </c>
      <c r="E1370" s="24">
        <v>2512</v>
      </c>
      <c r="F1370" s="17" t="s">
        <v>393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3300000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9886</v>
      </c>
      <c r="B1371" s="17" t="s">
        <v>9886</v>
      </c>
      <c r="C1371" s="17" t="s">
        <v>9887</v>
      </c>
      <c r="D1371" s="17" t="s">
        <v>21</v>
      </c>
      <c r="E1371" s="24">
        <v>2512</v>
      </c>
      <c r="F1371" s="17" t="s">
        <v>395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3600000</v>
      </c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9888</v>
      </c>
      <c r="B1372" s="17" t="s">
        <v>9888</v>
      </c>
      <c r="C1372" s="17" t="s">
        <v>9889</v>
      </c>
      <c r="D1372" s="17" t="s">
        <v>21</v>
      </c>
      <c r="E1372" s="24">
        <v>2512</v>
      </c>
      <c r="F1372" s="17" t="s">
        <v>397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3900000</v>
      </c>
      <c r="N1372" s="17" t="s">
        <v>14077</v>
      </c>
      <c r="O1372" s="17" t="s">
        <v>477</v>
      </c>
      <c r="P1372" s="17" t="s">
        <v>12709</v>
      </c>
      <c r="Q1372" t="s">
        <v>25</v>
      </c>
      <c r="R1372" s="17" t="s">
        <v>12710</v>
      </c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9890</v>
      </c>
      <c r="B1373" s="17" t="s">
        <v>9890</v>
      </c>
      <c r="C1373" s="17" t="s">
        <v>9891</v>
      </c>
      <c r="D1373" s="17" t="s">
        <v>21</v>
      </c>
      <c r="E1373" s="24">
        <v>2512</v>
      </c>
      <c r="F1373" s="17" t="s">
        <v>399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4300000</v>
      </c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</row>
    <row r="1374" spans="1:28">
      <c r="A1374" s="17" t="s">
        <v>9892</v>
      </c>
      <c r="B1374" s="17" t="s">
        <v>9892</v>
      </c>
      <c r="C1374" s="17" t="s">
        <v>9893</v>
      </c>
      <c r="D1374" s="17" t="s">
        <v>21</v>
      </c>
      <c r="E1374" s="24">
        <v>2512</v>
      </c>
      <c r="F1374" s="17" t="s">
        <v>401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4700000</v>
      </c>
      <c r="N1374" s="17" t="s">
        <v>14077</v>
      </c>
      <c r="O1374" t="s">
        <v>477</v>
      </c>
      <c r="P1374" t="s">
        <v>12711</v>
      </c>
      <c r="Q1374" t="s">
        <v>25</v>
      </c>
      <c r="R1374" t="s">
        <v>12712</v>
      </c>
      <c r="S1374" s="17" t="s">
        <v>477</v>
      </c>
      <c r="T1374" s="17" t="s">
        <v>12707</v>
      </c>
      <c r="U1374" t="s">
        <v>25</v>
      </c>
      <c r="V1374" s="17" t="s">
        <v>12708</v>
      </c>
      <c r="W1374" s="17"/>
      <c r="X1374" s="17"/>
      <c r="Y1374" s="17"/>
      <c r="Z1374" s="17"/>
      <c r="AA1374" s="17"/>
      <c r="AB1374" s="17"/>
    </row>
    <row r="1375" spans="1:28">
      <c r="A1375" s="17" t="s">
        <v>9894</v>
      </c>
      <c r="B1375" s="17" t="s">
        <v>9894</v>
      </c>
      <c r="C1375" s="17" t="s">
        <v>9895</v>
      </c>
      <c r="D1375" s="17" t="s">
        <v>21</v>
      </c>
      <c r="E1375" s="24">
        <v>2512</v>
      </c>
      <c r="F1375" s="17" t="s">
        <v>403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5100000</v>
      </c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9896</v>
      </c>
      <c r="B1376" s="17" t="s">
        <v>9896</v>
      </c>
      <c r="C1376" s="17" t="s">
        <v>9897</v>
      </c>
      <c r="D1376" s="17" t="s">
        <v>21</v>
      </c>
      <c r="E1376" s="24">
        <v>2512</v>
      </c>
      <c r="F1376" s="17" t="s">
        <v>405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5600000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9898</v>
      </c>
      <c r="B1377" s="17" t="s">
        <v>9898</v>
      </c>
      <c r="C1377" s="17" t="s">
        <v>9899</v>
      </c>
      <c r="D1377" s="17" t="s">
        <v>21</v>
      </c>
      <c r="E1377" s="24">
        <v>2512</v>
      </c>
      <c r="F1377" s="17" t="s">
        <v>407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6200000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9900</v>
      </c>
      <c r="B1378" s="17" t="s">
        <v>9900</v>
      </c>
      <c r="C1378" s="17" t="s">
        <v>9901</v>
      </c>
      <c r="D1378" s="17" t="s">
        <v>21</v>
      </c>
      <c r="E1378" s="24">
        <v>2512</v>
      </c>
      <c r="F1378" s="17" t="s">
        <v>409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6800000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9902</v>
      </c>
      <c r="B1379" s="17" t="s">
        <v>9902</v>
      </c>
      <c r="C1379" s="17" t="s">
        <v>9903</v>
      </c>
      <c r="D1379" s="17" t="s">
        <v>21</v>
      </c>
      <c r="E1379" s="24">
        <v>2512</v>
      </c>
      <c r="F1379" s="17" t="s">
        <v>411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7500000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9904</v>
      </c>
      <c r="B1380" s="17" t="s">
        <v>9904</v>
      </c>
      <c r="C1380" s="17" t="s">
        <v>9905</v>
      </c>
      <c r="D1380" s="17" t="s">
        <v>21</v>
      </c>
      <c r="E1380" s="24">
        <v>2512</v>
      </c>
      <c r="F1380" s="17" t="s">
        <v>413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8200000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9906</v>
      </c>
      <c r="B1381" s="17" t="s">
        <v>9906</v>
      </c>
      <c r="C1381" s="17" t="s">
        <v>9907</v>
      </c>
      <c r="D1381" s="17" t="s">
        <v>21</v>
      </c>
      <c r="E1381" s="24">
        <v>2512</v>
      </c>
      <c r="F1381" s="17" t="s">
        <v>415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9100000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>
      <c r="A1382" s="17" t="s">
        <v>9908</v>
      </c>
      <c r="B1382" s="17" t="s">
        <v>9908</v>
      </c>
      <c r="C1382" s="17" t="s">
        <v>9909</v>
      </c>
      <c r="D1382" s="17" t="s">
        <v>21</v>
      </c>
      <c r="E1382" s="24">
        <v>2512</v>
      </c>
      <c r="F1382" s="17" t="s">
        <v>417</v>
      </c>
      <c r="G1382" s="17" t="str">
        <f>Config!$B$3</f>
        <v>SCH/R_IEC.SchLib</v>
      </c>
      <c r="H1382" s="17" t="s">
        <v>419</v>
      </c>
      <c r="I1382" s="17" t="s">
        <v>461</v>
      </c>
      <c r="J1382" s="17" t="s">
        <v>7477</v>
      </c>
      <c r="K1382" s="17"/>
      <c r="L1382" s="17"/>
      <c r="M1382" s="21">
        <v>10000000</v>
      </c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</row>
    <row r="1383" spans="1:28" ht="14.65" customHeight="1">
      <c r="A1383" s="17" t="s">
        <v>4301</v>
      </c>
      <c r="B1383" s="17" t="s">
        <v>4301</v>
      </c>
      <c r="C1383" s="17" t="s">
        <v>4295</v>
      </c>
      <c r="D1383" s="17" t="s">
        <v>21</v>
      </c>
      <c r="E1383" s="24" t="s">
        <v>22</v>
      </c>
      <c r="F1383" s="17" t="s">
        <v>229</v>
      </c>
      <c r="G1383" s="17" t="str">
        <f>Config!$B$3</f>
        <v>SCH/R_IEC.SchLib</v>
      </c>
      <c r="H1383" s="17" t="s">
        <v>4296</v>
      </c>
      <c r="I1383" s="17" t="s">
        <v>461</v>
      </c>
      <c r="J1383" s="17" t="s">
        <v>462</v>
      </c>
      <c r="K1383" s="17"/>
      <c r="L1383" s="17"/>
      <c r="M1383" s="21">
        <v>10000</v>
      </c>
      <c r="N1383" s="17" t="s">
        <v>4297</v>
      </c>
      <c r="O1383" s="17" t="s">
        <v>4298</v>
      </c>
      <c r="P1383" s="17" t="s">
        <v>4299</v>
      </c>
      <c r="Q1383" s="17" t="s">
        <v>25</v>
      </c>
      <c r="R1383" s="22" t="s">
        <v>4300</v>
      </c>
      <c r="S1383" s="17"/>
      <c r="T1383" s="17"/>
      <c r="U1383" s="17"/>
      <c r="V1383" s="17"/>
      <c r="W1383" s="17" t="s">
        <v>4303</v>
      </c>
      <c r="X1383" s="17" t="s">
        <v>4302</v>
      </c>
      <c r="Y1383" s="17" t="s">
        <v>4559</v>
      </c>
      <c r="Z1383" s="17" t="s">
        <v>4304</v>
      </c>
      <c r="AA1383" s="17" t="s">
        <v>4727</v>
      </c>
      <c r="AB1383" s="17" t="str">
        <f t="shared" ref="AB1383:AB1387" si="10">"GPR"&amp;E1383&amp;F1383</f>
        <v>GPR060310K</v>
      </c>
    </row>
    <row r="1384" spans="1:28" ht="14.65" customHeight="1">
      <c r="A1384" t="s">
        <v>14926</v>
      </c>
      <c r="B1384" t="s">
        <v>14926</v>
      </c>
      <c r="C1384" t="s">
        <v>14927</v>
      </c>
      <c r="D1384" t="s">
        <v>21</v>
      </c>
      <c r="E1384" s="24"/>
      <c r="F1384" t="s">
        <v>229</v>
      </c>
      <c r="G1384" s="17" t="str">
        <f>Config!$B$3</f>
        <v>SCH/R_IEC.SchLib</v>
      </c>
      <c r="H1384" s="17" t="s">
        <v>4296</v>
      </c>
      <c r="I1384" s="18" t="s">
        <v>7503</v>
      </c>
      <c r="J1384" s="17" t="s">
        <v>14931</v>
      </c>
      <c r="K1384" s="17"/>
      <c r="L1384" s="17"/>
      <c r="M1384" s="21">
        <v>10000</v>
      </c>
      <c r="N1384" s="17" t="s">
        <v>14928</v>
      </c>
      <c r="O1384" s="17" t="s">
        <v>11392</v>
      </c>
      <c r="P1384" s="17" t="s">
        <v>14929</v>
      </c>
      <c r="Q1384" t="s">
        <v>25</v>
      </c>
      <c r="R1384" s="22" t="s">
        <v>14930</v>
      </c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</row>
    <row r="1385" spans="1:28">
      <c r="A1385" s="17" t="s">
        <v>4360</v>
      </c>
      <c r="B1385" s="17" t="s">
        <v>4360</v>
      </c>
      <c r="C1385" s="17" t="s">
        <v>4361</v>
      </c>
      <c r="D1385" s="17" t="s">
        <v>21</v>
      </c>
      <c r="E1385" s="24">
        <v>1206</v>
      </c>
      <c r="F1385" s="17" t="s">
        <v>4362</v>
      </c>
      <c r="G1385" s="17" t="str">
        <f>Config!$B$3</f>
        <v>SCH/R_IEC.SchLib</v>
      </c>
      <c r="H1385" s="17" t="s">
        <v>4363</v>
      </c>
      <c r="I1385" s="17" t="s">
        <v>461</v>
      </c>
      <c r="J1385" s="17" t="s">
        <v>4364</v>
      </c>
      <c r="K1385" s="17"/>
      <c r="L1385" s="17"/>
      <c r="M1385" s="21">
        <v>1.5</v>
      </c>
      <c r="N1385" s="17" t="s">
        <v>4367</v>
      </c>
      <c r="O1385" s="17" t="s">
        <v>4368</v>
      </c>
      <c r="P1385" s="17" t="s">
        <v>4366</v>
      </c>
      <c r="Q1385" s="17" t="s">
        <v>25</v>
      </c>
      <c r="R1385" s="17" t="s">
        <v>4365</v>
      </c>
      <c r="S1385" s="17"/>
      <c r="T1385" s="17"/>
      <c r="U1385" s="17"/>
      <c r="V1385" s="17"/>
      <c r="W1385" s="17" t="s">
        <v>4368</v>
      </c>
      <c r="X1385" s="17" t="s">
        <v>4366</v>
      </c>
      <c r="Y1385" s="17" t="s">
        <v>4559</v>
      </c>
      <c r="Z1385" s="23" t="s">
        <v>4369</v>
      </c>
      <c r="AA1385" s="17" t="s">
        <v>4727</v>
      </c>
      <c r="AB1385" s="17" t="str">
        <f t="shared" si="10"/>
        <v>GPR12061.5A</v>
      </c>
    </row>
    <row r="1386" spans="1:28">
      <c r="A1386" s="16" t="s">
        <v>4538</v>
      </c>
      <c r="B1386" s="16" t="s">
        <v>4538</v>
      </c>
      <c r="C1386" s="16" t="s">
        <v>4539</v>
      </c>
      <c r="D1386" s="16" t="s">
        <v>21</v>
      </c>
      <c r="E1386" s="16" t="s">
        <v>22</v>
      </c>
      <c r="F1386" s="16" t="s">
        <v>4540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732000</v>
      </c>
      <c r="N1386" s="17" t="s">
        <v>14077</v>
      </c>
      <c r="O1386" s="16" t="s">
        <v>477</v>
      </c>
      <c r="P1386" s="16" t="s">
        <v>4542</v>
      </c>
      <c r="Q1386" s="16" t="s">
        <v>25</v>
      </c>
      <c r="R1386" s="16" t="s">
        <v>4541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GPR0603732K</v>
      </c>
    </row>
    <row r="1387" spans="1:28">
      <c r="A1387" s="16" t="s">
        <v>4548</v>
      </c>
      <c r="B1387" s="16" t="s">
        <v>4548</v>
      </c>
      <c r="C1387" s="16" t="s">
        <v>4543</v>
      </c>
      <c r="D1387" s="16" t="s">
        <v>21</v>
      </c>
      <c r="E1387" s="16" t="s">
        <v>22</v>
      </c>
      <c r="F1387" s="16" t="s">
        <v>4549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0">
        <v>499000</v>
      </c>
      <c r="N1387" s="19" t="s">
        <v>4547</v>
      </c>
      <c r="O1387" s="16" t="s">
        <v>4546</v>
      </c>
      <c r="P1387" s="16" t="s">
        <v>4545</v>
      </c>
      <c r="Q1387" s="16" t="s">
        <v>25</v>
      </c>
      <c r="R1387" s="16" t="s">
        <v>4544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si="10"/>
        <v>GPR0603499K</v>
      </c>
    </row>
    <row r="1388" spans="1:28">
      <c r="A1388" s="17" t="s">
        <v>8112</v>
      </c>
      <c r="B1388" s="17" t="s">
        <v>8112</v>
      </c>
      <c r="C1388" s="16" t="s">
        <v>8113</v>
      </c>
      <c r="D1388" s="16" t="s">
        <v>21</v>
      </c>
      <c r="E1388" s="24" t="s">
        <v>22</v>
      </c>
      <c r="F1388" s="17" t="s">
        <v>6448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51.1</v>
      </c>
      <c r="N1388" s="17" t="s">
        <v>14077</v>
      </c>
      <c r="O1388" s="16" t="s">
        <v>477</v>
      </c>
      <c r="P1388" s="17" t="s">
        <v>8109</v>
      </c>
      <c r="Q1388" s="16" t="s">
        <v>25</v>
      </c>
      <c r="R1388" s="17" t="s">
        <v>8110</v>
      </c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 t="str">
        <f t="shared" ref="AB1388" si="11">"GPR"&amp;E1388&amp;F1388</f>
        <v>GPR060351R1</v>
      </c>
    </row>
    <row r="1389" spans="1:28">
      <c r="A1389" s="17" t="s">
        <v>8111</v>
      </c>
      <c r="B1389" s="17" t="s">
        <v>8111</v>
      </c>
      <c r="C1389" s="16" t="s">
        <v>8114</v>
      </c>
      <c r="D1389" s="16" t="s">
        <v>21</v>
      </c>
      <c r="E1389" s="24" t="s">
        <v>22</v>
      </c>
      <c r="F1389" s="17" t="s">
        <v>8108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462</v>
      </c>
      <c r="K1389" s="16"/>
      <c r="L1389" s="16"/>
      <c r="M1389" s="21">
        <v>51100</v>
      </c>
      <c r="N1389" s="17" t="s">
        <v>14077</v>
      </c>
      <c r="O1389" s="16" t="s">
        <v>477</v>
      </c>
      <c r="P1389" s="17" t="s">
        <v>6379</v>
      </c>
      <c r="Q1389" s="16" t="s">
        <v>25</v>
      </c>
      <c r="R1389" s="17" t="s">
        <v>6380</v>
      </c>
      <c r="S1389" s="17"/>
      <c r="T1389" s="17"/>
      <c r="U1389" s="17"/>
      <c r="V1389" s="17"/>
      <c r="W1389" s="17" t="s">
        <v>6382</v>
      </c>
      <c r="X1389" s="17" t="s">
        <v>6381</v>
      </c>
      <c r="Y1389" s="17" t="s">
        <v>4559</v>
      </c>
      <c r="Z1389" s="17" t="s">
        <v>6383</v>
      </c>
      <c r="AA1389" s="17"/>
      <c r="AB1389" s="17" t="str">
        <f t="shared" ref="AB1389:AB1393" si="12">"GPR"&amp;E1389&amp;F1389</f>
        <v>GPR060351K1</v>
      </c>
    </row>
    <row r="1390" spans="1:28">
      <c r="A1390" s="17" t="s">
        <v>6415</v>
      </c>
      <c r="B1390" s="17" t="s">
        <v>6415</v>
      </c>
      <c r="C1390" s="16" t="s">
        <v>6414</v>
      </c>
      <c r="D1390" s="16" t="s">
        <v>21</v>
      </c>
      <c r="E1390" s="24">
        <v>1206</v>
      </c>
      <c r="F1390" s="17" t="s">
        <v>6447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60.4</v>
      </c>
      <c r="N1390" s="17" t="s">
        <v>14077</v>
      </c>
      <c r="O1390" s="16" t="s">
        <v>477</v>
      </c>
      <c r="P1390" s="17" t="s">
        <v>6419</v>
      </c>
      <c r="Q1390" s="16" t="s">
        <v>25</v>
      </c>
      <c r="R1390" s="17" t="s">
        <v>6418</v>
      </c>
      <c r="S1390" s="17"/>
      <c r="T1390" s="17"/>
      <c r="U1390" s="17"/>
      <c r="V1390" s="17"/>
      <c r="W1390" s="17" t="s">
        <v>6382</v>
      </c>
      <c r="X1390" s="17" t="s">
        <v>6416</v>
      </c>
      <c r="Y1390" s="17" t="s">
        <v>4559</v>
      </c>
      <c r="Z1390" s="17" t="s">
        <v>6417</v>
      </c>
      <c r="AA1390" s="17"/>
      <c r="AB1390" s="17" t="str">
        <f t="shared" si="12"/>
        <v>GPR120660R4</v>
      </c>
    </row>
    <row r="1391" spans="1:28">
      <c r="A1391" s="17" t="s">
        <v>6434</v>
      </c>
      <c r="B1391" s="17" t="s">
        <v>6434</v>
      </c>
      <c r="C1391" s="16" t="s">
        <v>6435</v>
      </c>
      <c r="D1391" s="16" t="s">
        <v>21</v>
      </c>
      <c r="E1391" s="24">
        <v>1206</v>
      </c>
      <c r="F1391" s="17" t="s">
        <v>63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21">
        <v>15</v>
      </c>
      <c r="N1391" s="17" t="s">
        <v>14077</v>
      </c>
      <c r="O1391" s="16" t="s">
        <v>477</v>
      </c>
      <c r="P1391" s="17" t="s">
        <v>6437</v>
      </c>
      <c r="Q1391" s="16" t="s">
        <v>25</v>
      </c>
      <c r="R1391" s="17" t="s">
        <v>6436</v>
      </c>
      <c r="S1391" s="17"/>
      <c r="T1391" s="17"/>
      <c r="U1391" s="17"/>
      <c r="V1391" s="17"/>
      <c r="W1391" s="17" t="s">
        <v>6382</v>
      </c>
      <c r="X1391" s="17" t="s">
        <v>6438</v>
      </c>
      <c r="Y1391" s="17" t="s">
        <v>4559</v>
      </c>
      <c r="Z1391" s="17" t="s">
        <v>6439</v>
      </c>
      <c r="AA1391" s="17"/>
      <c r="AB1391" s="17" t="str">
        <f t="shared" si="12"/>
        <v>GPR120615R</v>
      </c>
    </row>
    <row r="1392" spans="1:28">
      <c r="A1392" t="s">
        <v>6765</v>
      </c>
      <c r="B1392" t="s">
        <v>6765</v>
      </c>
      <c r="C1392" s="16" t="s">
        <v>6766</v>
      </c>
      <c r="D1392" s="16" t="s">
        <v>21</v>
      </c>
      <c r="E1392" s="14" t="s">
        <v>6767</v>
      </c>
      <c r="F1392" t="s">
        <v>6764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6413</v>
      </c>
      <c r="K1392" s="16"/>
      <c r="L1392" s="16"/>
      <c r="M1392" s="3">
        <v>0.25</v>
      </c>
      <c r="N1392" s="17" t="s">
        <v>14077</v>
      </c>
      <c r="O1392" s="16" t="s">
        <v>477</v>
      </c>
      <c r="P1392" s="17" t="s">
        <v>7814</v>
      </c>
      <c r="Q1392" s="16" t="s">
        <v>25</v>
      </c>
      <c r="R1392" s="16" t="s">
        <v>6804</v>
      </c>
      <c r="W1392" s="29" t="s">
        <v>6807</v>
      </c>
      <c r="X1392" s="5" t="s">
        <v>6806</v>
      </c>
      <c r="Y1392" s="17" t="s">
        <v>4559</v>
      </c>
      <c r="Z1392" s="5" t="s">
        <v>6805</v>
      </c>
      <c r="AB1392" s="17" t="str">
        <f t="shared" si="12"/>
        <v>GPR12060R25</v>
      </c>
    </row>
    <row r="1393" spans="1:28">
      <c r="A1393" t="s">
        <v>6770</v>
      </c>
      <c r="B1393" t="s">
        <v>6770</v>
      </c>
      <c r="C1393" s="16" t="s">
        <v>6771</v>
      </c>
      <c r="D1393" s="16" t="s">
        <v>21</v>
      </c>
      <c r="E1393" s="14" t="s">
        <v>22</v>
      </c>
      <c r="F1393" t="s">
        <v>6772</v>
      </c>
      <c r="G1393" s="17" t="str">
        <f>Config!$B$3</f>
        <v>SCH/R_IEC.SchLib</v>
      </c>
      <c r="H1393" s="16" t="s">
        <v>419</v>
      </c>
      <c r="I1393" s="18" t="s">
        <v>461</v>
      </c>
      <c r="J1393" s="16" t="s">
        <v>462</v>
      </c>
      <c r="K1393" s="16"/>
      <c r="L1393" s="16"/>
      <c r="M1393" s="3">
        <v>191000</v>
      </c>
      <c r="N1393" s="17" t="s">
        <v>14077</v>
      </c>
      <c r="O1393" s="16" t="s">
        <v>477</v>
      </c>
      <c r="P1393" t="s">
        <v>6809</v>
      </c>
      <c r="Q1393" s="16" t="s">
        <v>25</v>
      </c>
      <c r="R1393" t="s">
        <v>6808</v>
      </c>
      <c r="W1393" s="17" t="s">
        <v>6382</v>
      </c>
      <c r="X1393" s="5" t="s">
        <v>6810</v>
      </c>
      <c r="Y1393" s="17" t="s">
        <v>4559</v>
      </c>
      <c r="Z1393" s="5" t="s">
        <v>6811</v>
      </c>
      <c r="AB1393" s="17" t="str">
        <f t="shared" si="12"/>
        <v>GPR0603191K</v>
      </c>
    </row>
    <row r="1394" spans="1:28">
      <c r="A1394" t="s">
        <v>6990</v>
      </c>
      <c r="B1394" t="s">
        <v>6991</v>
      </c>
      <c r="C1394" s="30" t="s">
        <v>6992</v>
      </c>
      <c r="D1394" s="16" t="s">
        <v>6977</v>
      </c>
      <c r="E1394" s="14" t="s">
        <v>6993</v>
      </c>
      <c r="G1394" s="17" t="str">
        <f>Config!$B$3</f>
        <v>SCH/R_IEC.SchLib</v>
      </c>
      <c r="H1394" s="17" t="s">
        <v>4363</v>
      </c>
      <c r="I1394" s="38" t="str">
        <f>_xlfn.CONCAT(PrivateLibraryPath,"PCB/Schurter.PcbLib")</f>
        <v>../altium_lib_private/PCB/Schurter.PcbLib</v>
      </c>
      <c r="J1394" s="16" t="s">
        <v>6994</v>
      </c>
      <c r="K1394" s="16"/>
      <c r="L1394" s="16"/>
      <c r="N1394" s="28" t="s">
        <v>6995</v>
      </c>
      <c r="O1394" s="16" t="s">
        <v>6977</v>
      </c>
      <c r="P1394" t="s">
        <v>6996</v>
      </c>
      <c r="Q1394" s="16" t="s">
        <v>25</v>
      </c>
      <c r="R1394" t="s">
        <v>6997</v>
      </c>
    </row>
    <row r="1395" spans="1:28" ht="16.5">
      <c r="A1395" t="s">
        <v>7016</v>
      </c>
      <c r="B1395" t="s">
        <v>7016</v>
      </c>
      <c r="C1395" s="16" t="s">
        <v>7017</v>
      </c>
      <c r="D1395" s="16" t="s">
        <v>21</v>
      </c>
      <c r="E1395" s="14" t="s">
        <v>22</v>
      </c>
      <c r="F1395" t="s">
        <v>7018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4420</v>
      </c>
      <c r="N1395" s="17" t="s">
        <v>14077</v>
      </c>
      <c r="O1395" s="16" t="s">
        <v>477</v>
      </c>
      <c r="P1395" t="s">
        <v>7019</v>
      </c>
      <c r="Q1395" s="16" t="s">
        <v>25</v>
      </c>
      <c r="R1395" t="s">
        <v>7020</v>
      </c>
      <c r="S1395" s="17" t="s">
        <v>477</v>
      </c>
      <c r="T1395" t="s">
        <v>7022</v>
      </c>
      <c r="U1395" t="s">
        <v>25</v>
      </c>
      <c r="V1395" t="s">
        <v>7021</v>
      </c>
      <c r="W1395" s="9" t="s">
        <v>477</v>
      </c>
      <c r="X1395" s="9" t="s">
        <v>7019</v>
      </c>
      <c r="Y1395" s="17" t="s">
        <v>4559</v>
      </c>
      <c r="Z1395" s="9" t="s">
        <v>7024</v>
      </c>
    </row>
    <row r="1396" spans="1:28" ht="16.5">
      <c r="A1396" t="s">
        <v>7031</v>
      </c>
      <c r="B1396" t="s">
        <v>7031</v>
      </c>
      <c r="C1396" s="16" t="s">
        <v>7033</v>
      </c>
      <c r="D1396" s="16" t="s">
        <v>21</v>
      </c>
      <c r="E1396" s="14" t="s">
        <v>22</v>
      </c>
      <c r="F1396" t="s">
        <v>7027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24300</v>
      </c>
      <c r="N1396" s="17" t="s">
        <v>14077</v>
      </c>
      <c r="O1396" s="16" t="s">
        <v>477</v>
      </c>
      <c r="P1396" t="s">
        <v>7036</v>
      </c>
      <c r="Q1396" s="16" t="s">
        <v>25</v>
      </c>
      <c r="R1396" t="s">
        <v>7035</v>
      </c>
      <c r="S1396" s="17" t="s">
        <v>477</v>
      </c>
      <c r="T1396" t="s">
        <v>7038</v>
      </c>
      <c r="U1396" t="s">
        <v>25</v>
      </c>
      <c r="V1396" t="s">
        <v>7037</v>
      </c>
      <c r="W1396" s="9" t="s">
        <v>477</v>
      </c>
      <c r="X1396" s="9" t="s">
        <v>7030</v>
      </c>
      <c r="Y1396" t="s">
        <v>4559</v>
      </c>
      <c r="Z1396" s="9" t="s">
        <v>7029</v>
      </c>
      <c r="AA1396" s="17" t="s">
        <v>4727</v>
      </c>
    </row>
    <row r="1397" spans="1:28" ht="16.5">
      <c r="A1397" t="s">
        <v>7032</v>
      </c>
      <c r="B1397" t="s">
        <v>7032</v>
      </c>
      <c r="C1397" s="16" t="s">
        <v>7034</v>
      </c>
      <c r="D1397" s="16" t="s">
        <v>21</v>
      </c>
      <c r="E1397" s="14" t="s">
        <v>22</v>
      </c>
      <c r="F1397" t="s">
        <v>7026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462</v>
      </c>
      <c r="K1397" s="16"/>
      <c r="L1397" s="16"/>
      <c r="M1397" s="3">
        <v>14300</v>
      </c>
      <c r="N1397" s="17" t="s">
        <v>14077</v>
      </c>
      <c r="O1397" s="16" t="s">
        <v>477</v>
      </c>
      <c r="P1397" t="s">
        <v>7028</v>
      </c>
      <c r="Q1397" s="16" t="s">
        <v>25</v>
      </c>
      <c r="R1397" t="s">
        <v>7039</v>
      </c>
      <c r="W1397" s="9" t="s">
        <v>477</v>
      </c>
      <c r="X1397" t="s">
        <v>7028</v>
      </c>
      <c r="Y1397" t="s">
        <v>4559</v>
      </c>
      <c r="Z1397" t="s">
        <v>7025</v>
      </c>
      <c r="AA1397" s="17" t="s">
        <v>4727</v>
      </c>
    </row>
    <row r="1398" spans="1:28" ht="15.75">
      <c r="A1398" t="s">
        <v>7473</v>
      </c>
      <c r="B1398" t="s">
        <v>7473</v>
      </c>
      <c r="C1398" s="16" t="s">
        <v>7474</v>
      </c>
      <c r="D1398" s="16" t="s">
        <v>21</v>
      </c>
      <c r="E1398" s="14" t="s">
        <v>7475</v>
      </c>
      <c r="F1398" t="s">
        <v>7476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5.0000000000000001E-3</v>
      </c>
      <c r="N1398" t="s">
        <v>7481</v>
      </c>
      <c r="O1398" t="s">
        <v>7479</v>
      </c>
      <c r="P1398" t="s">
        <v>7480</v>
      </c>
      <c r="Q1398" s="16" t="s">
        <v>25</v>
      </c>
      <c r="R1398" t="s">
        <v>7478</v>
      </c>
      <c r="W1398" s="8" t="s">
        <v>13536</v>
      </c>
      <c r="X1398" s="8" t="s">
        <v>13535</v>
      </c>
      <c r="Y1398" t="s">
        <v>4559</v>
      </c>
      <c r="Z1398" t="s">
        <v>13534</v>
      </c>
    </row>
    <row r="1399" spans="1:28" ht="15.75">
      <c r="A1399" t="s">
        <v>12542</v>
      </c>
      <c r="B1399" t="s">
        <v>12542</v>
      </c>
      <c r="C1399" s="16" t="s">
        <v>12543</v>
      </c>
      <c r="D1399" s="16" t="s">
        <v>21</v>
      </c>
      <c r="E1399" s="14" t="s">
        <v>7475</v>
      </c>
      <c r="F1399" t="s">
        <v>12544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0.01</v>
      </c>
      <c r="N1399" t="s">
        <v>14571</v>
      </c>
      <c r="O1399" s="16" t="s">
        <v>477</v>
      </c>
      <c r="P1399" t="s">
        <v>12545</v>
      </c>
      <c r="Q1399" s="16" t="s">
        <v>25</v>
      </c>
      <c r="R1399" t="s">
        <v>12546</v>
      </c>
      <c r="W1399" s="8" t="s">
        <v>13536</v>
      </c>
      <c r="X1399" s="8" t="s">
        <v>13538</v>
      </c>
      <c r="Y1399" t="s">
        <v>4559</v>
      </c>
      <c r="Z1399" s="8" t="s">
        <v>13537</v>
      </c>
    </row>
    <row r="1400" spans="1:28">
      <c r="A1400" t="s">
        <v>7485</v>
      </c>
      <c r="B1400" t="s">
        <v>7485</v>
      </c>
      <c r="C1400" s="16" t="s">
        <v>7486</v>
      </c>
      <c r="D1400" s="16" t="s">
        <v>21</v>
      </c>
      <c r="E1400" s="14" t="s">
        <v>7475</v>
      </c>
      <c r="F1400" t="s">
        <v>7484</v>
      </c>
      <c r="G1400" s="17" t="str">
        <f>Config!$B$3</f>
        <v>SCH/R_IEC.SchLib</v>
      </c>
      <c r="H1400" s="16" t="s">
        <v>419</v>
      </c>
      <c r="I1400" s="18" t="s">
        <v>461</v>
      </c>
      <c r="J1400" s="16" t="s">
        <v>7477</v>
      </c>
      <c r="K1400" s="16"/>
      <c r="L1400" s="16"/>
      <c r="M1400" s="3">
        <v>2.5000000000000001E-2</v>
      </c>
      <c r="N1400" t="s">
        <v>7481</v>
      </c>
      <c r="O1400" t="s">
        <v>7479</v>
      </c>
      <c r="P1400" t="s">
        <v>7482</v>
      </c>
      <c r="Q1400" s="16" t="s">
        <v>25</v>
      </c>
      <c r="R1400" t="s">
        <v>7483</v>
      </c>
    </row>
    <row r="1401" spans="1:28">
      <c r="A1401" s="17" t="s">
        <v>7487</v>
      </c>
      <c r="B1401" s="17" t="s">
        <v>7487</v>
      </c>
      <c r="C1401" s="17" t="s">
        <v>7488</v>
      </c>
      <c r="D1401" s="16" t="s">
        <v>21</v>
      </c>
      <c r="E1401" s="14" t="s">
        <v>22</v>
      </c>
      <c r="F1401" t="s">
        <v>305</v>
      </c>
      <c r="G1401" s="17" t="str">
        <f>Config!$B$3</f>
        <v>SCH/R_IEC.SchLib</v>
      </c>
      <c r="H1401" s="17" t="s">
        <v>4296</v>
      </c>
      <c r="I1401" s="17" t="s">
        <v>461</v>
      </c>
      <c r="J1401" s="17" t="s">
        <v>462</v>
      </c>
      <c r="K1401" s="17"/>
      <c r="L1401" s="17"/>
      <c r="M1401" s="3">
        <v>100000</v>
      </c>
      <c r="N1401" t="s">
        <v>7489</v>
      </c>
      <c r="O1401" t="s">
        <v>6409</v>
      </c>
      <c r="P1401" t="s">
        <v>7491</v>
      </c>
      <c r="Q1401" s="16" t="s">
        <v>25</v>
      </c>
      <c r="R1401" t="s">
        <v>7490</v>
      </c>
    </row>
    <row r="1402" spans="1:28">
      <c r="A1402" t="s">
        <v>7499</v>
      </c>
      <c r="B1402" t="s">
        <v>7499</v>
      </c>
      <c r="C1402" s="16" t="s">
        <v>7500</v>
      </c>
      <c r="D1402" s="16" t="s">
        <v>21</v>
      </c>
      <c r="E1402" s="14" t="s">
        <v>7501</v>
      </c>
      <c r="F1402" t="s">
        <v>7502</v>
      </c>
      <c r="G1402" s="17" t="str">
        <f>Config!$B$3</f>
        <v>SCH/R_IEC.SchLib</v>
      </c>
      <c r="H1402" s="16" t="s">
        <v>4296</v>
      </c>
      <c r="I1402" s="18" t="s">
        <v>7503</v>
      </c>
      <c r="J1402" s="16" t="s">
        <v>7504</v>
      </c>
      <c r="K1402" s="16"/>
      <c r="L1402" s="16"/>
      <c r="M1402" s="3">
        <v>25</v>
      </c>
      <c r="N1402" s="26" t="s">
        <v>7505</v>
      </c>
      <c r="O1402" t="s">
        <v>7506</v>
      </c>
      <c r="P1402" t="s">
        <v>7508</v>
      </c>
      <c r="Q1402" s="16" t="s">
        <v>25</v>
      </c>
      <c r="R1402" t="s">
        <v>7507</v>
      </c>
    </row>
    <row r="1403" spans="1:28">
      <c r="A1403" t="s">
        <v>7509</v>
      </c>
      <c r="B1403" t="s">
        <v>7509</v>
      </c>
      <c r="C1403" s="16" t="s">
        <v>7510</v>
      </c>
      <c r="D1403" s="16" t="s">
        <v>21</v>
      </c>
      <c r="E1403" s="14" t="s">
        <v>7514</v>
      </c>
      <c r="F1403" t="s">
        <v>7511</v>
      </c>
      <c r="G1403" s="17" t="str">
        <f>Config!$B$3</f>
        <v>SCH/R_IEC.SchLib</v>
      </c>
      <c r="H1403" s="16" t="s">
        <v>7512</v>
      </c>
      <c r="I1403" s="18" t="s">
        <v>7503</v>
      </c>
      <c r="J1403" s="16" t="s">
        <v>7513</v>
      </c>
      <c r="K1403" s="16"/>
      <c r="L1403" s="16"/>
      <c r="M1403" s="3">
        <v>391</v>
      </c>
      <c r="N1403" s="26" t="s">
        <v>7515</v>
      </c>
      <c r="O1403" t="s">
        <v>6409</v>
      </c>
      <c r="P1403" t="s">
        <v>7509</v>
      </c>
      <c r="Q1403" s="16" t="s">
        <v>25</v>
      </c>
      <c r="R1403" t="s">
        <v>7516</v>
      </c>
    </row>
    <row r="1404" spans="1:28">
      <c r="A1404" t="s">
        <v>7533</v>
      </c>
      <c r="B1404" t="s">
        <v>7533</v>
      </c>
      <c r="C1404" s="16" t="s">
        <v>7554</v>
      </c>
      <c r="D1404" s="16" t="s">
        <v>6977</v>
      </c>
      <c r="E1404" s="14" t="s">
        <v>7575</v>
      </c>
      <c r="F1404" t="s">
        <v>7576</v>
      </c>
      <c r="G1404" s="17" t="str">
        <f>Config!$B$3</f>
        <v>SCH/R_IEC.SchLib</v>
      </c>
      <c r="H1404" s="17" t="s">
        <v>4363</v>
      </c>
      <c r="I1404" s="38" t="str">
        <f t="shared" ref="I1404:I1425" si="13">_xlfn.CONCAT(PrivateLibraryPath,"PCB/Schurter.PcbLib")</f>
        <v>../altium_lib_private/PCB/Schurter.PcbLib</v>
      </c>
      <c r="J1404" s="16" t="s">
        <v>7575</v>
      </c>
      <c r="K1404" s="16"/>
      <c r="L1404" s="16"/>
      <c r="M1404">
        <v>0.08</v>
      </c>
      <c r="N1404" t="s">
        <v>7622</v>
      </c>
      <c r="O1404" s="16" t="s">
        <v>6977</v>
      </c>
      <c r="P1404" t="s">
        <v>7597</v>
      </c>
      <c r="Q1404" s="16" t="s">
        <v>25</v>
      </c>
      <c r="R1404" t="s">
        <v>7623</v>
      </c>
    </row>
    <row r="1405" spans="1:28">
      <c r="A1405" t="s">
        <v>7534</v>
      </c>
      <c r="B1405" t="s">
        <v>7534</v>
      </c>
      <c r="C1405" t="s">
        <v>7555</v>
      </c>
      <c r="D1405" s="16" t="s">
        <v>6977</v>
      </c>
      <c r="E1405" s="14" t="s">
        <v>7575</v>
      </c>
      <c r="F1405" t="s">
        <v>7577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</v>
      </c>
      <c r="N1405" t="s">
        <v>7622</v>
      </c>
      <c r="O1405" s="16" t="s">
        <v>6977</v>
      </c>
      <c r="P1405" t="s">
        <v>7598</v>
      </c>
      <c r="Q1405" s="16" t="s">
        <v>25</v>
      </c>
      <c r="R1405" t="s">
        <v>7624</v>
      </c>
    </row>
    <row r="1406" spans="1:28">
      <c r="A1406" t="s">
        <v>7535</v>
      </c>
      <c r="B1406" t="s">
        <v>7535</v>
      </c>
      <c r="C1406" t="s">
        <v>7556</v>
      </c>
      <c r="D1406" s="16" t="s">
        <v>6977</v>
      </c>
      <c r="E1406" s="14" t="s">
        <v>7575</v>
      </c>
      <c r="F1406" t="s">
        <v>7578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0.125</v>
      </c>
      <c r="N1406" t="s">
        <v>7622</v>
      </c>
      <c r="O1406" s="16" t="s">
        <v>6977</v>
      </c>
      <c r="P1406" t="s">
        <v>7599</v>
      </c>
      <c r="Q1406" s="16" t="s">
        <v>25</v>
      </c>
      <c r="R1406" t="s">
        <v>7625</v>
      </c>
    </row>
    <row r="1407" spans="1:28">
      <c r="A1407" t="s">
        <v>7536</v>
      </c>
      <c r="B1407" t="s">
        <v>7536</v>
      </c>
      <c r="C1407" t="s">
        <v>7557</v>
      </c>
      <c r="D1407" s="16" t="s">
        <v>6977</v>
      </c>
      <c r="E1407" s="14" t="s">
        <v>7575</v>
      </c>
      <c r="F1407" t="s">
        <v>7579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0.16</v>
      </c>
      <c r="N1407" t="s">
        <v>7622</v>
      </c>
      <c r="O1407" s="16" t="s">
        <v>6977</v>
      </c>
      <c r="P1407" t="s">
        <v>7600</v>
      </c>
      <c r="Q1407" s="16" t="s">
        <v>25</v>
      </c>
      <c r="R1407" t="s">
        <v>7626</v>
      </c>
    </row>
    <row r="1408" spans="1:28">
      <c r="A1408" t="s">
        <v>7537</v>
      </c>
      <c r="B1408" t="s">
        <v>7537</v>
      </c>
      <c r="C1408" t="s">
        <v>7558</v>
      </c>
      <c r="D1408" s="16" t="s">
        <v>6977</v>
      </c>
      <c r="E1408" s="14" t="s">
        <v>7575</v>
      </c>
      <c r="F1408" t="s">
        <v>7580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</v>
      </c>
      <c r="N1408" t="s">
        <v>7622</v>
      </c>
      <c r="O1408" s="16" t="s">
        <v>6977</v>
      </c>
      <c r="P1408" t="s">
        <v>7601</v>
      </c>
      <c r="Q1408" s="16" t="s">
        <v>25</v>
      </c>
      <c r="R1408" t="s">
        <v>7627</v>
      </c>
    </row>
    <row r="1409" spans="1:18">
      <c r="A1409" t="s">
        <v>7538</v>
      </c>
      <c r="B1409" t="s">
        <v>7538</v>
      </c>
      <c r="C1409" t="s">
        <v>7559</v>
      </c>
      <c r="D1409" s="16" t="s">
        <v>6977</v>
      </c>
      <c r="E1409" s="14" t="s">
        <v>7575</v>
      </c>
      <c r="F1409" t="s">
        <v>7581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0.25</v>
      </c>
      <c r="N1409" t="s">
        <v>7622</v>
      </c>
      <c r="O1409" s="16" t="s">
        <v>6977</v>
      </c>
      <c r="P1409" t="s">
        <v>7602</v>
      </c>
      <c r="Q1409" s="16" t="s">
        <v>25</v>
      </c>
      <c r="R1409" t="s">
        <v>7628</v>
      </c>
    </row>
    <row r="1410" spans="1:18">
      <c r="A1410" t="s">
        <v>7539</v>
      </c>
      <c r="B1410" t="s">
        <v>7539</v>
      </c>
      <c r="C1410" t="s">
        <v>7560</v>
      </c>
      <c r="D1410" s="16" t="s">
        <v>6977</v>
      </c>
      <c r="E1410" s="14" t="s">
        <v>7575</v>
      </c>
      <c r="F1410" t="s">
        <v>7582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0.315</v>
      </c>
      <c r="N1410" t="s">
        <v>7622</v>
      </c>
      <c r="O1410" s="16" t="s">
        <v>6977</v>
      </c>
      <c r="P1410" t="s">
        <v>7603</v>
      </c>
      <c r="Q1410" s="16" t="s">
        <v>25</v>
      </c>
      <c r="R1410" t="s">
        <v>7629</v>
      </c>
    </row>
    <row r="1411" spans="1:18">
      <c r="A1411" t="s">
        <v>7540</v>
      </c>
      <c r="B1411" t="s">
        <v>7540</v>
      </c>
      <c r="C1411" t="s">
        <v>7561</v>
      </c>
      <c r="D1411" s="16" t="s">
        <v>6977</v>
      </c>
      <c r="E1411" s="14" t="s">
        <v>7575</v>
      </c>
      <c r="F1411" t="s">
        <v>7583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0.4</v>
      </c>
      <c r="N1411" t="s">
        <v>7622</v>
      </c>
      <c r="O1411" s="16" t="s">
        <v>6977</v>
      </c>
      <c r="P1411" t="s">
        <v>7604</v>
      </c>
      <c r="Q1411" s="16" t="s">
        <v>25</v>
      </c>
      <c r="R1411" t="s">
        <v>7630</v>
      </c>
    </row>
    <row r="1412" spans="1:18">
      <c r="A1412" t="s">
        <v>7541</v>
      </c>
      <c r="B1412" t="s">
        <v>7541</v>
      </c>
      <c r="C1412" t="s">
        <v>7562</v>
      </c>
      <c r="D1412" s="16" t="s">
        <v>6977</v>
      </c>
      <c r="E1412" s="14" t="s">
        <v>7575</v>
      </c>
      <c r="F1412" t="s">
        <v>7584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0.5</v>
      </c>
      <c r="N1412" t="s">
        <v>7622</v>
      </c>
      <c r="O1412" s="16" t="s">
        <v>6977</v>
      </c>
      <c r="P1412" t="s">
        <v>7605</v>
      </c>
      <c r="Q1412" s="16" t="s">
        <v>25</v>
      </c>
      <c r="R1412" t="s">
        <v>7631</v>
      </c>
    </row>
    <row r="1413" spans="1:18">
      <c r="A1413" t="s">
        <v>7542</v>
      </c>
      <c r="B1413" t="s">
        <v>7542</v>
      </c>
      <c r="C1413" t="s">
        <v>7563</v>
      </c>
      <c r="D1413" s="16" t="s">
        <v>6977</v>
      </c>
      <c r="E1413" s="14" t="s">
        <v>7575</v>
      </c>
      <c r="F1413" t="s">
        <v>7585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0.63</v>
      </c>
      <c r="N1413" t="s">
        <v>7622</v>
      </c>
      <c r="O1413" s="16" t="s">
        <v>6977</v>
      </c>
      <c r="P1413" t="s">
        <v>7606</v>
      </c>
      <c r="Q1413" s="16" t="s">
        <v>25</v>
      </c>
      <c r="R1413" t="s">
        <v>7632</v>
      </c>
    </row>
    <row r="1414" spans="1:18">
      <c r="A1414" t="s">
        <v>7619</v>
      </c>
      <c r="B1414" t="s">
        <v>7619</v>
      </c>
      <c r="C1414" t="s">
        <v>7620</v>
      </c>
      <c r="D1414" s="16" t="s">
        <v>6977</v>
      </c>
      <c r="E1414" s="14" t="s">
        <v>7575</v>
      </c>
      <c r="F1414" t="s">
        <v>7621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0.8</v>
      </c>
      <c r="N1414" t="s">
        <v>7622</v>
      </c>
      <c r="O1414" s="16" t="s">
        <v>6977</v>
      </c>
      <c r="P1414" t="s">
        <v>7607</v>
      </c>
      <c r="Q1414" s="16" t="s">
        <v>25</v>
      </c>
      <c r="R1414" t="s">
        <v>7633</v>
      </c>
    </row>
    <row r="1415" spans="1:18">
      <c r="A1415" t="s">
        <v>7543</v>
      </c>
      <c r="B1415" t="s">
        <v>7543</v>
      </c>
      <c r="C1415" t="s">
        <v>7564</v>
      </c>
      <c r="D1415" s="16" t="s">
        <v>6977</v>
      </c>
      <c r="E1415" s="14" t="s">
        <v>7575</v>
      </c>
      <c r="F1415" t="s">
        <v>7586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</v>
      </c>
      <c r="N1415" t="s">
        <v>7622</v>
      </c>
      <c r="O1415" s="16" t="s">
        <v>6977</v>
      </c>
      <c r="P1415" t="s">
        <v>7608</v>
      </c>
      <c r="Q1415" s="16" t="s">
        <v>25</v>
      </c>
      <c r="R1415" t="s">
        <v>7634</v>
      </c>
    </row>
    <row r="1416" spans="1:18">
      <c r="A1416" t="s">
        <v>7544</v>
      </c>
      <c r="B1416" t="s">
        <v>7544</v>
      </c>
      <c r="C1416" t="s">
        <v>7565</v>
      </c>
      <c r="D1416" s="16" t="s">
        <v>6977</v>
      </c>
      <c r="E1416" s="14" t="s">
        <v>7575</v>
      </c>
      <c r="F1416" t="s">
        <v>7587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1.25</v>
      </c>
      <c r="N1416" t="s">
        <v>7622</v>
      </c>
      <c r="O1416" s="16" t="s">
        <v>6977</v>
      </c>
      <c r="P1416" t="s">
        <v>7609</v>
      </c>
      <c r="Q1416" s="16" t="s">
        <v>25</v>
      </c>
      <c r="R1416" t="s">
        <v>7635</v>
      </c>
    </row>
    <row r="1417" spans="1:18">
      <c r="A1417" t="s">
        <v>7545</v>
      </c>
      <c r="B1417" t="s">
        <v>7545</v>
      </c>
      <c r="C1417" t="s">
        <v>7566</v>
      </c>
      <c r="D1417" s="16" t="s">
        <v>6977</v>
      </c>
      <c r="E1417" s="14" t="s">
        <v>7575</v>
      </c>
      <c r="F1417" t="s">
        <v>7588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1.6</v>
      </c>
      <c r="N1417" t="s">
        <v>7622</v>
      </c>
      <c r="O1417" s="16" t="s">
        <v>6977</v>
      </c>
      <c r="P1417" t="s">
        <v>7610</v>
      </c>
      <c r="Q1417" s="16" t="s">
        <v>25</v>
      </c>
      <c r="R1417" t="s">
        <v>7636</v>
      </c>
    </row>
    <row r="1418" spans="1:18">
      <c r="A1418" t="s">
        <v>7546</v>
      </c>
      <c r="B1418" t="s">
        <v>7546</v>
      </c>
      <c r="C1418" t="s">
        <v>7567</v>
      </c>
      <c r="D1418" s="16" t="s">
        <v>6977</v>
      </c>
      <c r="E1418" s="14" t="s">
        <v>7575</v>
      </c>
      <c r="F1418" t="s">
        <v>7589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</v>
      </c>
      <c r="N1418" t="s">
        <v>7622</v>
      </c>
      <c r="O1418" s="16" t="s">
        <v>6977</v>
      </c>
      <c r="P1418" t="s">
        <v>7611</v>
      </c>
      <c r="Q1418" s="16" t="s">
        <v>25</v>
      </c>
      <c r="R1418" t="s">
        <v>7637</v>
      </c>
    </row>
    <row r="1419" spans="1:18">
      <c r="A1419" t="s">
        <v>7547</v>
      </c>
      <c r="B1419" t="s">
        <v>7547</v>
      </c>
      <c r="C1419" t="s">
        <v>7568</v>
      </c>
      <c r="D1419" s="16" t="s">
        <v>6977</v>
      </c>
      <c r="E1419" s="14" t="s">
        <v>7575</v>
      </c>
      <c r="F1419" t="s">
        <v>7590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2.5</v>
      </c>
      <c r="N1419" t="s">
        <v>7622</v>
      </c>
      <c r="O1419" s="16" t="s">
        <v>6977</v>
      </c>
      <c r="P1419" t="s">
        <v>7612</v>
      </c>
      <c r="Q1419" s="16" t="s">
        <v>25</v>
      </c>
      <c r="R1419" t="s">
        <v>7638</v>
      </c>
    </row>
    <row r="1420" spans="1:18">
      <c r="A1420" t="s">
        <v>7548</v>
      </c>
      <c r="B1420" t="s">
        <v>7548</v>
      </c>
      <c r="C1420" t="s">
        <v>7569</v>
      </c>
      <c r="D1420" s="16" t="s">
        <v>6977</v>
      </c>
      <c r="E1420" s="14" t="s">
        <v>7575</v>
      </c>
      <c r="F1420" t="s">
        <v>7591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3.15</v>
      </c>
      <c r="N1420" t="s">
        <v>7622</v>
      </c>
      <c r="O1420" s="16" t="s">
        <v>6977</v>
      </c>
      <c r="P1420" t="s">
        <v>7613</v>
      </c>
      <c r="Q1420" s="16" t="s">
        <v>25</v>
      </c>
      <c r="R1420" t="s">
        <v>7639</v>
      </c>
    </row>
    <row r="1421" spans="1:18">
      <c r="A1421" t="s">
        <v>7549</v>
      </c>
      <c r="B1421" t="s">
        <v>7549</v>
      </c>
      <c r="C1421" t="s">
        <v>7570</v>
      </c>
      <c r="D1421" s="16" t="s">
        <v>6977</v>
      </c>
      <c r="E1421" s="14" t="s">
        <v>7575</v>
      </c>
      <c r="F1421" t="s">
        <v>7592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4</v>
      </c>
      <c r="N1421" t="s">
        <v>7622</v>
      </c>
      <c r="O1421" s="16" t="s">
        <v>6977</v>
      </c>
      <c r="P1421" t="s">
        <v>7614</v>
      </c>
      <c r="Q1421" s="16" t="s">
        <v>25</v>
      </c>
      <c r="R1421" t="s">
        <v>7640</v>
      </c>
    </row>
    <row r="1422" spans="1:18">
      <c r="A1422" t="s">
        <v>7550</v>
      </c>
      <c r="B1422" t="s">
        <v>7550</v>
      </c>
      <c r="C1422" t="s">
        <v>7571</v>
      </c>
      <c r="D1422" s="16" t="s">
        <v>6977</v>
      </c>
      <c r="E1422" s="14" t="s">
        <v>7575</v>
      </c>
      <c r="F1422" t="s">
        <v>7593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5</v>
      </c>
      <c r="N1422" t="s">
        <v>7622</v>
      </c>
      <c r="O1422" s="16" t="s">
        <v>6977</v>
      </c>
      <c r="P1422" t="s">
        <v>7615</v>
      </c>
      <c r="Q1422" s="16" t="s">
        <v>25</v>
      </c>
      <c r="R1422" t="s">
        <v>7641</v>
      </c>
    </row>
    <row r="1423" spans="1:18">
      <c r="A1423" t="s">
        <v>7551</v>
      </c>
      <c r="B1423" t="s">
        <v>7551</v>
      </c>
      <c r="C1423" t="s">
        <v>7572</v>
      </c>
      <c r="D1423" s="16" t="s">
        <v>6977</v>
      </c>
      <c r="E1423" s="14" t="s">
        <v>7575</v>
      </c>
      <c r="F1423" t="s">
        <v>7594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6.3</v>
      </c>
      <c r="N1423" t="s">
        <v>7622</v>
      </c>
      <c r="O1423" s="16" t="s">
        <v>6977</v>
      </c>
      <c r="P1423" t="s">
        <v>7616</v>
      </c>
      <c r="Q1423" s="16" t="s">
        <v>25</v>
      </c>
      <c r="R1423" t="s">
        <v>7642</v>
      </c>
    </row>
    <row r="1424" spans="1:18">
      <c r="A1424" t="s">
        <v>7552</v>
      </c>
      <c r="B1424" t="s">
        <v>7552</v>
      </c>
      <c r="C1424" t="s">
        <v>7573</v>
      </c>
      <c r="D1424" s="16" t="s">
        <v>6977</v>
      </c>
      <c r="E1424" s="14" t="s">
        <v>7575</v>
      </c>
      <c r="F1424" t="s">
        <v>7595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8</v>
      </c>
      <c r="N1424" t="s">
        <v>7622</v>
      </c>
      <c r="O1424" s="16" t="s">
        <v>6977</v>
      </c>
      <c r="P1424" t="s">
        <v>7617</v>
      </c>
      <c r="Q1424" s="16" t="s">
        <v>25</v>
      </c>
      <c r="R1424" t="s">
        <v>7643</v>
      </c>
    </row>
    <row r="1425" spans="1:22">
      <c r="A1425" t="s">
        <v>7553</v>
      </c>
      <c r="B1425" t="s">
        <v>7553</v>
      </c>
      <c r="C1425" t="s">
        <v>7574</v>
      </c>
      <c r="D1425" s="16" t="s">
        <v>6977</v>
      </c>
      <c r="E1425" s="14" t="s">
        <v>7575</v>
      </c>
      <c r="F1425" t="s">
        <v>7596</v>
      </c>
      <c r="G1425" s="17" t="str">
        <f>Config!$B$3</f>
        <v>SCH/R_IEC.SchLib</v>
      </c>
      <c r="H1425" s="17" t="s">
        <v>4363</v>
      </c>
      <c r="I1425" s="38" t="str">
        <f t="shared" si="13"/>
        <v>../altium_lib_private/PCB/Schurter.PcbLib</v>
      </c>
      <c r="J1425" s="16" t="s">
        <v>7575</v>
      </c>
      <c r="K1425" s="16"/>
      <c r="L1425" s="16"/>
      <c r="M1425">
        <v>10</v>
      </c>
      <c r="N1425" t="s">
        <v>7622</v>
      </c>
      <c r="O1425" s="16" t="s">
        <v>6977</v>
      </c>
      <c r="P1425" t="s">
        <v>7618</v>
      </c>
      <c r="Q1425" s="16" t="s">
        <v>25</v>
      </c>
      <c r="R1425" t="s">
        <v>7644</v>
      </c>
    </row>
    <row r="1426" spans="1:22">
      <c r="A1426" t="s">
        <v>10782</v>
      </c>
      <c r="B1426" t="s">
        <v>10782</v>
      </c>
      <c r="C1426" t="s">
        <v>10783</v>
      </c>
      <c r="D1426" s="16" t="s">
        <v>10784</v>
      </c>
      <c r="E1426" s="14" t="s">
        <v>10785</v>
      </c>
      <c r="F1426" t="s">
        <v>7596</v>
      </c>
      <c r="G1426" s="17" t="str">
        <f>Config!$B$3</f>
        <v>SCH/R_IEC.SchLib</v>
      </c>
      <c r="H1426" s="17" t="s">
        <v>10797</v>
      </c>
      <c r="I1426" s="38"/>
      <c r="J1426" s="40"/>
      <c r="K1426" s="40"/>
      <c r="L1426" s="40"/>
      <c r="N1426" t="s">
        <v>12114</v>
      </c>
      <c r="O1426" s="16" t="s">
        <v>12115</v>
      </c>
      <c r="P1426" t="s">
        <v>12116</v>
      </c>
      <c r="Q1426" s="16" t="s">
        <v>25</v>
      </c>
      <c r="R1426" t="s">
        <v>12117</v>
      </c>
    </row>
    <row r="1427" spans="1:22">
      <c r="A1427" t="s">
        <v>10786</v>
      </c>
      <c r="B1427" t="s">
        <v>10786</v>
      </c>
      <c r="C1427" t="s">
        <v>12540</v>
      </c>
      <c r="D1427" s="16" t="s">
        <v>12541</v>
      </c>
      <c r="E1427" s="14" t="s">
        <v>10785</v>
      </c>
      <c r="G1427" s="17" t="str">
        <f>Config!$B$3</f>
        <v>SCH/R_IEC.SchLib</v>
      </c>
      <c r="H1427" t="s">
        <v>10788</v>
      </c>
      <c r="I1427" s="38" t="str">
        <f>_xlfn.CONCAT(PrivateLibraryPath,"PCB/Littelfuse.PcbLib")</f>
        <v>../altium_lib_private/PCB/Littelfuse.PcbLib</v>
      </c>
      <c r="J1427" s="16" t="s">
        <v>12118</v>
      </c>
      <c r="K1427" s="16"/>
      <c r="L1427" s="16"/>
      <c r="N1427" t="s">
        <v>12539</v>
      </c>
      <c r="O1427" s="16" t="s">
        <v>2669</v>
      </c>
      <c r="P1427" t="s">
        <v>12118</v>
      </c>
      <c r="Q1427" s="16" t="s">
        <v>25</v>
      </c>
      <c r="R1427" t="s">
        <v>12119</v>
      </c>
    </row>
    <row r="1428" spans="1:22">
      <c r="A1428" t="s">
        <v>10787</v>
      </c>
      <c r="B1428" t="s">
        <v>10787</v>
      </c>
      <c r="D1428" s="16"/>
      <c r="E1428" s="14" t="s">
        <v>10785</v>
      </c>
      <c r="G1428" s="17" t="str">
        <f>Config!$B$3</f>
        <v>SCH/R_IEC.SchLib</v>
      </c>
      <c r="H1428" t="s">
        <v>10789</v>
      </c>
      <c r="I1428" s="18"/>
      <c r="J1428" s="16"/>
      <c r="K1428" s="16"/>
      <c r="L1428" s="16"/>
      <c r="O1428" s="16"/>
      <c r="Q1428" s="16"/>
    </row>
    <row r="1429" spans="1:22">
      <c r="A1429" t="s">
        <v>13980</v>
      </c>
      <c r="B1429" t="s">
        <v>13980</v>
      </c>
      <c r="C1429" t="s">
        <v>14013</v>
      </c>
      <c r="D1429" s="16" t="s">
        <v>13994</v>
      </c>
      <c r="E1429" s="14" t="s">
        <v>13988</v>
      </c>
      <c r="F1429" t="s">
        <v>7589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13995</v>
      </c>
      <c r="O1429" s="16" t="s">
        <v>13994</v>
      </c>
      <c r="P1429">
        <v>3061295</v>
      </c>
      <c r="Q1429" s="16" t="s">
        <v>25</v>
      </c>
      <c r="R1429" t="s">
        <v>13996</v>
      </c>
    </row>
    <row r="1430" spans="1:22">
      <c r="A1430" t="s">
        <v>13981</v>
      </c>
      <c r="B1430" t="s">
        <v>13981</v>
      </c>
      <c r="C1430" t="s">
        <v>14014</v>
      </c>
      <c r="D1430" s="16" t="s">
        <v>13994</v>
      </c>
      <c r="E1430" s="14" t="s">
        <v>13988</v>
      </c>
      <c r="F1430" t="s">
        <v>7592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13997</v>
      </c>
      <c r="O1430" s="16" t="s">
        <v>13994</v>
      </c>
      <c r="P1430">
        <v>3061305</v>
      </c>
      <c r="Q1430" s="16" t="s">
        <v>25</v>
      </c>
      <c r="R1430" t="s">
        <v>13998</v>
      </c>
    </row>
    <row r="1431" spans="1:22">
      <c r="A1431" t="s">
        <v>13982</v>
      </c>
      <c r="B1431" t="s">
        <v>13982</v>
      </c>
      <c r="C1431" t="s">
        <v>14015</v>
      </c>
      <c r="D1431" s="16" t="s">
        <v>13994</v>
      </c>
      <c r="E1431" s="14" t="s">
        <v>13988</v>
      </c>
      <c r="F1431" t="s">
        <v>13989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13999</v>
      </c>
      <c r="O1431" s="16" t="s">
        <v>13994</v>
      </c>
      <c r="P1431">
        <v>3061318</v>
      </c>
      <c r="Q1431" s="16" t="s">
        <v>25</v>
      </c>
      <c r="R1431" t="s">
        <v>14000</v>
      </c>
    </row>
    <row r="1432" spans="1:22">
      <c r="A1432" t="s">
        <v>13983</v>
      </c>
      <c r="B1432" t="s">
        <v>13983</v>
      </c>
      <c r="C1432" t="s">
        <v>14016</v>
      </c>
      <c r="D1432" s="16" t="s">
        <v>13994</v>
      </c>
      <c r="E1432" s="14" t="s">
        <v>13988</v>
      </c>
      <c r="F1432" t="s">
        <v>7595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14001</v>
      </c>
      <c r="O1432" s="16" t="s">
        <v>13994</v>
      </c>
      <c r="P1432">
        <v>3061321</v>
      </c>
      <c r="Q1432" s="16" t="s">
        <v>25</v>
      </c>
      <c r="R1432" t="s">
        <v>14002</v>
      </c>
    </row>
    <row r="1433" spans="1:22">
      <c r="A1433" t="s">
        <v>13977</v>
      </c>
      <c r="B1433" t="s">
        <v>13977</v>
      </c>
      <c r="C1433" t="s">
        <v>14017</v>
      </c>
      <c r="D1433" s="16" t="s">
        <v>13994</v>
      </c>
      <c r="E1433" s="14" t="s">
        <v>13988</v>
      </c>
      <c r="F1433" t="s">
        <v>7596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14003</v>
      </c>
      <c r="O1433" s="16" t="s">
        <v>13994</v>
      </c>
      <c r="P1433">
        <v>3061334</v>
      </c>
      <c r="Q1433" s="16" t="s">
        <v>25</v>
      </c>
      <c r="R1433" t="s">
        <v>14004</v>
      </c>
    </row>
    <row r="1434" spans="1:22">
      <c r="A1434" t="s">
        <v>13979</v>
      </c>
      <c r="B1434" t="s">
        <v>13979</v>
      </c>
      <c r="C1434" t="s">
        <v>14018</v>
      </c>
      <c r="D1434" s="16" t="s">
        <v>13994</v>
      </c>
      <c r="E1434" s="14" t="s">
        <v>13988</v>
      </c>
      <c r="F1434" t="s">
        <v>13990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14005</v>
      </c>
      <c r="O1434" s="16" t="s">
        <v>13994</v>
      </c>
      <c r="P1434">
        <v>3061347</v>
      </c>
      <c r="Q1434" s="16" t="s">
        <v>25</v>
      </c>
      <c r="R1434" t="s">
        <v>14006</v>
      </c>
    </row>
    <row r="1435" spans="1:22">
      <c r="A1435" t="s">
        <v>13984</v>
      </c>
      <c r="B1435" t="s">
        <v>13984</v>
      </c>
      <c r="C1435" t="s">
        <v>14019</v>
      </c>
      <c r="D1435" s="16" t="s">
        <v>13994</v>
      </c>
      <c r="E1435" s="14" t="s">
        <v>13988</v>
      </c>
      <c r="F1435" t="s">
        <v>13991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14007</v>
      </c>
      <c r="O1435" s="16" t="s">
        <v>13994</v>
      </c>
      <c r="P1435">
        <v>3062784</v>
      </c>
      <c r="Q1435" s="16" t="s">
        <v>25</v>
      </c>
      <c r="R1435" t="s">
        <v>14008</v>
      </c>
    </row>
    <row r="1436" spans="1:22">
      <c r="A1436" t="s">
        <v>13985</v>
      </c>
      <c r="B1436" t="s">
        <v>13985</v>
      </c>
      <c r="C1436" t="s">
        <v>14020</v>
      </c>
      <c r="D1436" s="16" t="s">
        <v>13994</v>
      </c>
      <c r="E1436" s="14" t="s">
        <v>13988</v>
      </c>
      <c r="F1436" t="s">
        <v>13992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14009</v>
      </c>
      <c r="O1436" s="16" t="s">
        <v>13994</v>
      </c>
      <c r="P1436">
        <v>3061350</v>
      </c>
      <c r="Q1436" s="16" t="s">
        <v>25</v>
      </c>
      <c r="R1436" t="s">
        <v>14010</v>
      </c>
    </row>
    <row r="1437" spans="1:22">
      <c r="A1437" t="s">
        <v>13986</v>
      </c>
      <c r="B1437" t="s">
        <v>13986</v>
      </c>
      <c r="C1437" t="s">
        <v>14021</v>
      </c>
      <c r="D1437" s="16" t="s">
        <v>13994</v>
      </c>
      <c r="E1437" s="14" t="s">
        <v>13988</v>
      </c>
      <c r="F1437" t="s">
        <v>13993</v>
      </c>
      <c r="G1437" s="17" t="str">
        <f>Config!$B$3</f>
        <v>SCH/R_IEC.SchLib</v>
      </c>
      <c r="H1437" s="17" t="s">
        <v>10797</v>
      </c>
      <c r="I1437" s="18" t="s">
        <v>14759</v>
      </c>
      <c r="J1437" s="16" t="s">
        <v>14066</v>
      </c>
      <c r="K1437" s="18" t="s">
        <v>14759</v>
      </c>
      <c r="L1437" s="16" t="s">
        <v>14762</v>
      </c>
      <c r="N1437" t="s">
        <v>14011</v>
      </c>
      <c r="O1437" s="16" t="s">
        <v>13994</v>
      </c>
      <c r="P1437">
        <v>3061363</v>
      </c>
      <c r="Q1437" s="16" t="s">
        <v>25</v>
      </c>
      <c r="R1437" t="s">
        <v>14012</v>
      </c>
    </row>
    <row r="1438" spans="1:22">
      <c r="A1438" t="s">
        <v>13987</v>
      </c>
      <c r="B1438" t="s">
        <v>13987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14065</v>
      </c>
      <c r="K1438" s="16"/>
      <c r="L1438" s="16"/>
      <c r="N1438" t="s">
        <v>14022</v>
      </c>
      <c r="O1438" s="16" t="s">
        <v>14023</v>
      </c>
      <c r="P1438">
        <v>3576</v>
      </c>
      <c r="Q1438" s="16" t="s">
        <v>25</v>
      </c>
      <c r="R1438" t="s">
        <v>14024</v>
      </c>
      <c r="S1438" s="16" t="s">
        <v>14023</v>
      </c>
      <c r="T1438">
        <v>3576</v>
      </c>
      <c r="U1438" s="16" t="s">
        <v>4349</v>
      </c>
      <c r="V1438" t="s">
        <v>14028</v>
      </c>
    </row>
    <row r="1439" spans="1:22">
      <c r="A1439" t="s">
        <v>14025</v>
      </c>
      <c r="B1439" t="s">
        <v>14025</v>
      </c>
      <c r="D1439" s="16"/>
      <c r="E1439" s="14" t="s">
        <v>13988</v>
      </c>
      <c r="G1439" s="17" t="str">
        <f>Config!$B$3</f>
        <v>SCH/R_IEC.SchLib</v>
      </c>
      <c r="H1439" t="s">
        <v>10788</v>
      </c>
      <c r="I1439" s="18" t="s">
        <v>14758</v>
      </c>
      <c r="J1439" s="16" t="s">
        <v>14064</v>
      </c>
      <c r="K1439" s="16"/>
      <c r="L1439" s="16"/>
      <c r="N1439" t="s">
        <v>14026</v>
      </c>
      <c r="O1439" s="16" t="s">
        <v>14023</v>
      </c>
      <c r="P1439">
        <v>3574</v>
      </c>
      <c r="Q1439" s="16" t="s">
        <v>25</v>
      </c>
      <c r="R1439" t="s">
        <v>14027</v>
      </c>
      <c r="S1439" s="16" t="s">
        <v>14023</v>
      </c>
      <c r="T1439">
        <v>3574</v>
      </c>
      <c r="U1439" s="16" t="s">
        <v>4349</v>
      </c>
      <c r="V1439" t="s">
        <v>14029</v>
      </c>
    </row>
    <row r="1440" spans="1:22">
      <c r="A1440" t="s">
        <v>13978</v>
      </c>
      <c r="B1440" t="s">
        <v>13978</v>
      </c>
      <c r="D1440" s="16"/>
      <c r="E1440" s="14" t="s">
        <v>13988</v>
      </c>
      <c r="G1440" s="17" t="str">
        <f>Config!$B$3</f>
        <v>SCH/R_IEC.SchLib</v>
      </c>
      <c r="H1440" t="s">
        <v>10789</v>
      </c>
      <c r="I1440" s="18"/>
      <c r="J1440" s="40"/>
      <c r="K1440" s="40"/>
      <c r="L1440" s="40"/>
      <c r="O1440" s="16"/>
      <c r="Q1440" s="16"/>
    </row>
    <row r="1441" spans="1:28">
      <c r="A1441" t="s">
        <v>8042</v>
      </c>
      <c r="B1441" t="s">
        <v>8042</v>
      </c>
      <c r="C1441" t="s">
        <v>8047</v>
      </c>
      <c r="D1441" s="16" t="s">
        <v>4368</v>
      </c>
      <c r="E1441" s="14" t="s">
        <v>8045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8045</v>
      </c>
      <c r="M1441">
        <v>1000</v>
      </c>
      <c r="N1441" t="s">
        <v>8050</v>
      </c>
      <c r="O1441" t="s">
        <v>4546</v>
      </c>
      <c r="P1441" t="s">
        <v>8051</v>
      </c>
      <c r="Q1441" s="16" t="s">
        <v>25</v>
      </c>
      <c r="R1441" t="s">
        <v>8052</v>
      </c>
    </row>
    <row r="1442" spans="1:28">
      <c r="A1442" t="s">
        <v>8043</v>
      </c>
      <c r="B1442" t="s">
        <v>8043</v>
      </c>
      <c r="C1442" t="s">
        <v>8048</v>
      </c>
      <c r="D1442" s="16" t="s">
        <v>4368</v>
      </c>
      <c r="E1442" s="14" t="s">
        <v>8046</v>
      </c>
      <c r="F1442" t="s">
        <v>163</v>
      </c>
      <c r="G1442" s="17" t="str">
        <f>Config!$B$3</f>
        <v>SCH/R_IEC.SchLib</v>
      </c>
      <c r="H1442" t="s">
        <v>8044</v>
      </c>
      <c r="I1442" s="18" t="s">
        <v>8049</v>
      </c>
      <c r="J1442" t="s">
        <v>8046</v>
      </c>
      <c r="M1442">
        <v>1000</v>
      </c>
      <c r="N1442" t="s">
        <v>8050</v>
      </c>
      <c r="O1442" s="16" t="s">
        <v>4546</v>
      </c>
      <c r="P1442" t="s">
        <v>8053</v>
      </c>
      <c r="Q1442" s="16" t="s">
        <v>25</v>
      </c>
      <c r="R1442" t="s">
        <v>8054</v>
      </c>
    </row>
    <row r="1443" spans="1:28">
      <c r="A1443" s="16" t="s">
        <v>8115</v>
      </c>
      <c r="B1443" s="16" t="s">
        <v>8115</v>
      </c>
      <c r="C1443" s="16" t="s">
        <v>8286</v>
      </c>
      <c r="D1443" s="16" t="s">
        <v>21</v>
      </c>
      <c r="E1443" s="36" t="s">
        <v>8456</v>
      </c>
      <c r="F1443" s="16" t="s">
        <v>23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0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6"/>
      <c r="Z1443" s="17"/>
      <c r="AA1443" s="17"/>
      <c r="AB1443" s="17"/>
    </row>
    <row r="1444" spans="1:28">
      <c r="A1444" s="16" t="s">
        <v>8116</v>
      </c>
      <c r="B1444" s="16" t="s">
        <v>8116</v>
      </c>
      <c r="C1444" s="16" t="s">
        <v>8287</v>
      </c>
      <c r="D1444" s="16" t="s">
        <v>21</v>
      </c>
      <c r="E1444" s="36" t="s">
        <v>8456</v>
      </c>
      <c r="F1444" s="16" t="s">
        <v>29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8117</v>
      </c>
      <c r="B1445" s="16" t="s">
        <v>8117</v>
      </c>
      <c r="C1445" s="16" t="s">
        <v>8288</v>
      </c>
      <c r="D1445" s="16" t="s">
        <v>21</v>
      </c>
      <c r="E1445" s="36" t="s">
        <v>8456</v>
      </c>
      <c r="F1445" s="16" t="s">
        <v>1042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1.1000000000000001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8118</v>
      </c>
      <c r="B1446" s="16" t="s">
        <v>8118</v>
      </c>
      <c r="C1446" s="16" t="s">
        <v>8289</v>
      </c>
      <c r="D1446" s="16" t="s">
        <v>21</v>
      </c>
      <c r="E1446" s="36" t="s">
        <v>8456</v>
      </c>
      <c r="F1446" s="16" t="s">
        <v>31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1.2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8119</v>
      </c>
      <c r="B1447" s="16" t="s">
        <v>8119</v>
      </c>
      <c r="C1447" s="16" t="s">
        <v>8290</v>
      </c>
      <c r="D1447" s="16" t="s">
        <v>21</v>
      </c>
      <c r="E1447" s="36" t="s">
        <v>8456</v>
      </c>
      <c r="F1447" s="16" t="s">
        <v>1052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1.3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8120</v>
      </c>
      <c r="B1448" s="16" t="s">
        <v>8120</v>
      </c>
      <c r="C1448" s="16" t="s">
        <v>8291</v>
      </c>
      <c r="D1448" s="16" t="s">
        <v>21</v>
      </c>
      <c r="E1448" s="36" t="s">
        <v>8456</v>
      </c>
      <c r="F1448" s="16" t="s">
        <v>33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1.5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8121</v>
      </c>
      <c r="B1449" s="16" t="s">
        <v>8121</v>
      </c>
      <c r="C1449" s="16" t="s">
        <v>8292</v>
      </c>
      <c r="D1449" s="16" t="s">
        <v>21</v>
      </c>
      <c r="E1449" s="36" t="s">
        <v>8456</v>
      </c>
      <c r="F1449" s="16" t="s">
        <v>1062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1.6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8122</v>
      </c>
      <c r="B1450" s="16" t="s">
        <v>8122</v>
      </c>
      <c r="C1450" s="16" t="s">
        <v>8293</v>
      </c>
      <c r="D1450" s="16" t="s">
        <v>21</v>
      </c>
      <c r="E1450" s="36" t="s">
        <v>8456</v>
      </c>
      <c r="F1450" s="16" t="s">
        <v>35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1.8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8123</v>
      </c>
      <c r="B1451" s="16" t="s">
        <v>8123</v>
      </c>
      <c r="C1451" s="16" t="s">
        <v>8294</v>
      </c>
      <c r="D1451" s="16" t="s">
        <v>21</v>
      </c>
      <c r="E1451" s="36" t="s">
        <v>8456</v>
      </c>
      <c r="F1451" s="16" t="s">
        <v>1070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8124</v>
      </c>
      <c r="B1452" s="16" t="s">
        <v>8124</v>
      </c>
      <c r="C1452" s="16" t="s">
        <v>8295</v>
      </c>
      <c r="D1452" s="16" t="s">
        <v>21</v>
      </c>
      <c r="E1452" s="36" t="s">
        <v>8456</v>
      </c>
      <c r="F1452" s="16" t="s">
        <v>37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2.2000000000000002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8125</v>
      </c>
      <c r="B1453" s="16" t="s">
        <v>8125</v>
      </c>
      <c r="C1453" s="16" t="s">
        <v>8296</v>
      </c>
      <c r="D1453" s="16" t="s">
        <v>21</v>
      </c>
      <c r="E1453" s="36" t="s">
        <v>8456</v>
      </c>
      <c r="F1453" s="16" t="s">
        <v>1080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2.4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8126</v>
      </c>
      <c r="B1454" s="16" t="s">
        <v>8126</v>
      </c>
      <c r="C1454" s="16" t="s">
        <v>8297</v>
      </c>
      <c r="D1454" s="16" t="s">
        <v>21</v>
      </c>
      <c r="E1454" s="36" t="s">
        <v>8456</v>
      </c>
      <c r="F1454" s="16" t="s">
        <v>39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2.7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8127</v>
      </c>
      <c r="B1455" s="16" t="s">
        <v>8127</v>
      </c>
      <c r="C1455" s="16" t="s">
        <v>8298</v>
      </c>
      <c r="D1455" s="16" t="s">
        <v>21</v>
      </c>
      <c r="E1455" s="36" t="s">
        <v>8456</v>
      </c>
      <c r="F1455" s="16" t="s">
        <v>1088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8128</v>
      </c>
      <c r="B1456" s="16" t="s">
        <v>8128</v>
      </c>
      <c r="C1456" s="16" t="s">
        <v>8299</v>
      </c>
      <c r="D1456" s="16" t="s">
        <v>21</v>
      </c>
      <c r="E1456" s="36" t="s">
        <v>8456</v>
      </c>
      <c r="F1456" s="16" t="s">
        <v>41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3.3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8129</v>
      </c>
      <c r="B1457" s="16" t="s">
        <v>8129</v>
      </c>
      <c r="C1457" s="16" t="s">
        <v>8300</v>
      </c>
      <c r="D1457" s="16" t="s">
        <v>21</v>
      </c>
      <c r="E1457" s="36" t="s">
        <v>8456</v>
      </c>
      <c r="F1457" s="16" t="s">
        <v>1098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3.6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8130</v>
      </c>
      <c r="B1458" s="16" t="s">
        <v>8130</v>
      </c>
      <c r="C1458" s="16" t="s">
        <v>8301</v>
      </c>
      <c r="D1458" s="16" t="s">
        <v>21</v>
      </c>
      <c r="E1458" s="36" t="s">
        <v>8456</v>
      </c>
      <c r="F1458" s="16" t="s">
        <v>43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3.9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8131</v>
      </c>
      <c r="B1459" s="16" t="s">
        <v>8131</v>
      </c>
      <c r="C1459" s="16" t="s">
        <v>8302</v>
      </c>
      <c r="D1459" s="16" t="s">
        <v>21</v>
      </c>
      <c r="E1459" s="36" t="s">
        <v>8456</v>
      </c>
      <c r="F1459" s="16" t="s">
        <v>1106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4.3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8132</v>
      </c>
      <c r="B1460" s="16" t="s">
        <v>8132</v>
      </c>
      <c r="C1460" s="16" t="s">
        <v>8303</v>
      </c>
      <c r="D1460" s="16" t="s">
        <v>21</v>
      </c>
      <c r="E1460" s="36" t="s">
        <v>8456</v>
      </c>
      <c r="F1460" s="16" t="s">
        <v>45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4.7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8133</v>
      </c>
      <c r="B1461" s="16" t="s">
        <v>8133</v>
      </c>
      <c r="C1461" s="16" t="s">
        <v>8304</v>
      </c>
      <c r="D1461" s="16" t="s">
        <v>21</v>
      </c>
      <c r="E1461" s="36" t="s">
        <v>8456</v>
      </c>
      <c r="F1461" s="16" t="s">
        <v>1116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5.0999999999999996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8134</v>
      </c>
      <c r="B1462" s="16" t="s">
        <v>8134</v>
      </c>
      <c r="C1462" s="16" t="s">
        <v>8305</v>
      </c>
      <c r="D1462" s="16" t="s">
        <v>21</v>
      </c>
      <c r="E1462" s="36" t="s">
        <v>8456</v>
      </c>
      <c r="F1462" s="16" t="s">
        <v>47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5.6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8135</v>
      </c>
      <c r="B1463" s="16" t="s">
        <v>8135</v>
      </c>
      <c r="C1463" s="16" t="s">
        <v>8306</v>
      </c>
      <c r="D1463" s="16" t="s">
        <v>21</v>
      </c>
      <c r="E1463" s="36" t="s">
        <v>8456</v>
      </c>
      <c r="F1463" s="16" t="s">
        <v>1128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6.2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8136</v>
      </c>
      <c r="B1464" s="16" t="s">
        <v>8136</v>
      </c>
      <c r="C1464" s="16" t="s">
        <v>8307</v>
      </c>
      <c r="D1464" s="16" t="s">
        <v>21</v>
      </c>
      <c r="E1464" s="36" t="s">
        <v>8456</v>
      </c>
      <c r="F1464" s="16" t="s">
        <v>49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6.8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8137</v>
      </c>
      <c r="B1465" s="16" t="s">
        <v>8137</v>
      </c>
      <c r="C1465" s="16" t="s">
        <v>8308</v>
      </c>
      <c r="D1465" s="16" t="s">
        <v>21</v>
      </c>
      <c r="E1465" s="36" t="s">
        <v>8456</v>
      </c>
      <c r="F1465" s="16" t="s">
        <v>1138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7.5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8138</v>
      </c>
      <c r="B1466" s="16" t="s">
        <v>8138</v>
      </c>
      <c r="C1466" s="16" t="s">
        <v>8309</v>
      </c>
      <c r="D1466" s="16" t="s">
        <v>21</v>
      </c>
      <c r="E1466" s="36" t="s">
        <v>8456</v>
      </c>
      <c r="F1466" s="16" t="s">
        <v>51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8.1999999999999993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8139</v>
      </c>
      <c r="B1467" s="16" t="s">
        <v>8139</v>
      </c>
      <c r="C1467" s="16" t="s">
        <v>8310</v>
      </c>
      <c r="D1467" s="16" t="s">
        <v>21</v>
      </c>
      <c r="E1467" s="36" t="s">
        <v>8456</v>
      </c>
      <c r="F1467" s="16" t="s">
        <v>1148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19">
        <v>9.1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8140</v>
      </c>
      <c r="B1468" s="16" t="s">
        <v>8140</v>
      </c>
      <c r="C1468" s="16" t="s">
        <v>8311</v>
      </c>
      <c r="D1468" s="16" t="s">
        <v>21</v>
      </c>
      <c r="E1468" s="36" t="s">
        <v>8456</v>
      </c>
      <c r="F1468" s="16" t="s">
        <v>53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10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8141</v>
      </c>
      <c r="B1469" s="16" t="s">
        <v>8141</v>
      </c>
      <c r="C1469" s="16" t="s">
        <v>8312</v>
      </c>
      <c r="D1469" s="16" t="s">
        <v>21</v>
      </c>
      <c r="E1469" s="36" t="s">
        <v>8456</v>
      </c>
      <c r="F1469" s="16" t="s">
        <v>57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11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8142</v>
      </c>
      <c r="B1470" s="16" t="s">
        <v>8142</v>
      </c>
      <c r="C1470" s="16" t="s">
        <v>8313</v>
      </c>
      <c r="D1470" s="16" t="s">
        <v>21</v>
      </c>
      <c r="E1470" s="36" t="s">
        <v>8456</v>
      </c>
      <c r="F1470" s="16" t="s">
        <v>59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12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8143</v>
      </c>
      <c r="B1471" s="16" t="s">
        <v>8143</v>
      </c>
      <c r="C1471" s="16" t="s">
        <v>8314</v>
      </c>
      <c r="D1471" s="16" t="s">
        <v>21</v>
      </c>
      <c r="E1471" s="36" t="s">
        <v>8456</v>
      </c>
      <c r="F1471" s="16" t="s">
        <v>61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13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8144</v>
      </c>
      <c r="B1472" s="16" t="s">
        <v>8144</v>
      </c>
      <c r="C1472" s="16" t="s">
        <v>8315</v>
      </c>
      <c r="D1472" s="16" t="s">
        <v>21</v>
      </c>
      <c r="E1472" s="36" t="s">
        <v>8456</v>
      </c>
      <c r="F1472" s="16" t="s">
        <v>63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15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8145</v>
      </c>
      <c r="B1473" s="16" t="s">
        <v>8145</v>
      </c>
      <c r="C1473" s="16" t="s">
        <v>8316</v>
      </c>
      <c r="D1473" s="16" t="s">
        <v>21</v>
      </c>
      <c r="E1473" s="36" t="s">
        <v>8456</v>
      </c>
      <c r="F1473" s="16" t="s">
        <v>65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16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8146</v>
      </c>
      <c r="B1474" s="16" t="s">
        <v>8146</v>
      </c>
      <c r="C1474" s="16" t="s">
        <v>8317</v>
      </c>
      <c r="D1474" s="16" t="s">
        <v>21</v>
      </c>
      <c r="E1474" s="36" t="s">
        <v>8456</v>
      </c>
      <c r="F1474" s="16" t="s">
        <v>67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18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8147</v>
      </c>
      <c r="B1475" s="16" t="s">
        <v>8147</v>
      </c>
      <c r="C1475" s="16" t="s">
        <v>8318</v>
      </c>
      <c r="D1475" s="16" t="s">
        <v>21</v>
      </c>
      <c r="E1475" s="36" t="s">
        <v>8456</v>
      </c>
      <c r="F1475" s="16" t="s">
        <v>69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20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6"/>
      <c r="X1475" s="17"/>
      <c r="Y1475" s="16"/>
      <c r="Z1475" s="17"/>
      <c r="AA1475" s="16"/>
      <c r="AB1475" s="17"/>
    </row>
    <row r="1476" spans="1:28">
      <c r="A1476" s="16" t="s">
        <v>8148</v>
      </c>
      <c r="B1476" s="16" t="s">
        <v>8148</v>
      </c>
      <c r="C1476" s="16" t="s">
        <v>8319</v>
      </c>
      <c r="D1476" s="16" t="s">
        <v>21</v>
      </c>
      <c r="E1476" s="36" t="s">
        <v>8456</v>
      </c>
      <c r="F1476" s="16" t="s">
        <v>71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22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6"/>
      <c r="Z1476" s="25"/>
      <c r="AA1476" s="17"/>
      <c r="AB1476" s="17"/>
    </row>
    <row r="1477" spans="1:28">
      <c r="A1477" s="16" t="s">
        <v>8149</v>
      </c>
      <c r="B1477" s="16" t="s">
        <v>8149</v>
      </c>
      <c r="C1477" s="16" t="s">
        <v>8320</v>
      </c>
      <c r="D1477" s="16" t="s">
        <v>21</v>
      </c>
      <c r="E1477" s="36" t="s">
        <v>8456</v>
      </c>
      <c r="F1477" s="16" t="s">
        <v>75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24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8150</v>
      </c>
      <c r="B1478" s="16" t="s">
        <v>8150</v>
      </c>
      <c r="C1478" s="16" t="s">
        <v>8321</v>
      </c>
      <c r="D1478" s="16" t="s">
        <v>21</v>
      </c>
      <c r="E1478" s="36" t="s">
        <v>8456</v>
      </c>
      <c r="F1478" s="16" t="s">
        <v>77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27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8151</v>
      </c>
      <c r="B1479" s="16" t="s">
        <v>8151</v>
      </c>
      <c r="C1479" s="16" t="s">
        <v>8322</v>
      </c>
      <c r="D1479" s="16" t="s">
        <v>21</v>
      </c>
      <c r="E1479" s="36" t="s">
        <v>8456</v>
      </c>
      <c r="F1479" s="16" t="s">
        <v>79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30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8152</v>
      </c>
      <c r="B1480" s="16" t="s">
        <v>8152</v>
      </c>
      <c r="C1480" s="16" t="s">
        <v>8323</v>
      </c>
      <c r="D1480" s="16" t="s">
        <v>21</v>
      </c>
      <c r="E1480" s="36" t="s">
        <v>8456</v>
      </c>
      <c r="F1480" s="16" t="s">
        <v>81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33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8153</v>
      </c>
      <c r="B1481" s="16" t="s">
        <v>8153</v>
      </c>
      <c r="C1481" s="16" t="s">
        <v>8324</v>
      </c>
      <c r="D1481" s="16" t="s">
        <v>21</v>
      </c>
      <c r="E1481" s="36" t="s">
        <v>8456</v>
      </c>
      <c r="F1481" s="16" t="s">
        <v>83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36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8154</v>
      </c>
      <c r="B1482" s="16" t="s">
        <v>8154</v>
      </c>
      <c r="C1482" s="16" t="s">
        <v>8325</v>
      </c>
      <c r="D1482" s="16" t="s">
        <v>21</v>
      </c>
      <c r="E1482" s="36" t="s">
        <v>8456</v>
      </c>
      <c r="F1482" s="16" t="s">
        <v>85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39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8155</v>
      </c>
      <c r="B1483" s="16" t="s">
        <v>8155</v>
      </c>
      <c r="C1483" s="16" t="s">
        <v>8326</v>
      </c>
      <c r="D1483" s="16" t="s">
        <v>21</v>
      </c>
      <c r="E1483" s="36" t="s">
        <v>8456</v>
      </c>
      <c r="F1483" s="16" t="s">
        <v>87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43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8156</v>
      </c>
      <c r="B1484" s="16" t="s">
        <v>8156</v>
      </c>
      <c r="C1484" s="16" t="s">
        <v>8327</v>
      </c>
      <c r="D1484" s="16" t="s">
        <v>21</v>
      </c>
      <c r="E1484" s="36" t="s">
        <v>8456</v>
      </c>
      <c r="F1484" s="16" t="s">
        <v>89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47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8157</v>
      </c>
      <c r="B1485" s="16" t="s">
        <v>8157</v>
      </c>
      <c r="C1485" s="16" t="s">
        <v>8328</v>
      </c>
      <c r="D1485" s="16" t="s">
        <v>21</v>
      </c>
      <c r="E1485" s="36" t="s">
        <v>8456</v>
      </c>
      <c r="F1485" s="16" t="s">
        <v>91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51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8158</v>
      </c>
      <c r="B1486" s="16" t="s">
        <v>8158</v>
      </c>
      <c r="C1486" s="16" t="s">
        <v>8329</v>
      </c>
      <c r="D1486" s="16" t="s">
        <v>21</v>
      </c>
      <c r="E1486" s="36" t="s">
        <v>8456</v>
      </c>
      <c r="F1486" s="16" t="s">
        <v>93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56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8159</v>
      </c>
      <c r="B1487" s="16" t="s">
        <v>8159</v>
      </c>
      <c r="C1487" s="16" t="s">
        <v>8330</v>
      </c>
      <c r="D1487" s="16" t="s">
        <v>21</v>
      </c>
      <c r="E1487" s="36" t="s">
        <v>8456</v>
      </c>
      <c r="F1487" s="16" t="s">
        <v>95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62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8160</v>
      </c>
      <c r="B1488" s="16" t="s">
        <v>8160</v>
      </c>
      <c r="C1488" s="16" t="s">
        <v>8331</v>
      </c>
      <c r="D1488" s="16" t="s">
        <v>21</v>
      </c>
      <c r="E1488" s="36" t="s">
        <v>8456</v>
      </c>
      <c r="F1488" s="16" t="s">
        <v>97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68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8161</v>
      </c>
      <c r="B1489" s="16" t="s">
        <v>8161</v>
      </c>
      <c r="C1489" s="16" t="s">
        <v>8332</v>
      </c>
      <c r="D1489" s="16" t="s">
        <v>21</v>
      </c>
      <c r="E1489" s="36" t="s">
        <v>8456</v>
      </c>
      <c r="F1489" s="16" t="s">
        <v>99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75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6"/>
      <c r="Z1489" s="25"/>
      <c r="AA1489" s="17"/>
      <c r="AB1489" s="17"/>
    </row>
    <row r="1490" spans="1:28">
      <c r="A1490" s="16" t="s">
        <v>8162</v>
      </c>
      <c r="B1490" s="16" t="s">
        <v>8162</v>
      </c>
      <c r="C1490" s="16" t="s">
        <v>8333</v>
      </c>
      <c r="D1490" s="16" t="s">
        <v>21</v>
      </c>
      <c r="E1490" s="36" t="s">
        <v>8456</v>
      </c>
      <c r="F1490" s="16" t="s">
        <v>101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82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6"/>
      <c r="Y1490" s="16"/>
      <c r="AA1490" s="17"/>
      <c r="AB1490" s="17"/>
    </row>
    <row r="1491" spans="1:28">
      <c r="A1491" s="16" t="s">
        <v>8163</v>
      </c>
      <c r="B1491" s="16" t="s">
        <v>8163</v>
      </c>
      <c r="C1491" s="16" t="s">
        <v>8334</v>
      </c>
      <c r="D1491" s="16" t="s">
        <v>21</v>
      </c>
      <c r="E1491" s="36" t="s">
        <v>8456</v>
      </c>
      <c r="F1491" s="16" t="s">
        <v>103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91</v>
      </c>
      <c r="N1491" s="19" t="s">
        <v>8472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8164</v>
      </c>
      <c r="B1492" s="16" t="s">
        <v>8164</v>
      </c>
      <c r="C1492" s="16" t="s">
        <v>8335</v>
      </c>
      <c r="D1492" s="16" t="s">
        <v>21</v>
      </c>
      <c r="E1492" s="36" t="s">
        <v>8456</v>
      </c>
      <c r="F1492" s="16" t="s">
        <v>105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100</v>
      </c>
      <c r="N1492" s="19" t="s">
        <v>8472</v>
      </c>
      <c r="O1492" s="16" t="s">
        <v>4414</v>
      </c>
      <c r="P1492" s="16" t="s">
        <v>8474</v>
      </c>
      <c r="Q1492" s="16" t="s">
        <v>25</v>
      </c>
      <c r="R1492" s="16" t="s">
        <v>10591</v>
      </c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8165</v>
      </c>
      <c r="B1493" s="16" t="s">
        <v>8165</v>
      </c>
      <c r="C1493" s="16" t="s">
        <v>8336</v>
      </c>
      <c r="D1493" s="16" t="s">
        <v>21</v>
      </c>
      <c r="E1493" s="36" t="s">
        <v>8456</v>
      </c>
      <c r="F1493" s="16" t="s">
        <v>109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110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8166</v>
      </c>
      <c r="B1494" s="16" t="s">
        <v>8166</v>
      </c>
      <c r="C1494" s="16" t="s">
        <v>8337</v>
      </c>
      <c r="D1494" s="16" t="s">
        <v>21</v>
      </c>
      <c r="E1494" s="36" t="s">
        <v>8456</v>
      </c>
      <c r="F1494" s="16" t="s">
        <v>111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120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8167</v>
      </c>
      <c r="B1495" s="16" t="s">
        <v>8167</v>
      </c>
      <c r="C1495" s="16" t="s">
        <v>8338</v>
      </c>
      <c r="D1495" s="16" t="s">
        <v>21</v>
      </c>
      <c r="E1495" s="36" t="s">
        <v>8456</v>
      </c>
      <c r="F1495" s="16" t="s">
        <v>113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130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8168</v>
      </c>
      <c r="B1496" s="16" t="s">
        <v>8168</v>
      </c>
      <c r="C1496" s="16" t="s">
        <v>8339</v>
      </c>
      <c r="D1496" s="16" t="s">
        <v>21</v>
      </c>
      <c r="E1496" s="36" t="s">
        <v>8456</v>
      </c>
      <c r="F1496" s="16" t="s">
        <v>115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150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8169</v>
      </c>
      <c r="B1497" s="16" t="s">
        <v>8169</v>
      </c>
      <c r="C1497" s="16" t="s">
        <v>8340</v>
      </c>
      <c r="D1497" s="16" t="s">
        <v>21</v>
      </c>
      <c r="E1497" s="36" t="s">
        <v>8456</v>
      </c>
      <c r="F1497" s="16" t="s">
        <v>117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160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8170</v>
      </c>
      <c r="B1498" s="16" t="s">
        <v>8170</v>
      </c>
      <c r="C1498" s="16" t="s">
        <v>8341</v>
      </c>
      <c r="D1498" s="16" t="s">
        <v>21</v>
      </c>
      <c r="E1498" s="36" t="s">
        <v>8456</v>
      </c>
      <c r="F1498" s="16" t="s">
        <v>119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180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8171</v>
      </c>
      <c r="B1499" s="16" t="s">
        <v>8171</v>
      </c>
      <c r="C1499" s="16" t="s">
        <v>8342</v>
      </c>
      <c r="D1499" s="16" t="s">
        <v>21</v>
      </c>
      <c r="E1499" s="36" t="s">
        <v>8456</v>
      </c>
      <c r="F1499" s="16" t="s">
        <v>123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200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8172</v>
      </c>
      <c r="B1500" s="16" t="s">
        <v>8172</v>
      </c>
      <c r="C1500" s="16" t="s">
        <v>8343</v>
      </c>
      <c r="D1500" s="16" t="s">
        <v>21</v>
      </c>
      <c r="E1500" s="36" t="s">
        <v>8456</v>
      </c>
      <c r="F1500" s="16" t="s">
        <v>125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220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6"/>
      <c r="X1500" s="17"/>
      <c r="Y1500" s="16"/>
      <c r="Z1500" s="17"/>
      <c r="AA1500" s="16"/>
      <c r="AB1500" s="17"/>
    </row>
    <row r="1501" spans="1:28">
      <c r="A1501" s="16" t="s">
        <v>8173</v>
      </c>
      <c r="B1501" s="16" t="s">
        <v>8173</v>
      </c>
      <c r="C1501" s="16" t="s">
        <v>8344</v>
      </c>
      <c r="D1501" s="16" t="s">
        <v>21</v>
      </c>
      <c r="E1501" s="36" t="s">
        <v>8456</v>
      </c>
      <c r="F1501" s="16" t="s">
        <v>129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240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7"/>
      <c r="X1501" s="17"/>
      <c r="Y1501" s="17"/>
      <c r="Z1501" s="17"/>
      <c r="AA1501" s="17"/>
      <c r="AB1501" s="17"/>
    </row>
    <row r="1502" spans="1:28">
      <c r="A1502" s="16" t="s">
        <v>8174</v>
      </c>
      <c r="B1502" s="16" t="s">
        <v>8174</v>
      </c>
      <c r="C1502" s="16" t="s">
        <v>8345</v>
      </c>
      <c r="D1502" s="16" t="s">
        <v>21</v>
      </c>
      <c r="E1502" s="36" t="s">
        <v>8456</v>
      </c>
      <c r="F1502" s="16" t="s">
        <v>131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270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6"/>
      <c r="X1502" s="17"/>
      <c r="Y1502" s="16"/>
      <c r="Z1502" s="17"/>
      <c r="AA1502" s="16"/>
      <c r="AB1502" s="17"/>
    </row>
    <row r="1503" spans="1:28">
      <c r="A1503" s="16" t="s">
        <v>8175</v>
      </c>
      <c r="B1503" s="16" t="s">
        <v>8175</v>
      </c>
      <c r="C1503" s="16" t="s">
        <v>8346</v>
      </c>
      <c r="D1503" s="16" t="s">
        <v>21</v>
      </c>
      <c r="E1503" s="36" t="s">
        <v>8456</v>
      </c>
      <c r="F1503" s="16" t="s">
        <v>133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300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8176</v>
      </c>
      <c r="B1504" s="16" t="s">
        <v>8176</v>
      </c>
      <c r="C1504" s="16" t="s">
        <v>8347</v>
      </c>
      <c r="D1504" s="16" t="s">
        <v>21</v>
      </c>
      <c r="E1504" s="36" t="s">
        <v>8456</v>
      </c>
      <c r="F1504" s="16" t="s">
        <v>137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330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6"/>
      <c r="X1504" s="17"/>
      <c r="Y1504" s="16"/>
      <c r="Z1504" s="17"/>
      <c r="AA1504" s="16"/>
      <c r="AB1504" s="17"/>
    </row>
    <row r="1505" spans="1:28">
      <c r="A1505" s="16" t="s">
        <v>8177</v>
      </c>
      <c r="B1505" s="16" t="s">
        <v>8177</v>
      </c>
      <c r="C1505" s="16" t="s">
        <v>8348</v>
      </c>
      <c r="D1505" s="16" t="s">
        <v>21</v>
      </c>
      <c r="E1505" s="36" t="s">
        <v>8456</v>
      </c>
      <c r="F1505" s="16" t="s">
        <v>139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360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8178</v>
      </c>
      <c r="B1506" s="16" t="s">
        <v>8178</v>
      </c>
      <c r="C1506" s="16" t="s">
        <v>8349</v>
      </c>
      <c r="D1506" s="16" t="s">
        <v>21</v>
      </c>
      <c r="E1506" s="36" t="s">
        <v>8456</v>
      </c>
      <c r="F1506" s="16" t="s">
        <v>141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390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8179</v>
      </c>
      <c r="B1507" s="16" t="s">
        <v>8179</v>
      </c>
      <c r="C1507" s="16" t="s">
        <v>8350</v>
      </c>
      <c r="D1507" s="16" t="s">
        <v>21</v>
      </c>
      <c r="E1507" s="36" t="s">
        <v>8456</v>
      </c>
      <c r="F1507" s="16" t="s">
        <v>143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430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8180</v>
      </c>
      <c r="B1508" s="16" t="s">
        <v>8180</v>
      </c>
      <c r="C1508" s="16" t="s">
        <v>8351</v>
      </c>
      <c r="D1508" s="16" t="s">
        <v>21</v>
      </c>
      <c r="E1508" s="36" t="s">
        <v>8456</v>
      </c>
      <c r="F1508" s="16" t="s">
        <v>145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470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8181</v>
      </c>
      <c r="B1509" s="16" t="s">
        <v>8181</v>
      </c>
      <c r="C1509" s="16" t="s">
        <v>8352</v>
      </c>
      <c r="D1509" s="16" t="s">
        <v>21</v>
      </c>
      <c r="E1509" s="36" t="s">
        <v>8456</v>
      </c>
      <c r="F1509" s="16" t="s">
        <v>149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510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8182</v>
      </c>
      <c r="B1510" s="16" t="s">
        <v>8182</v>
      </c>
      <c r="C1510" s="16" t="s">
        <v>8353</v>
      </c>
      <c r="D1510" s="16" t="s">
        <v>21</v>
      </c>
      <c r="E1510" s="36" t="s">
        <v>8456</v>
      </c>
      <c r="F1510" s="16" t="s">
        <v>151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560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8183</v>
      </c>
      <c r="B1511" s="16" t="s">
        <v>8183</v>
      </c>
      <c r="C1511" s="16" t="s">
        <v>8354</v>
      </c>
      <c r="D1511" s="16" t="s">
        <v>21</v>
      </c>
      <c r="E1511" s="36" t="s">
        <v>8456</v>
      </c>
      <c r="F1511" s="16" t="s">
        <v>153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620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8184</v>
      </c>
      <c r="B1512" s="16" t="s">
        <v>8184</v>
      </c>
      <c r="C1512" s="16" t="s">
        <v>8355</v>
      </c>
      <c r="D1512" s="16" t="s">
        <v>21</v>
      </c>
      <c r="E1512" s="36" t="s">
        <v>8456</v>
      </c>
      <c r="F1512" s="16" t="s">
        <v>155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680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8185</v>
      </c>
      <c r="B1513" s="16" t="s">
        <v>8185</v>
      </c>
      <c r="C1513" s="16" t="s">
        <v>8356</v>
      </c>
      <c r="D1513" s="16" t="s">
        <v>21</v>
      </c>
      <c r="E1513" s="36" t="s">
        <v>8456</v>
      </c>
      <c r="F1513" s="16" t="s">
        <v>157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750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8186</v>
      </c>
      <c r="B1514" s="16" t="s">
        <v>8186</v>
      </c>
      <c r="C1514" s="16" t="s">
        <v>8357</v>
      </c>
      <c r="D1514" s="16" t="s">
        <v>21</v>
      </c>
      <c r="E1514" s="36" t="s">
        <v>8456</v>
      </c>
      <c r="F1514" s="16" t="s">
        <v>159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820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8187</v>
      </c>
      <c r="B1515" s="16" t="s">
        <v>8187</v>
      </c>
      <c r="C1515" s="16" t="s">
        <v>8358</v>
      </c>
      <c r="D1515" s="16" t="s">
        <v>21</v>
      </c>
      <c r="E1515" s="36" t="s">
        <v>8456</v>
      </c>
      <c r="F1515" s="16" t="s">
        <v>161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910</v>
      </c>
      <c r="N1515" s="19" t="s">
        <v>8472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8188</v>
      </c>
      <c r="B1516" s="16" t="s">
        <v>8188</v>
      </c>
      <c r="C1516" s="16" t="s">
        <v>8359</v>
      </c>
      <c r="D1516" s="16" t="s">
        <v>21</v>
      </c>
      <c r="E1516" s="36" t="s">
        <v>8456</v>
      </c>
      <c r="F1516" s="16" t="s">
        <v>163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1000</v>
      </c>
      <c r="N1516" s="19" t="s">
        <v>8472</v>
      </c>
      <c r="O1516" s="16" t="s">
        <v>4414</v>
      </c>
      <c r="P1516" s="16" t="s">
        <v>8473</v>
      </c>
      <c r="Q1516" s="16" t="s">
        <v>25</v>
      </c>
      <c r="R1516" s="16" t="s">
        <v>10592</v>
      </c>
      <c r="S1516" s="16"/>
      <c r="T1516" s="16"/>
      <c r="U1516" s="16"/>
      <c r="V1516" s="16"/>
      <c r="W1516" s="17"/>
      <c r="X1516" s="17"/>
      <c r="Y1516" s="16"/>
      <c r="Z1516" s="17"/>
      <c r="AA1516" s="17"/>
      <c r="AB1516" s="17"/>
    </row>
    <row r="1517" spans="1:28">
      <c r="A1517" s="16" t="s">
        <v>8189</v>
      </c>
      <c r="B1517" s="16" t="s">
        <v>8189</v>
      </c>
      <c r="C1517" s="16" t="s">
        <v>8360</v>
      </c>
      <c r="D1517" s="16" t="s">
        <v>21</v>
      </c>
      <c r="E1517" s="36" t="s">
        <v>8456</v>
      </c>
      <c r="F1517" s="16" t="s">
        <v>165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1100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8190</v>
      </c>
      <c r="B1518" s="16" t="s">
        <v>8190</v>
      </c>
      <c r="C1518" s="16" t="s">
        <v>8361</v>
      </c>
      <c r="D1518" s="16" t="s">
        <v>21</v>
      </c>
      <c r="E1518" s="36" t="s">
        <v>8456</v>
      </c>
      <c r="F1518" s="16" t="s">
        <v>167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1200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8191</v>
      </c>
      <c r="B1519" s="16" t="s">
        <v>8191</v>
      </c>
      <c r="C1519" s="16" t="s">
        <v>8362</v>
      </c>
      <c r="D1519" s="16" t="s">
        <v>21</v>
      </c>
      <c r="E1519" s="36" t="s">
        <v>8456</v>
      </c>
      <c r="F1519" s="16" t="s">
        <v>169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1300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8192</v>
      </c>
      <c r="B1520" s="16" t="s">
        <v>8192</v>
      </c>
      <c r="C1520" s="16" t="s">
        <v>8363</v>
      </c>
      <c r="D1520" s="16" t="s">
        <v>21</v>
      </c>
      <c r="E1520" s="36" t="s">
        <v>8456</v>
      </c>
      <c r="F1520" s="16" t="s">
        <v>171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1500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6"/>
      <c r="X1520" s="17"/>
      <c r="Y1520" s="16"/>
      <c r="Z1520" s="17"/>
      <c r="AA1520" s="16"/>
      <c r="AB1520" s="17"/>
    </row>
    <row r="1521" spans="1:28">
      <c r="A1521" s="16" t="s">
        <v>8193</v>
      </c>
      <c r="B1521" s="16" t="s">
        <v>8193</v>
      </c>
      <c r="C1521" s="16" t="s">
        <v>8364</v>
      </c>
      <c r="D1521" s="16" t="s">
        <v>21</v>
      </c>
      <c r="E1521" s="36" t="s">
        <v>8456</v>
      </c>
      <c r="F1521" s="16" t="s">
        <v>175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1600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8194</v>
      </c>
      <c r="B1522" s="16" t="s">
        <v>8194</v>
      </c>
      <c r="C1522" s="16" t="s">
        <v>8365</v>
      </c>
      <c r="D1522" s="16" t="s">
        <v>21</v>
      </c>
      <c r="E1522" s="36" t="s">
        <v>8456</v>
      </c>
      <c r="F1522" s="16" t="s">
        <v>181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1800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8195</v>
      </c>
      <c r="B1523" s="16" t="s">
        <v>8195</v>
      </c>
      <c r="C1523" s="16" t="s">
        <v>8366</v>
      </c>
      <c r="D1523" s="16" t="s">
        <v>21</v>
      </c>
      <c r="E1523" s="36" t="s">
        <v>8456</v>
      </c>
      <c r="F1523" s="16" t="s">
        <v>183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2000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6"/>
      <c r="Z1523" s="17"/>
      <c r="AA1523" s="17"/>
      <c r="AB1523" s="17"/>
    </row>
    <row r="1524" spans="1:28">
      <c r="A1524" s="16" t="s">
        <v>8196</v>
      </c>
      <c r="B1524" s="16" t="s">
        <v>8196</v>
      </c>
      <c r="C1524" s="16" t="s">
        <v>8367</v>
      </c>
      <c r="D1524" s="16" t="s">
        <v>21</v>
      </c>
      <c r="E1524" s="36" t="s">
        <v>8456</v>
      </c>
      <c r="F1524" s="16" t="s">
        <v>187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2200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Y1524" s="16"/>
      <c r="AA1524" s="17"/>
      <c r="AB1524" s="17"/>
    </row>
    <row r="1525" spans="1:28">
      <c r="A1525" s="16" t="s">
        <v>8197</v>
      </c>
      <c r="B1525" s="16" t="s">
        <v>8197</v>
      </c>
      <c r="C1525" s="16" t="s">
        <v>8368</v>
      </c>
      <c r="D1525" s="16" t="s">
        <v>21</v>
      </c>
      <c r="E1525" s="36" t="s">
        <v>8456</v>
      </c>
      <c r="F1525" s="16" t="s">
        <v>191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2400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8198</v>
      </c>
      <c r="B1526" s="16" t="s">
        <v>8198</v>
      </c>
      <c r="C1526" s="16" t="s">
        <v>8369</v>
      </c>
      <c r="D1526" s="16" t="s">
        <v>21</v>
      </c>
      <c r="E1526" s="36" t="s">
        <v>8456</v>
      </c>
      <c r="F1526" s="16" t="s">
        <v>193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2700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8199</v>
      </c>
      <c r="B1527" s="16" t="s">
        <v>8199</v>
      </c>
      <c r="C1527" s="16" t="s">
        <v>8370</v>
      </c>
      <c r="D1527" s="16" t="s">
        <v>21</v>
      </c>
      <c r="E1527" s="36" t="s">
        <v>8456</v>
      </c>
      <c r="F1527" s="16" t="s">
        <v>197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3000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8200</v>
      </c>
      <c r="B1528" s="16" t="s">
        <v>8200</v>
      </c>
      <c r="C1528" s="16" t="s">
        <v>8371</v>
      </c>
      <c r="D1528" s="16" t="s">
        <v>21</v>
      </c>
      <c r="E1528" s="36" t="s">
        <v>8456</v>
      </c>
      <c r="F1528" s="16" t="s">
        <v>201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3300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8201</v>
      </c>
      <c r="B1529" s="16" t="s">
        <v>8201</v>
      </c>
      <c r="C1529" s="16" t="s">
        <v>8372</v>
      </c>
      <c r="D1529" s="16" t="s">
        <v>21</v>
      </c>
      <c r="E1529" s="36" t="s">
        <v>8456</v>
      </c>
      <c r="F1529" s="16" t="s">
        <v>203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3600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8202</v>
      </c>
      <c r="B1530" s="16" t="s">
        <v>8202</v>
      </c>
      <c r="C1530" s="16" t="s">
        <v>8373</v>
      </c>
      <c r="D1530" s="16" t="s">
        <v>21</v>
      </c>
      <c r="E1530" s="36" t="s">
        <v>8456</v>
      </c>
      <c r="F1530" s="16" t="s">
        <v>205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3900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8203</v>
      </c>
      <c r="B1531" s="16" t="s">
        <v>8203</v>
      </c>
      <c r="C1531" s="16" t="s">
        <v>8374</v>
      </c>
      <c r="D1531" s="16" t="s">
        <v>21</v>
      </c>
      <c r="E1531" s="36" t="s">
        <v>8456</v>
      </c>
      <c r="F1531" s="16" t="s">
        <v>207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4300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7"/>
      <c r="X1531" s="17"/>
      <c r="Y1531" s="17"/>
      <c r="Z1531" s="17"/>
      <c r="AA1531" s="17"/>
      <c r="AB1531" s="17"/>
    </row>
    <row r="1532" spans="1:28">
      <c r="A1532" s="16" t="s">
        <v>8204</v>
      </c>
      <c r="B1532" s="16" t="s">
        <v>8204</v>
      </c>
      <c r="C1532" s="16" t="s">
        <v>8375</v>
      </c>
      <c r="D1532" s="16" t="s">
        <v>21</v>
      </c>
      <c r="E1532" s="36" t="s">
        <v>8456</v>
      </c>
      <c r="F1532" s="16" t="s">
        <v>209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4700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8205</v>
      </c>
      <c r="B1533" s="16" t="s">
        <v>8205</v>
      </c>
      <c r="C1533" s="16" t="s">
        <v>8376</v>
      </c>
      <c r="D1533" s="16" t="s">
        <v>21</v>
      </c>
      <c r="E1533" s="36" t="s">
        <v>8456</v>
      </c>
      <c r="F1533" s="16" t="s">
        <v>213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5100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6"/>
      <c r="X1533" s="17"/>
      <c r="Y1533" s="16"/>
      <c r="Z1533" s="17"/>
      <c r="AA1533" s="16"/>
      <c r="AB1533" s="17"/>
    </row>
    <row r="1534" spans="1:28">
      <c r="A1534" s="16" t="s">
        <v>8206</v>
      </c>
      <c r="B1534" s="16" t="s">
        <v>8206</v>
      </c>
      <c r="C1534" s="16" t="s">
        <v>8377</v>
      </c>
      <c r="D1534" s="16" t="s">
        <v>21</v>
      </c>
      <c r="E1534" s="36" t="s">
        <v>8456</v>
      </c>
      <c r="F1534" s="16" t="s">
        <v>215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5600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8207</v>
      </c>
      <c r="B1535" s="16" t="s">
        <v>8207</v>
      </c>
      <c r="C1535" s="16" t="s">
        <v>8378</v>
      </c>
      <c r="D1535" s="16" t="s">
        <v>21</v>
      </c>
      <c r="E1535" s="36" t="s">
        <v>8456</v>
      </c>
      <c r="F1535" s="16" t="s">
        <v>217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6200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8208</v>
      </c>
      <c r="B1536" s="16" t="s">
        <v>8208</v>
      </c>
      <c r="C1536" s="16" t="s">
        <v>8379</v>
      </c>
      <c r="D1536" s="16" t="s">
        <v>21</v>
      </c>
      <c r="E1536" s="36" t="s">
        <v>8456</v>
      </c>
      <c r="F1536" s="16" t="s">
        <v>219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6800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8209</v>
      </c>
      <c r="B1537" s="16" t="s">
        <v>8209</v>
      </c>
      <c r="C1537" s="16" t="s">
        <v>8380</v>
      </c>
      <c r="D1537" s="16" t="s">
        <v>21</v>
      </c>
      <c r="E1537" s="36" t="s">
        <v>8456</v>
      </c>
      <c r="F1537" s="16" t="s">
        <v>221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7500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8210</v>
      </c>
      <c r="B1538" s="16" t="s">
        <v>8210</v>
      </c>
      <c r="C1538" s="16" t="s">
        <v>8381</v>
      </c>
      <c r="D1538" s="16" t="s">
        <v>21</v>
      </c>
      <c r="E1538" s="36" t="s">
        <v>8456</v>
      </c>
      <c r="F1538" s="16" t="s">
        <v>223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8200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8211</v>
      </c>
      <c r="B1539" s="16" t="s">
        <v>8211</v>
      </c>
      <c r="C1539" s="16" t="s">
        <v>8382</v>
      </c>
      <c r="D1539" s="16" t="s">
        <v>21</v>
      </c>
      <c r="E1539" s="36" t="s">
        <v>8456</v>
      </c>
      <c r="F1539" s="16" t="s">
        <v>225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9100</v>
      </c>
      <c r="N1539" s="19" t="s">
        <v>8472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8212</v>
      </c>
      <c r="B1540" s="16" t="s">
        <v>8212</v>
      </c>
      <c r="C1540" s="16" t="s">
        <v>8383</v>
      </c>
      <c r="D1540" s="16" t="s">
        <v>21</v>
      </c>
      <c r="E1540" s="36" t="s">
        <v>8456</v>
      </c>
      <c r="F1540" s="16" t="s">
        <v>229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10000</v>
      </c>
      <c r="N1540" s="19" t="s">
        <v>8472</v>
      </c>
      <c r="O1540" s="16" t="s">
        <v>4414</v>
      </c>
      <c r="P1540" s="16" t="s">
        <v>8457</v>
      </c>
      <c r="Q1540" s="16" t="s">
        <v>25</v>
      </c>
      <c r="R1540" s="16" t="s">
        <v>10592</v>
      </c>
      <c r="S1540" s="16" t="s">
        <v>4414</v>
      </c>
      <c r="T1540" s="16" t="s">
        <v>8457</v>
      </c>
      <c r="U1540" s="16" t="s">
        <v>8459</v>
      </c>
      <c r="V1540" s="16" t="s">
        <v>8460</v>
      </c>
      <c r="W1540" s="17"/>
      <c r="X1540" s="17"/>
      <c r="Y1540" s="16"/>
      <c r="Z1540" s="17"/>
      <c r="AA1540" s="17"/>
      <c r="AB1540" s="17"/>
    </row>
    <row r="1541" spans="1:28">
      <c r="A1541" s="16" t="s">
        <v>8213</v>
      </c>
      <c r="B1541" s="16" t="s">
        <v>8213</v>
      </c>
      <c r="C1541" s="16" t="s">
        <v>8384</v>
      </c>
      <c r="D1541" s="16" t="s">
        <v>21</v>
      </c>
      <c r="E1541" s="36" t="s">
        <v>8456</v>
      </c>
      <c r="F1541" s="16" t="s">
        <v>233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11000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8214</v>
      </c>
      <c r="B1542" s="16" t="s">
        <v>8214</v>
      </c>
      <c r="C1542" s="16" t="s">
        <v>8385</v>
      </c>
      <c r="D1542" s="16" t="s">
        <v>21</v>
      </c>
      <c r="E1542" s="36" t="s">
        <v>8456</v>
      </c>
      <c r="F1542" s="16" t="s">
        <v>235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12000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7"/>
      <c r="X1542" s="17"/>
      <c r="Y1542" s="17"/>
      <c r="Z1542" s="17"/>
      <c r="AA1542" s="17"/>
      <c r="AB1542" s="17"/>
    </row>
    <row r="1543" spans="1:28">
      <c r="A1543" s="16" t="s">
        <v>8215</v>
      </c>
      <c r="B1543" s="16" t="s">
        <v>8215</v>
      </c>
      <c r="C1543" s="16" t="s">
        <v>8386</v>
      </c>
      <c r="D1543" s="16" t="s">
        <v>21</v>
      </c>
      <c r="E1543" s="36" t="s">
        <v>8456</v>
      </c>
      <c r="F1543" s="16" t="s">
        <v>239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13000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X1543" s="17"/>
      <c r="Y1543" s="16"/>
      <c r="Z1543" s="16"/>
      <c r="AA1543" s="16"/>
      <c r="AB1543" s="17"/>
    </row>
    <row r="1544" spans="1:28">
      <c r="A1544" s="16" t="s">
        <v>8216</v>
      </c>
      <c r="B1544" s="16" t="s">
        <v>8216</v>
      </c>
      <c r="C1544" s="16" t="s">
        <v>8387</v>
      </c>
      <c r="D1544" s="16" t="s">
        <v>21</v>
      </c>
      <c r="E1544" s="36" t="s">
        <v>8456</v>
      </c>
      <c r="F1544" s="16" t="s">
        <v>243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15000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6"/>
      <c r="Y1544" s="16"/>
      <c r="AA1544" s="16"/>
      <c r="AB1544" s="17"/>
    </row>
    <row r="1545" spans="1:28">
      <c r="A1545" s="16" t="s">
        <v>8217</v>
      </c>
      <c r="B1545" s="16" t="s">
        <v>8217</v>
      </c>
      <c r="C1545" s="16" t="s">
        <v>8388</v>
      </c>
      <c r="D1545" s="16" t="s">
        <v>21</v>
      </c>
      <c r="E1545" s="36" t="s">
        <v>8456</v>
      </c>
      <c r="F1545" s="16" t="s">
        <v>247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16000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8218</v>
      </c>
      <c r="B1546" s="16" t="s">
        <v>8218</v>
      </c>
      <c r="C1546" s="16" t="s">
        <v>8389</v>
      </c>
      <c r="D1546" s="16" t="s">
        <v>21</v>
      </c>
      <c r="E1546" s="36" t="s">
        <v>8456</v>
      </c>
      <c r="F1546" s="16" t="s">
        <v>251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18000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8219</v>
      </c>
      <c r="B1547" s="16" t="s">
        <v>8219</v>
      </c>
      <c r="C1547" s="16" t="s">
        <v>8390</v>
      </c>
      <c r="D1547" s="16" t="s">
        <v>21</v>
      </c>
      <c r="E1547" s="36" t="s">
        <v>8456</v>
      </c>
      <c r="F1547" s="16" t="s">
        <v>255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20000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8220</v>
      </c>
      <c r="B1548" s="16" t="s">
        <v>8220</v>
      </c>
      <c r="C1548" s="16" t="s">
        <v>8391</v>
      </c>
      <c r="D1548" s="16" t="s">
        <v>21</v>
      </c>
      <c r="E1548" s="36" t="s">
        <v>8456</v>
      </c>
      <c r="F1548" s="16" t="s">
        <v>257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22000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6"/>
      <c r="X1548" s="17"/>
      <c r="Y1548" s="16"/>
      <c r="Z1548" s="16"/>
      <c r="AA1548" s="16"/>
      <c r="AB1548" s="17"/>
    </row>
    <row r="1549" spans="1:28">
      <c r="A1549" s="16" t="s">
        <v>8221</v>
      </c>
      <c r="B1549" s="16" t="s">
        <v>8221</v>
      </c>
      <c r="C1549" s="16" t="s">
        <v>8392</v>
      </c>
      <c r="D1549" s="16" t="s">
        <v>21</v>
      </c>
      <c r="E1549" s="36" t="s">
        <v>8456</v>
      </c>
      <c r="F1549" s="16" t="s">
        <v>259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24000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7"/>
      <c r="X1549" s="17"/>
      <c r="Y1549" s="17"/>
      <c r="Z1549" s="17"/>
      <c r="AA1549" s="17"/>
      <c r="AB1549" s="17"/>
    </row>
    <row r="1550" spans="1:28">
      <c r="A1550" s="16" t="s">
        <v>8222</v>
      </c>
      <c r="B1550" s="16" t="s">
        <v>8222</v>
      </c>
      <c r="C1550" s="16" t="s">
        <v>8393</v>
      </c>
      <c r="D1550" s="16" t="s">
        <v>21</v>
      </c>
      <c r="E1550" s="36" t="s">
        <v>8456</v>
      </c>
      <c r="F1550" s="16" t="s">
        <v>263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27000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6"/>
      <c r="Y1550" s="16"/>
      <c r="AA1550" s="17"/>
      <c r="AB1550" s="17"/>
    </row>
    <row r="1551" spans="1:28">
      <c r="A1551" s="16" t="s">
        <v>8223</v>
      </c>
      <c r="B1551" s="16" t="s">
        <v>8223</v>
      </c>
      <c r="C1551" s="16" t="s">
        <v>8394</v>
      </c>
      <c r="D1551" s="16" t="s">
        <v>21</v>
      </c>
      <c r="E1551" s="36" t="s">
        <v>8456</v>
      </c>
      <c r="F1551" s="16" t="s">
        <v>265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30000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8224</v>
      </c>
      <c r="B1552" s="16" t="s">
        <v>8224</v>
      </c>
      <c r="C1552" s="16" t="s">
        <v>8395</v>
      </c>
      <c r="D1552" s="16" t="s">
        <v>21</v>
      </c>
      <c r="E1552" s="36" t="s">
        <v>8456</v>
      </c>
      <c r="F1552" s="16" t="s">
        <v>267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33000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8225</v>
      </c>
      <c r="B1553" s="16" t="s">
        <v>8225</v>
      </c>
      <c r="C1553" s="16" t="s">
        <v>8396</v>
      </c>
      <c r="D1553" s="16" t="s">
        <v>21</v>
      </c>
      <c r="E1553" s="36" t="s">
        <v>8456</v>
      </c>
      <c r="F1553" s="16" t="s">
        <v>269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36000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8226</v>
      </c>
      <c r="B1554" s="16" t="s">
        <v>8226</v>
      </c>
      <c r="C1554" s="16" t="s">
        <v>8397</v>
      </c>
      <c r="D1554" s="16" t="s">
        <v>21</v>
      </c>
      <c r="E1554" s="36" t="s">
        <v>8456</v>
      </c>
      <c r="F1554" s="16" t="s">
        <v>273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39000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8227</v>
      </c>
      <c r="B1555" s="16" t="s">
        <v>8227</v>
      </c>
      <c r="C1555" s="16" t="s">
        <v>8398</v>
      </c>
      <c r="D1555" s="16" t="s">
        <v>21</v>
      </c>
      <c r="E1555" s="36" t="s">
        <v>8456</v>
      </c>
      <c r="F1555" s="16" t="s">
        <v>277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43000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8228</v>
      </c>
      <c r="B1556" s="16" t="s">
        <v>8228</v>
      </c>
      <c r="C1556" s="16" t="s">
        <v>8399</v>
      </c>
      <c r="D1556" s="16" t="s">
        <v>21</v>
      </c>
      <c r="E1556" s="36" t="s">
        <v>8456</v>
      </c>
      <c r="F1556" s="16" t="s">
        <v>279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47000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17"/>
      <c r="AA1556" s="16"/>
      <c r="AB1556" s="17"/>
    </row>
    <row r="1557" spans="1:28">
      <c r="A1557" s="16" t="s">
        <v>8229</v>
      </c>
      <c r="B1557" s="16" t="s">
        <v>8229</v>
      </c>
      <c r="C1557" s="16" t="s">
        <v>8400</v>
      </c>
      <c r="D1557" s="16" t="s">
        <v>21</v>
      </c>
      <c r="E1557" s="36" t="s">
        <v>8456</v>
      </c>
      <c r="F1557" s="16" t="s">
        <v>283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51000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X1557" s="17"/>
      <c r="Y1557" s="16"/>
      <c r="Z1557" s="25"/>
      <c r="AA1557" s="16"/>
      <c r="AB1557" s="17"/>
    </row>
    <row r="1558" spans="1:28">
      <c r="A1558" s="16" t="s">
        <v>8230</v>
      </c>
      <c r="B1558" s="16" t="s">
        <v>8230</v>
      </c>
      <c r="C1558" s="16" t="s">
        <v>8401</v>
      </c>
      <c r="D1558" s="16" t="s">
        <v>21</v>
      </c>
      <c r="E1558" s="36" t="s">
        <v>8456</v>
      </c>
      <c r="F1558" s="16" t="s">
        <v>287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56000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8231</v>
      </c>
      <c r="B1559" s="16" t="s">
        <v>8231</v>
      </c>
      <c r="C1559" s="16" t="s">
        <v>8402</v>
      </c>
      <c r="D1559" s="16" t="s">
        <v>21</v>
      </c>
      <c r="E1559" s="36" t="s">
        <v>8456</v>
      </c>
      <c r="F1559" s="16" t="s">
        <v>291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62000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7"/>
      <c r="X1559" s="17"/>
      <c r="Y1559" s="17"/>
      <c r="Z1559" s="17"/>
      <c r="AA1559" s="17"/>
      <c r="AB1559" s="17"/>
    </row>
    <row r="1560" spans="1:28">
      <c r="A1560" s="16" t="s">
        <v>8232</v>
      </c>
      <c r="B1560" s="16" t="s">
        <v>8232</v>
      </c>
      <c r="C1560" s="16" t="s">
        <v>8403</v>
      </c>
      <c r="D1560" s="16" t="s">
        <v>21</v>
      </c>
      <c r="E1560" s="36" t="s">
        <v>8456</v>
      </c>
      <c r="F1560" s="16" t="s">
        <v>295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68000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8233</v>
      </c>
      <c r="B1561" s="16" t="s">
        <v>8233</v>
      </c>
      <c r="C1561" s="16" t="s">
        <v>8404</v>
      </c>
      <c r="D1561" s="16" t="s">
        <v>21</v>
      </c>
      <c r="E1561" s="36" t="s">
        <v>8456</v>
      </c>
      <c r="F1561" s="16" t="s">
        <v>299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75000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6"/>
      <c r="Y1561" s="16"/>
      <c r="AA1561" s="16"/>
      <c r="AB1561" s="17"/>
    </row>
    <row r="1562" spans="1:28">
      <c r="A1562" s="16" t="s">
        <v>8234</v>
      </c>
      <c r="B1562" s="16" t="s">
        <v>8234</v>
      </c>
      <c r="C1562" s="16" t="s">
        <v>8405</v>
      </c>
      <c r="D1562" s="16" t="s">
        <v>21</v>
      </c>
      <c r="E1562" s="36" t="s">
        <v>8456</v>
      </c>
      <c r="F1562" s="16" t="s">
        <v>301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82000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8235</v>
      </c>
      <c r="B1563" s="16" t="s">
        <v>8235</v>
      </c>
      <c r="C1563" s="16" t="s">
        <v>8406</v>
      </c>
      <c r="D1563" s="16" t="s">
        <v>21</v>
      </c>
      <c r="E1563" s="36" t="s">
        <v>8456</v>
      </c>
      <c r="F1563" s="16" t="s">
        <v>303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91000</v>
      </c>
      <c r="N1563" s="19" t="s">
        <v>8472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8236</v>
      </c>
      <c r="B1564" s="16" t="s">
        <v>8236</v>
      </c>
      <c r="C1564" s="16" t="s">
        <v>8407</v>
      </c>
      <c r="D1564" s="16" t="s">
        <v>21</v>
      </c>
      <c r="E1564" s="36" t="s">
        <v>8456</v>
      </c>
      <c r="F1564" s="16" t="s">
        <v>305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100000</v>
      </c>
      <c r="N1564" s="19" t="s">
        <v>8472</v>
      </c>
      <c r="O1564" s="16" t="s">
        <v>4414</v>
      </c>
      <c r="P1564" s="16" t="s">
        <v>8458</v>
      </c>
      <c r="Q1564" s="16" t="s">
        <v>25</v>
      </c>
      <c r="R1564" t="s">
        <v>10592</v>
      </c>
      <c r="S1564" s="16" t="s">
        <v>4414</v>
      </c>
      <c r="T1564" s="16" t="s">
        <v>8458</v>
      </c>
      <c r="U1564" s="16" t="s">
        <v>8459</v>
      </c>
      <c r="V1564" s="16" t="s">
        <v>8460</v>
      </c>
      <c r="W1564" s="16"/>
      <c r="X1564" s="17"/>
      <c r="Y1564" s="16"/>
      <c r="Z1564" s="17"/>
      <c r="AA1564" s="16"/>
      <c r="AB1564" s="17"/>
    </row>
    <row r="1565" spans="1:28">
      <c r="A1565" s="16" t="s">
        <v>8237</v>
      </c>
      <c r="B1565" s="16" t="s">
        <v>8237</v>
      </c>
      <c r="C1565" s="16" t="s">
        <v>8408</v>
      </c>
      <c r="D1565" s="16" t="s">
        <v>21</v>
      </c>
      <c r="E1565" s="36" t="s">
        <v>8456</v>
      </c>
      <c r="F1565" s="16" t="s">
        <v>309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110000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8238</v>
      </c>
      <c r="B1566" s="16" t="s">
        <v>8238</v>
      </c>
      <c r="C1566" s="16" t="s">
        <v>8409</v>
      </c>
      <c r="D1566" s="16" t="s">
        <v>21</v>
      </c>
      <c r="E1566" s="36" t="s">
        <v>8456</v>
      </c>
      <c r="F1566" s="16" t="s">
        <v>313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120000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8239</v>
      </c>
      <c r="B1567" s="16" t="s">
        <v>8239</v>
      </c>
      <c r="C1567" s="16" t="s">
        <v>8410</v>
      </c>
      <c r="D1567" s="16" t="s">
        <v>21</v>
      </c>
      <c r="E1567" s="36" t="s">
        <v>8456</v>
      </c>
      <c r="F1567" s="16" t="s">
        <v>317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130000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8240</v>
      </c>
      <c r="B1568" s="16" t="s">
        <v>8240</v>
      </c>
      <c r="C1568" s="16" t="s">
        <v>8411</v>
      </c>
      <c r="D1568" s="16" t="s">
        <v>21</v>
      </c>
      <c r="E1568" s="36" t="s">
        <v>8456</v>
      </c>
      <c r="F1568" s="16" t="s">
        <v>321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150000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6"/>
      <c r="X1568" s="17"/>
      <c r="Y1568" s="16"/>
      <c r="Z1568" s="17"/>
      <c r="AA1568" s="16"/>
      <c r="AB1568" s="17"/>
    </row>
    <row r="1569" spans="1:28">
      <c r="A1569" s="16" t="s">
        <v>8241</v>
      </c>
      <c r="B1569" s="16" t="s">
        <v>8241</v>
      </c>
      <c r="C1569" s="16" t="s">
        <v>8412</v>
      </c>
      <c r="D1569" s="16" t="s">
        <v>21</v>
      </c>
      <c r="E1569" s="36" t="s">
        <v>8456</v>
      </c>
      <c r="F1569" s="16" t="s">
        <v>323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160000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8242</v>
      </c>
      <c r="B1570" s="16" t="s">
        <v>8242</v>
      </c>
      <c r="C1570" s="16" t="s">
        <v>8413</v>
      </c>
      <c r="D1570" s="16" t="s">
        <v>21</v>
      </c>
      <c r="E1570" s="36" t="s">
        <v>8456</v>
      </c>
      <c r="F1570" s="16" t="s">
        <v>327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180000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8243</v>
      </c>
      <c r="B1571" s="16" t="s">
        <v>8243</v>
      </c>
      <c r="C1571" s="16" t="s">
        <v>8414</v>
      </c>
      <c r="D1571" s="16" t="s">
        <v>21</v>
      </c>
      <c r="E1571" s="36" t="s">
        <v>8456</v>
      </c>
      <c r="F1571" s="16" t="s">
        <v>331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200000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8244</v>
      </c>
      <c r="B1572" s="16" t="s">
        <v>8244</v>
      </c>
      <c r="C1572" s="16" t="s">
        <v>8415</v>
      </c>
      <c r="D1572" s="16" t="s">
        <v>21</v>
      </c>
      <c r="E1572" s="36" t="s">
        <v>8456</v>
      </c>
      <c r="F1572" s="16" t="s">
        <v>333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220000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6"/>
      <c r="X1572" s="17"/>
      <c r="Y1572" s="16"/>
      <c r="Z1572" s="16"/>
      <c r="AA1572" s="16"/>
      <c r="AB1572" s="17"/>
    </row>
    <row r="1573" spans="1:28">
      <c r="A1573" s="16" t="s">
        <v>8245</v>
      </c>
      <c r="B1573" s="16" t="s">
        <v>8245</v>
      </c>
      <c r="C1573" s="16" t="s">
        <v>8416</v>
      </c>
      <c r="D1573" s="16" t="s">
        <v>21</v>
      </c>
      <c r="E1573" s="36" t="s">
        <v>8456</v>
      </c>
      <c r="F1573" s="16" t="s">
        <v>335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240000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8246</v>
      </c>
      <c r="B1574" s="16" t="s">
        <v>8246</v>
      </c>
      <c r="C1574" s="16" t="s">
        <v>8417</v>
      </c>
      <c r="D1574" s="16" t="s">
        <v>21</v>
      </c>
      <c r="E1574" s="36" t="s">
        <v>8456</v>
      </c>
      <c r="F1574" s="16" t="s">
        <v>337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270000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8247</v>
      </c>
      <c r="B1575" s="16" t="s">
        <v>8247</v>
      </c>
      <c r="C1575" s="16" t="s">
        <v>8418</v>
      </c>
      <c r="D1575" s="16" t="s">
        <v>21</v>
      </c>
      <c r="E1575" s="36" t="s">
        <v>8456</v>
      </c>
      <c r="F1575" s="16" t="s">
        <v>339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300000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X1575" s="17"/>
      <c r="Y1575" s="16"/>
      <c r="AA1575" s="16"/>
      <c r="AB1575" s="17"/>
    </row>
    <row r="1576" spans="1:28">
      <c r="A1576" s="16" t="s">
        <v>8248</v>
      </c>
      <c r="B1576" s="16" t="s">
        <v>8248</v>
      </c>
      <c r="C1576" s="16" t="s">
        <v>8419</v>
      </c>
      <c r="D1576" s="16" t="s">
        <v>21</v>
      </c>
      <c r="E1576" s="36" t="s">
        <v>8456</v>
      </c>
      <c r="F1576" s="16" t="s">
        <v>341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330000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6"/>
      <c r="Y1576" s="16"/>
      <c r="Z1576" s="16"/>
      <c r="AA1576" s="16"/>
      <c r="AB1576" s="17"/>
    </row>
    <row r="1577" spans="1:28">
      <c r="A1577" s="16" t="s">
        <v>8249</v>
      </c>
      <c r="B1577" s="16" t="s">
        <v>8249</v>
      </c>
      <c r="C1577" s="16" t="s">
        <v>8420</v>
      </c>
      <c r="D1577" s="16" t="s">
        <v>21</v>
      </c>
      <c r="E1577" s="36" t="s">
        <v>8456</v>
      </c>
      <c r="F1577" s="16" t="s">
        <v>345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360000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8250</v>
      </c>
      <c r="B1578" s="16" t="s">
        <v>8250</v>
      </c>
      <c r="C1578" s="16" t="s">
        <v>8421</v>
      </c>
      <c r="D1578" s="16" t="s">
        <v>21</v>
      </c>
      <c r="E1578" s="36" t="s">
        <v>8456</v>
      </c>
      <c r="F1578" s="16" t="s">
        <v>349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390000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6"/>
      <c r="Y1578" s="16"/>
      <c r="AA1578" s="16"/>
      <c r="AB1578" s="17"/>
    </row>
    <row r="1579" spans="1:28">
      <c r="A1579" s="16" t="s">
        <v>8251</v>
      </c>
      <c r="B1579" s="16" t="s">
        <v>8251</v>
      </c>
      <c r="C1579" s="16" t="s">
        <v>8422</v>
      </c>
      <c r="D1579" s="16" t="s">
        <v>21</v>
      </c>
      <c r="E1579" s="36" t="s">
        <v>8456</v>
      </c>
      <c r="F1579" s="16" t="s">
        <v>351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430000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8252</v>
      </c>
      <c r="B1580" s="16" t="s">
        <v>8252</v>
      </c>
      <c r="C1580" s="16" t="s">
        <v>8423</v>
      </c>
      <c r="D1580" s="16" t="s">
        <v>21</v>
      </c>
      <c r="E1580" s="36" t="s">
        <v>8456</v>
      </c>
      <c r="F1580" s="16" t="s">
        <v>353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470000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8253</v>
      </c>
      <c r="B1581" s="16" t="s">
        <v>8253</v>
      </c>
      <c r="C1581" s="16" t="s">
        <v>8424</v>
      </c>
      <c r="D1581" s="16" t="s">
        <v>21</v>
      </c>
      <c r="E1581" s="36" t="s">
        <v>8456</v>
      </c>
      <c r="F1581" s="16" t="s">
        <v>355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510000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8254</v>
      </c>
      <c r="B1582" s="16" t="s">
        <v>8254</v>
      </c>
      <c r="C1582" s="16" t="s">
        <v>8425</v>
      </c>
      <c r="D1582" s="16" t="s">
        <v>21</v>
      </c>
      <c r="E1582" s="36" t="s">
        <v>8456</v>
      </c>
      <c r="F1582" s="16" t="s">
        <v>357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560000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8255</v>
      </c>
      <c r="B1583" s="16" t="s">
        <v>8255</v>
      </c>
      <c r="C1583" s="16" t="s">
        <v>8426</v>
      </c>
      <c r="D1583" s="16" t="s">
        <v>21</v>
      </c>
      <c r="E1583" s="36" t="s">
        <v>8456</v>
      </c>
      <c r="F1583" s="16" t="s">
        <v>359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620000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8256</v>
      </c>
      <c r="B1584" s="16" t="s">
        <v>8256</v>
      </c>
      <c r="C1584" s="16" t="s">
        <v>8427</v>
      </c>
      <c r="D1584" s="16" t="s">
        <v>21</v>
      </c>
      <c r="E1584" s="36" t="s">
        <v>8456</v>
      </c>
      <c r="F1584" s="16" t="s">
        <v>361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680000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8257</v>
      </c>
      <c r="B1585" s="16" t="s">
        <v>8257</v>
      </c>
      <c r="C1585" s="16" t="s">
        <v>8428</v>
      </c>
      <c r="D1585" s="16" t="s">
        <v>21</v>
      </c>
      <c r="E1585" s="36" t="s">
        <v>8456</v>
      </c>
      <c r="F1585" s="16" t="s">
        <v>363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750000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8258</v>
      </c>
      <c r="B1586" s="16" t="s">
        <v>8258</v>
      </c>
      <c r="C1586" s="16" t="s">
        <v>8429</v>
      </c>
      <c r="D1586" s="16" t="s">
        <v>21</v>
      </c>
      <c r="E1586" s="36" t="s">
        <v>8456</v>
      </c>
      <c r="F1586" s="16" t="s">
        <v>365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820000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8259</v>
      </c>
      <c r="B1587" s="16" t="s">
        <v>8259</v>
      </c>
      <c r="C1587" s="16" t="s">
        <v>8430</v>
      </c>
      <c r="D1587" s="16" t="s">
        <v>21</v>
      </c>
      <c r="E1587" s="36" t="s">
        <v>8456</v>
      </c>
      <c r="F1587" s="16" t="s">
        <v>367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910000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8260</v>
      </c>
      <c r="B1588" s="16" t="s">
        <v>8260</v>
      </c>
      <c r="C1588" s="16" t="s">
        <v>8431</v>
      </c>
      <c r="D1588" s="16" t="s">
        <v>21</v>
      </c>
      <c r="E1588" s="36" t="s">
        <v>8456</v>
      </c>
      <c r="F1588" s="16" t="s">
        <v>369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1000000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8261</v>
      </c>
      <c r="B1589" s="16" t="s">
        <v>8261</v>
      </c>
      <c r="C1589" s="16" t="s">
        <v>8432</v>
      </c>
      <c r="D1589" s="16" t="s">
        <v>21</v>
      </c>
      <c r="E1589" s="36" t="s">
        <v>8456</v>
      </c>
      <c r="F1589" s="16" t="s">
        <v>371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1100000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8262</v>
      </c>
      <c r="B1590" s="16" t="s">
        <v>8262</v>
      </c>
      <c r="C1590" s="16" t="s">
        <v>8433</v>
      </c>
      <c r="D1590" s="16" t="s">
        <v>21</v>
      </c>
      <c r="E1590" s="36" t="s">
        <v>8456</v>
      </c>
      <c r="F1590" s="16" t="s">
        <v>373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1200000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8263</v>
      </c>
      <c r="B1591" s="16" t="s">
        <v>8263</v>
      </c>
      <c r="C1591" s="16" t="s">
        <v>8434</v>
      </c>
      <c r="D1591" s="16" t="s">
        <v>21</v>
      </c>
      <c r="E1591" s="36" t="s">
        <v>8456</v>
      </c>
      <c r="F1591" s="16" t="s">
        <v>375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1300000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8264</v>
      </c>
      <c r="B1592" s="16" t="s">
        <v>8264</v>
      </c>
      <c r="C1592" s="16" t="s">
        <v>8435</v>
      </c>
      <c r="D1592" s="16" t="s">
        <v>21</v>
      </c>
      <c r="E1592" s="36" t="s">
        <v>8456</v>
      </c>
      <c r="F1592" s="16" t="s">
        <v>377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1500000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8265</v>
      </c>
      <c r="B1593" s="16" t="s">
        <v>8265</v>
      </c>
      <c r="C1593" s="16" t="s">
        <v>8436</v>
      </c>
      <c r="D1593" s="16" t="s">
        <v>21</v>
      </c>
      <c r="E1593" s="36" t="s">
        <v>8456</v>
      </c>
      <c r="F1593" s="16" t="s">
        <v>379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1600000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8266</v>
      </c>
      <c r="B1594" s="16" t="s">
        <v>8266</v>
      </c>
      <c r="C1594" s="16" t="s">
        <v>8437</v>
      </c>
      <c r="D1594" s="16" t="s">
        <v>21</v>
      </c>
      <c r="E1594" s="36" t="s">
        <v>8456</v>
      </c>
      <c r="F1594" s="16" t="s">
        <v>381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1800000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8267</v>
      </c>
      <c r="B1595" s="16" t="s">
        <v>8267</v>
      </c>
      <c r="C1595" s="16" t="s">
        <v>8438</v>
      </c>
      <c r="D1595" s="16" t="s">
        <v>21</v>
      </c>
      <c r="E1595" s="36" t="s">
        <v>8456</v>
      </c>
      <c r="F1595" s="16" t="s">
        <v>383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2000000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8268</v>
      </c>
      <c r="B1596" s="16" t="s">
        <v>8268</v>
      </c>
      <c r="C1596" s="16" t="s">
        <v>8439</v>
      </c>
      <c r="D1596" s="16" t="s">
        <v>21</v>
      </c>
      <c r="E1596" s="36" t="s">
        <v>8456</v>
      </c>
      <c r="F1596" s="16" t="s">
        <v>385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2200000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8269</v>
      </c>
      <c r="B1597" s="16" t="s">
        <v>8269</v>
      </c>
      <c r="C1597" s="16" t="s">
        <v>8440</v>
      </c>
      <c r="D1597" s="16" t="s">
        <v>21</v>
      </c>
      <c r="E1597" s="36" t="s">
        <v>8456</v>
      </c>
      <c r="F1597" s="16" t="s">
        <v>387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2400000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8270</v>
      </c>
      <c r="B1598" s="16" t="s">
        <v>8270</v>
      </c>
      <c r="C1598" s="16" t="s">
        <v>8441</v>
      </c>
      <c r="D1598" s="16" t="s">
        <v>21</v>
      </c>
      <c r="E1598" s="36" t="s">
        <v>8456</v>
      </c>
      <c r="F1598" s="16" t="s">
        <v>389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2700000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8271</v>
      </c>
      <c r="B1599" s="16" t="s">
        <v>8271</v>
      </c>
      <c r="C1599" s="16" t="s">
        <v>8442</v>
      </c>
      <c r="D1599" s="16" t="s">
        <v>21</v>
      </c>
      <c r="E1599" s="36" t="s">
        <v>8456</v>
      </c>
      <c r="F1599" s="16" t="s">
        <v>391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3000000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8272</v>
      </c>
      <c r="B1600" s="16" t="s">
        <v>8272</v>
      </c>
      <c r="C1600" s="16" t="s">
        <v>8443</v>
      </c>
      <c r="D1600" s="16" t="s">
        <v>21</v>
      </c>
      <c r="E1600" s="36" t="s">
        <v>8456</v>
      </c>
      <c r="F1600" s="16" t="s">
        <v>393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3300000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8273</v>
      </c>
      <c r="B1601" s="16" t="s">
        <v>8273</v>
      </c>
      <c r="C1601" s="16" t="s">
        <v>8444</v>
      </c>
      <c r="D1601" s="16" t="s">
        <v>21</v>
      </c>
      <c r="E1601" s="36" t="s">
        <v>8456</v>
      </c>
      <c r="F1601" s="16" t="s">
        <v>395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3600000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8274</v>
      </c>
      <c r="B1602" s="16" t="s">
        <v>8274</v>
      </c>
      <c r="C1602" s="16" t="s">
        <v>8445</v>
      </c>
      <c r="D1602" s="16" t="s">
        <v>21</v>
      </c>
      <c r="E1602" s="36" t="s">
        <v>8456</v>
      </c>
      <c r="F1602" s="16" t="s">
        <v>397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3900000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8275</v>
      </c>
      <c r="B1603" s="16" t="s">
        <v>8275</v>
      </c>
      <c r="C1603" s="16" t="s">
        <v>8446</v>
      </c>
      <c r="D1603" s="16" t="s">
        <v>21</v>
      </c>
      <c r="E1603" s="36" t="s">
        <v>8456</v>
      </c>
      <c r="F1603" s="16" t="s">
        <v>399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4300000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8276</v>
      </c>
      <c r="B1604" s="16" t="s">
        <v>8276</v>
      </c>
      <c r="C1604" s="16" t="s">
        <v>8447</v>
      </c>
      <c r="D1604" s="16" t="s">
        <v>21</v>
      </c>
      <c r="E1604" s="36" t="s">
        <v>8456</v>
      </c>
      <c r="F1604" s="16" t="s">
        <v>401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4700000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8277</v>
      </c>
      <c r="B1605" s="16" t="s">
        <v>8277</v>
      </c>
      <c r="C1605" s="16" t="s">
        <v>8448</v>
      </c>
      <c r="D1605" s="16" t="s">
        <v>21</v>
      </c>
      <c r="E1605" s="36" t="s">
        <v>8456</v>
      </c>
      <c r="F1605" s="16" t="s">
        <v>403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5100000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8278</v>
      </c>
      <c r="B1606" s="16" t="s">
        <v>8278</v>
      </c>
      <c r="C1606" s="16" t="s">
        <v>8449</v>
      </c>
      <c r="D1606" s="16" t="s">
        <v>21</v>
      </c>
      <c r="E1606" s="36" t="s">
        <v>8456</v>
      </c>
      <c r="F1606" s="16" t="s">
        <v>405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5600000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8279</v>
      </c>
      <c r="B1607" s="16" t="s">
        <v>8279</v>
      </c>
      <c r="C1607" s="16" t="s">
        <v>8450</v>
      </c>
      <c r="D1607" s="16" t="s">
        <v>21</v>
      </c>
      <c r="E1607" s="36" t="s">
        <v>8456</v>
      </c>
      <c r="F1607" s="16" t="s">
        <v>407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6200000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8280</v>
      </c>
      <c r="B1608" s="16" t="s">
        <v>8280</v>
      </c>
      <c r="C1608" s="16" t="s">
        <v>8451</v>
      </c>
      <c r="D1608" s="16" t="s">
        <v>21</v>
      </c>
      <c r="E1608" s="36" t="s">
        <v>8456</v>
      </c>
      <c r="F1608" s="16" t="s">
        <v>409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6800000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8281</v>
      </c>
      <c r="B1609" s="16" t="s">
        <v>8281</v>
      </c>
      <c r="C1609" s="16" t="s">
        <v>8452</v>
      </c>
      <c r="D1609" s="16" t="s">
        <v>21</v>
      </c>
      <c r="E1609" s="36" t="s">
        <v>8456</v>
      </c>
      <c r="F1609" s="16" t="s">
        <v>411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8285</v>
      </c>
      <c r="K1609" s="16"/>
      <c r="L1609" s="16"/>
      <c r="M1609" s="20">
        <v>7500000</v>
      </c>
      <c r="N1609" s="19" t="s">
        <v>8472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7" t="s">
        <v>8282</v>
      </c>
      <c r="B1610" s="17" t="s">
        <v>8282</v>
      </c>
      <c r="C1610" s="17" t="s">
        <v>8453</v>
      </c>
      <c r="D1610" s="17" t="s">
        <v>21</v>
      </c>
      <c r="E1610" s="37" t="s">
        <v>8456</v>
      </c>
      <c r="F1610" s="17" t="s">
        <v>413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8200000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8283</v>
      </c>
      <c r="B1611" s="17" t="s">
        <v>8283</v>
      </c>
      <c r="C1611" s="17" t="s">
        <v>8454</v>
      </c>
      <c r="D1611" s="17" t="s">
        <v>21</v>
      </c>
      <c r="E1611" s="37" t="s">
        <v>8456</v>
      </c>
      <c r="F1611" s="17" t="s">
        <v>415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9100000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7" t="s">
        <v>8284</v>
      </c>
      <c r="B1612" s="17" t="s">
        <v>8284</v>
      </c>
      <c r="C1612" s="17" t="s">
        <v>8455</v>
      </c>
      <c r="D1612" s="17" t="s">
        <v>21</v>
      </c>
      <c r="E1612" s="37" t="s">
        <v>8456</v>
      </c>
      <c r="F1612" s="17" t="s">
        <v>417</v>
      </c>
      <c r="G1612" s="17" t="str">
        <f>Config!$B$3</f>
        <v>SCH/R_IEC.SchLib</v>
      </c>
      <c r="H1612" s="17" t="s">
        <v>419</v>
      </c>
      <c r="I1612" s="18" t="s">
        <v>7503</v>
      </c>
      <c r="J1612" s="16" t="s">
        <v>8285</v>
      </c>
      <c r="K1612" s="16"/>
      <c r="L1612" s="16"/>
      <c r="M1612" s="21">
        <v>10000000</v>
      </c>
      <c r="N1612" s="19" t="s">
        <v>8472</v>
      </c>
      <c r="O1612" s="16" t="s">
        <v>4414</v>
      </c>
      <c r="P1612" s="17"/>
      <c r="Q1612" s="17"/>
      <c r="R1612" s="17"/>
      <c r="S1612" s="17"/>
      <c r="T1612" s="17"/>
      <c r="U1612" s="17"/>
      <c r="V1612" s="17"/>
      <c r="W1612" s="17"/>
      <c r="X1612" s="17"/>
      <c r="Y1612" s="17"/>
      <c r="Z1612" s="17"/>
      <c r="AA1612" s="17"/>
      <c r="AB1612" s="17"/>
    </row>
    <row r="1613" spans="1:28">
      <c r="A1613" s="16" t="s">
        <v>8536</v>
      </c>
      <c r="B1613" s="16" t="s">
        <v>8115</v>
      </c>
      <c r="C1613" s="16" t="s">
        <v>8706</v>
      </c>
      <c r="D1613" s="16" t="s">
        <v>21</v>
      </c>
      <c r="E1613" s="36" t="s">
        <v>8456</v>
      </c>
      <c r="F1613" s="16" t="s">
        <v>23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0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6"/>
      <c r="Z1613" s="17"/>
      <c r="AA1613" s="17"/>
      <c r="AB1613" s="17"/>
    </row>
    <row r="1614" spans="1:28">
      <c r="A1614" s="16" t="s">
        <v>8537</v>
      </c>
      <c r="B1614" s="16" t="s">
        <v>8116</v>
      </c>
      <c r="C1614" s="16" t="s">
        <v>8707</v>
      </c>
      <c r="D1614" s="16" t="s">
        <v>21</v>
      </c>
      <c r="E1614" s="36" t="s">
        <v>8456</v>
      </c>
      <c r="F1614" s="16" t="s">
        <v>29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8538</v>
      </c>
      <c r="B1615" s="16" t="s">
        <v>8117</v>
      </c>
      <c r="C1615" s="16" t="s">
        <v>8708</v>
      </c>
      <c r="D1615" s="16" t="s">
        <v>21</v>
      </c>
      <c r="E1615" s="36" t="s">
        <v>8456</v>
      </c>
      <c r="F1615" s="16" t="s">
        <v>1042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1.1000000000000001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8539</v>
      </c>
      <c r="B1616" s="16" t="s">
        <v>8118</v>
      </c>
      <c r="C1616" s="16" t="s">
        <v>8709</v>
      </c>
      <c r="D1616" s="16" t="s">
        <v>21</v>
      </c>
      <c r="E1616" s="36" t="s">
        <v>8456</v>
      </c>
      <c r="F1616" s="16" t="s">
        <v>31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1.2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8540</v>
      </c>
      <c r="B1617" s="16" t="s">
        <v>8119</v>
      </c>
      <c r="C1617" s="16" t="s">
        <v>8710</v>
      </c>
      <c r="D1617" s="16" t="s">
        <v>21</v>
      </c>
      <c r="E1617" s="36" t="s">
        <v>8456</v>
      </c>
      <c r="F1617" s="16" t="s">
        <v>1052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1.3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8541</v>
      </c>
      <c r="B1618" s="16" t="s">
        <v>8120</v>
      </c>
      <c r="C1618" s="16" t="s">
        <v>8711</v>
      </c>
      <c r="D1618" s="16" t="s">
        <v>21</v>
      </c>
      <c r="E1618" s="36" t="s">
        <v>8456</v>
      </c>
      <c r="F1618" s="16" t="s">
        <v>33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1.5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8542</v>
      </c>
      <c r="B1619" s="16" t="s">
        <v>8121</v>
      </c>
      <c r="C1619" s="16" t="s">
        <v>8712</v>
      </c>
      <c r="D1619" s="16" t="s">
        <v>21</v>
      </c>
      <c r="E1619" s="36" t="s">
        <v>8456</v>
      </c>
      <c r="F1619" s="16" t="s">
        <v>1062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1.6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8543</v>
      </c>
      <c r="B1620" s="16" t="s">
        <v>8122</v>
      </c>
      <c r="C1620" s="16" t="s">
        <v>8713</v>
      </c>
      <c r="D1620" s="16" t="s">
        <v>21</v>
      </c>
      <c r="E1620" s="36" t="s">
        <v>8456</v>
      </c>
      <c r="F1620" s="16" t="s">
        <v>35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1.8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8544</v>
      </c>
      <c r="B1621" s="16" t="s">
        <v>8123</v>
      </c>
      <c r="C1621" s="16" t="s">
        <v>8714</v>
      </c>
      <c r="D1621" s="16" t="s">
        <v>21</v>
      </c>
      <c r="E1621" s="36" t="s">
        <v>8456</v>
      </c>
      <c r="F1621" s="16" t="s">
        <v>1070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8545</v>
      </c>
      <c r="B1622" s="16" t="s">
        <v>8124</v>
      </c>
      <c r="C1622" s="16" t="s">
        <v>8715</v>
      </c>
      <c r="D1622" s="16" t="s">
        <v>21</v>
      </c>
      <c r="E1622" s="36" t="s">
        <v>8456</v>
      </c>
      <c r="F1622" s="16" t="s">
        <v>37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2.2000000000000002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8546</v>
      </c>
      <c r="B1623" s="16" t="s">
        <v>8125</v>
      </c>
      <c r="C1623" s="16" t="s">
        <v>8716</v>
      </c>
      <c r="D1623" s="16" t="s">
        <v>21</v>
      </c>
      <c r="E1623" s="36" t="s">
        <v>8456</v>
      </c>
      <c r="F1623" s="16" t="s">
        <v>1080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2.4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8547</v>
      </c>
      <c r="B1624" s="16" t="s">
        <v>8126</v>
      </c>
      <c r="C1624" s="16" t="s">
        <v>8717</v>
      </c>
      <c r="D1624" s="16" t="s">
        <v>21</v>
      </c>
      <c r="E1624" s="36" t="s">
        <v>8456</v>
      </c>
      <c r="F1624" s="16" t="s">
        <v>39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2.7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8548</v>
      </c>
      <c r="B1625" s="16" t="s">
        <v>8127</v>
      </c>
      <c r="C1625" s="16" t="s">
        <v>8718</v>
      </c>
      <c r="D1625" s="16" t="s">
        <v>21</v>
      </c>
      <c r="E1625" s="36" t="s">
        <v>8456</v>
      </c>
      <c r="F1625" s="16" t="s">
        <v>1088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8549</v>
      </c>
      <c r="B1626" s="16" t="s">
        <v>8128</v>
      </c>
      <c r="C1626" s="16" t="s">
        <v>8719</v>
      </c>
      <c r="D1626" s="16" t="s">
        <v>21</v>
      </c>
      <c r="E1626" s="36" t="s">
        <v>8456</v>
      </c>
      <c r="F1626" s="16" t="s">
        <v>41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3.3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8550</v>
      </c>
      <c r="B1627" s="16" t="s">
        <v>8129</v>
      </c>
      <c r="C1627" s="16" t="s">
        <v>8720</v>
      </c>
      <c r="D1627" s="16" t="s">
        <v>21</v>
      </c>
      <c r="E1627" s="36" t="s">
        <v>8456</v>
      </c>
      <c r="F1627" s="16" t="s">
        <v>1098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3.6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8551</v>
      </c>
      <c r="B1628" s="16" t="s">
        <v>8130</v>
      </c>
      <c r="C1628" s="16" t="s">
        <v>8721</v>
      </c>
      <c r="D1628" s="16" t="s">
        <v>21</v>
      </c>
      <c r="E1628" s="36" t="s">
        <v>8456</v>
      </c>
      <c r="F1628" s="16" t="s">
        <v>43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3.9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8552</v>
      </c>
      <c r="B1629" s="16" t="s">
        <v>8131</v>
      </c>
      <c r="C1629" s="16" t="s">
        <v>8722</v>
      </c>
      <c r="D1629" s="16" t="s">
        <v>21</v>
      </c>
      <c r="E1629" s="36" t="s">
        <v>8456</v>
      </c>
      <c r="F1629" s="16" t="s">
        <v>1106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4.3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8553</v>
      </c>
      <c r="B1630" s="16" t="s">
        <v>8132</v>
      </c>
      <c r="C1630" s="16" t="s">
        <v>8723</v>
      </c>
      <c r="D1630" s="16" t="s">
        <v>21</v>
      </c>
      <c r="E1630" s="36" t="s">
        <v>8456</v>
      </c>
      <c r="F1630" s="16" t="s">
        <v>45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4.7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8554</v>
      </c>
      <c r="B1631" s="16" t="s">
        <v>8133</v>
      </c>
      <c r="C1631" s="16" t="s">
        <v>8724</v>
      </c>
      <c r="D1631" s="16" t="s">
        <v>21</v>
      </c>
      <c r="E1631" s="36" t="s">
        <v>8456</v>
      </c>
      <c r="F1631" s="16" t="s">
        <v>1116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5.0999999999999996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8555</v>
      </c>
      <c r="B1632" s="16" t="s">
        <v>8134</v>
      </c>
      <c r="C1632" s="16" t="s">
        <v>8725</v>
      </c>
      <c r="D1632" s="16" t="s">
        <v>21</v>
      </c>
      <c r="E1632" s="36" t="s">
        <v>8456</v>
      </c>
      <c r="F1632" s="16" t="s">
        <v>47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5.6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8556</v>
      </c>
      <c r="B1633" s="16" t="s">
        <v>8135</v>
      </c>
      <c r="C1633" s="16" t="s">
        <v>8726</v>
      </c>
      <c r="D1633" s="16" t="s">
        <v>21</v>
      </c>
      <c r="E1633" s="36" t="s">
        <v>8456</v>
      </c>
      <c r="F1633" s="16" t="s">
        <v>1128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6.2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8557</v>
      </c>
      <c r="B1634" s="16" t="s">
        <v>8136</v>
      </c>
      <c r="C1634" s="16" t="s">
        <v>8727</v>
      </c>
      <c r="D1634" s="16" t="s">
        <v>21</v>
      </c>
      <c r="E1634" s="36" t="s">
        <v>8456</v>
      </c>
      <c r="F1634" s="16" t="s">
        <v>49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6.8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8558</v>
      </c>
      <c r="B1635" s="16" t="s">
        <v>8137</v>
      </c>
      <c r="C1635" s="16" t="s">
        <v>8728</v>
      </c>
      <c r="D1635" s="16" t="s">
        <v>21</v>
      </c>
      <c r="E1635" s="36" t="s">
        <v>8456</v>
      </c>
      <c r="F1635" s="16" t="s">
        <v>1138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7.5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8559</v>
      </c>
      <c r="B1636" s="16" t="s">
        <v>8138</v>
      </c>
      <c r="C1636" s="16" t="s">
        <v>8729</v>
      </c>
      <c r="D1636" s="16" t="s">
        <v>21</v>
      </c>
      <c r="E1636" s="36" t="s">
        <v>8456</v>
      </c>
      <c r="F1636" s="16" t="s">
        <v>51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8.1999999999999993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8560</v>
      </c>
      <c r="B1637" s="16" t="s">
        <v>8139</v>
      </c>
      <c r="C1637" s="16" t="s">
        <v>8730</v>
      </c>
      <c r="D1637" s="16" t="s">
        <v>21</v>
      </c>
      <c r="E1637" s="36" t="s">
        <v>8456</v>
      </c>
      <c r="F1637" s="16" t="s">
        <v>1148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19">
        <v>9.1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8561</v>
      </c>
      <c r="B1638" s="16" t="s">
        <v>8140</v>
      </c>
      <c r="C1638" s="16" t="s">
        <v>8731</v>
      </c>
      <c r="D1638" s="16" t="s">
        <v>21</v>
      </c>
      <c r="E1638" s="36" t="s">
        <v>8456</v>
      </c>
      <c r="F1638" s="16" t="s">
        <v>53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10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8562</v>
      </c>
      <c r="B1639" s="16" t="s">
        <v>8141</v>
      </c>
      <c r="C1639" s="16" t="s">
        <v>8732</v>
      </c>
      <c r="D1639" s="16" t="s">
        <v>21</v>
      </c>
      <c r="E1639" s="36" t="s">
        <v>8456</v>
      </c>
      <c r="F1639" s="16" t="s">
        <v>57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11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8563</v>
      </c>
      <c r="B1640" s="16" t="s">
        <v>8142</v>
      </c>
      <c r="C1640" s="16" t="s">
        <v>8733</v>
      </c>
      <c r="D1640" s="16" t="s">
        <v>21</v>
      </c>
      <c r="E1640" s="36" t="s">
        <v>8456</v>
      </c>
      <c r="F1640" s="16" t="s">
        <v>59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12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8564</v>
      </c>
      <c r="B1641" s="16" t="s">
        <v>8143</v>
      </c>
      <c r="C1641" s="16" t="s">
        <v>8734</v>
      </c>
      <c r="D1641" s="16" t="s">
        <v>21</v>
      </c>
      <c r="E1641" s="36" t="s">
        <v>8456</v>
      </c>
      <c r="F1641" s="16" t="s">
        <v>61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13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8565</v>
      </c>
      <c r="B1642" s="16" t="s">
        <v>8144</v>
      </c>
      <c r="C1642" s="16" t="s">
        <v>8735</v>
      </c>
      <c r="D1642" s="16" t="s">
        <v>21</v>
      </c>
      <c r="E1642" s="36" t="s">
        <v>8456</v>
      </c>
      <c r="F1642" s="16" t="s">
        <v>63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15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8566</v>
      </c>
      <c r="B1643" s="16" t="s">
        <v>8145</v>
      </c>
      <c r="C1643" s="16" t="s">
        <v>8736</v>
      </c>
      <c r="D1643" s="16" t="s">
        <v>21</v>
      </c>
      <c r="E1643" s="36" t="s">
        <v>8456</v>
      </c>
      <c r="F1643" s="16" t="s">
        <v>65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16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8567</v>
      </c>
      <c r="B1644" s="16" t="s">
        <v>8146</v>
      </c>
      <c r="C1644" s="16" t="s">
        <v>8737</v>
      </c>
      <c r="D1644" s="16" t="s">
        <v>21</v>
      </c>
      <c r="E1644" s="36" t="s">
        <v>8456</v>
      </c>
      <c r="F1644" s="16" t="s">
        <v>67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18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8568</v>
      </c>
      <c r="B1645" s="16" t="s">
        <v>8147</v>
      </c>
      <c r="C1645" s="16" t="s">
        <v>8738</v>
      </c>
      <c r="D1645" s="16" t="s">
        <v>21</v>
      </c>
      <c r="E1645" s="36" t="s">
        <v>8456</v>
      </c>
      <c r="F1645" s="16" t="s">
        <v>69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20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6"/>
      <c r="X1645" s="17"/>
      <c r="Y1645" s="16"/>
      <c r="Z1645" s="17"/>
      <c r="AA1645" s="16"/>
      <c r="AB1645" s="17"/>
    </row>
    <row r="1646" spans="1:28">
      <c r="A1646" s="16" t="s">
        <v>8569</v>
      </c>
      <c r="B1646" s="16" t="s">
        <v>8148</v>
      </c>
      <c r="C1646" s="16" t="s">
        <v>8739</v>
      </c>
      <c r="D1646" s="16" t="s">
        <v>21</v>
      </c>
      <c r="E1646" s="36" t="s">
        <v>8456</v>
      </c>
      <c r="F1646" s="16" t="s">
        <v>71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22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6"/>
      <c r="Z1646" s="25"/>
      <c r="AA1646" s="17"/>
      <c r="AB1646" s="17"/>
    </row>
    <row r="1647" spans="1:28">
      <c r="A1647" s="16" t="s">
        <v>8570</v>
      </c>
      <c r="B1647" s="16" t="s">
        <v>8149</v>
      </c>
      <c r="C1647" s="16" t="s">
        <v>8740</v>
      </c>
      <c r="D1647" s="16" t="s">
        <v>21</v>
      </c>
      <c r="E1647" s="36" t="s">
        <v>8456</v>
      </c>
      <c r="F1647" s="16" t="s">
        <v>75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24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8571</v>
      </c>
      <c r="B1648" s="16" t="s">
        <v>8150</v>
      </c>
      <c r="C1648" s="16" t="s">
        <v>8741</v>
      </c>
      <c r="D1648" s="16" t="s">
        <v>21</v>
      </c>
      <c r="E1648" s="36" t="s">
        <v>8456</v>
      </c>
      <c r="F1648" s="16" t="s">
        <v>77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27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8572</v>
      </c>
      <c r="B1649" s="16" t="s">
        <v>8151</v>
      </c>
      <c r="C1649" s="16" t="s">
        <v>8742</v>
      </c>
      <c r="D1649" s="16" t="s">
        <v>21</v>
      </c>
      <c r="E1649" s="36" t="s">
        <v>8456</v>
      </c>
      <c r="F1649" s="16" t="s">
        <v>79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30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8573</v>
      </c>
      <c r="B1650" s="16" t="s">
        <v>8152</v>
      </c>
      <c r="C1650" s="16" t="s">
        <v>8743</v>
      </c>
      <c r="D1650" s="16" t="s">
        <v>21</v>
      </c>
      <c r="E1650" s="36" t="s">
        <v>8456</v>
      </c>
      <c r="F1650" s="16" t="s">
        <v>81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33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8574</v>
      </c>
      <c r="B1651" s="16" t="s">
        <v>8153</v>
      </c>
      <c r="C1651" s="16" t="s">
        <v>8744</v>
      </c>
      <c r="D1651" s="16" t="s">
        <v>21</v>
      </c>
      <c r="E1651" s="36" t="s">
        <v>8456</v>
      </c>
      <c r="F1651" s="16" t="s">
        <v>83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36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8575</v>
      </c>
      <c r="B1652" s="16" t="s">
        <v>8154</v>
      </c>
      <c r="C1652" s="16" t="s">
        <v>8745</v>
      </c>
      <c r="D1652" s="16" t="s">
        <v>21</v>
      </c>
      <c r="E1652" s="36" t="s">
        <v>8456</v>
      </c>
      <c r="F1652" s="16" t="s">
        <v>85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39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8576</v>
      </c>
      <c r="B1653" s="16" t="s">
        <v>8155</v>
      </c>
      <c r="C1653" s="16" t="s">
        <v>8746</v>
      </c>
      <c r="D1653" s="16" t="s">
        <v>21</v>
      </c>
      <c r="E1653" s="36" t="s">
        <v>8456</v>
      </c>
      <c r="F1653" s="16" t="s">
        <v>87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43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8577</v>
      </c>
      <c r="B1654" s="16" t="s">
        <v>8156</v>
      </c>
      <c r="C1654" s="16" t="s">
        <v>8747</v>
      </c>
      <c r="D1654" s="16" t="s">
        <v>21</v>
      </c>
      <c r="E1654" s="36" t="s">
        <v>8456</v>
      </c>
      <c r="F1654" s="16" t="s">
        <v>89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47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8578</v>
      </c>
      <c r="B1655" s="16" t="s">
        <v>8157</v>
      </c>
      <c r="C1655" s="16" t="s">
        <v>8748</v>
      </c>
      <c r="D1655" s="16" t="s">
        <v>21</v>
      </c>
      <c r="E1655" s="36" t="s">
        <v>8456</v>
      </c>
      <c r="F1655" s="16" t="s">
        <v>91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51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8579</v>
      </c>
      <c r="B1656" s="16" t="s">
        <v>8158</v>
      </c>
      <c r="C1656" s="16" t="s">
        <v>8749</v>
      </c>
      <c r="D1656" s="16" t="s">
        <v>21</v>
      </c>
      <c r="E1656" s="36" t="s">
        <v>8456</v>
      </c>
      <c r="F1656" s="16" t="s">
        <v>93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56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8580</v>
      </c>
      <c r="B1657" s="16" t="s">
        <v>8159</v>
      </c>
      <c r="C1657" s="16" t="s">
        <v>8750</v>
      </c>
      <c r="D1657" s="16" t="s">
        <v>21</v>
      </c>
      <c r="E1657" s="36" t="s">
        <v>8456</v>
      </c>
      <c r="F1657" s="16" t="s">
        <v>95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62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8581</v>
      </c>
      <c r="B1658" s="16" t="s">
        <v>8160</v>
      </c>
      <c r="C1658" s="16" t="s">
        <v>8751</v>
      </c>
      <c r="D1658" s="16" t="s">
        <v>21</v>
      </c>
      <c r="E1658" s="36" t="s">
        <v>8456</v>
      </c>
      <c r="F1658" s="16" t="s">
        <v>97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68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8582</v>
      </c>
      <c r="B1659" s="16" t="s">
        <v>8161</v>
      </c>
      <c r="C1659" s="16" t="s">
        <v>8752</v>
      </c>
      <c r="D1659" s="16" t="s">
        <v>21</v>
      </c>
      <c r="E1659" s="36" t="s">
        <v>8456</v>
      </c>
      <c r="F1659" s="16" t="s">
        <v>99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75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6"/>
      <c r="Z1659" s="25"/>
      <c r="AA1659" s="17"/>
      <c r="AB1659" s="17"/>
    </row>
    <row r="1660" spans="1:28">
      <c r="A1660" s="16" t="s">
        <v>8583</v>
      </c>
      <c r="B1660" s="16" t="s">
        <v>8162</v>
      </c>
      <c r="C1660" s="16" t="s">
        <v>8753</v>
      </c>
      <c r="D1660" s="16" t="s">
        <v>21</v>
      </c>
      <c r="E1660" s="36" t="s">
        <v>8456</v>
      </c>
      <c r="F1660" s="16" t="s">
        <v>101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82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6"/>
      <c r="Y1660" s="16"/>
      <c r="AA1660" s="17"/>
      <c r="AB1660" s="17"/>
    </row>
    <row r="1661" spans="1:28">
      <c r="A1661" s="16" t="s">
        <v>8584</v>
      </c>
      <c r="B1661" s="16" t="s">
        <v>8163</v>
      </c>
      <c r="C1661" s="16" t="s">
        <v>8754</v>
      </c>
      <c r="D1661" s="16" t="s">
        <v>21</v>
      </c>
      <c r="E1661" s="36" t="s">
        <v>8456</v>
      </c>
      <c r="F1661" s="16" t="s">
        <v>103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91</v>
      </c>
      <c r="N1661" s="19" t="s">
        <v>8472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8585</v>
      </c>
      <c r="B1662" s="16" t="s">
        <v>8164</v>
      </c>
      <c r="C1662" s="16" t="s">
        <v>8755</v>
      </c>
      <c r="D1662" s="16" t="s">
        <v>21</v>
      </c>
      <c r="E1662" s="36" t="s">
        <v>8456</v>
      </c>
      <c r="F1662" s="16" t="s">
        <v>105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100</v>
      </c>
      <c r="N1662" s="19" t="s">
        <v>8472</v>
      </c>
      <c r="O1662" s="16" t="s">
        <v>4414</v>
      </c>
      <c r="P1662" s="16" t="s">
        <v>8474</v>
      </c>
      <c r="Q1662" s="16" t="s">
        <v>25</v>
      </c>
      <c r="R1662" s="16" t="s">
        <v>10591</v>
      </c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8586</v>
      </c>
      <c r="B1663" s="16" t="s">
        <v>8165</v>
      </c>
      <c r="C1663" s="16" t="s">
        <v>8756</v>
      </c>
      <c r="D1663" s="16" t="s">
        <v>21</v>
      </c>
      <c r="E1663" s="36" t="s">
        <v>8456</v>
      </c>
      <c r="F1663" s="16" t="s">
        <v>109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110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8587</v>
      </c>
      <c r="B1664" s="16" t="s">
        <v>8166</v>
      </c>
      <c r="C1664" s="16" t="s">
        <v>8757</v>
      </c>
      <c r="D1664" s="16" t="s">
        <v>21</v>
      </c>
      <c r="E1664" s="36" t="s">
        <v>8456</v>
      </c>
      <c r="F1664" s="16" t="s">
        <v>111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120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8588</v>
      </c>
      <c r="B1665" s="16" t="s">
        <v>8167</v>
      </c>
      <c r="C1665" s="16" t="s">
        <v>8758</v>
      </c>
      <c r="D1665" s="16" t="s">
        <v>21</v>
      </c>
      <c r="E1665" s="36" t="s">
        <v>8456</v>
      </c>
      <c r="F1665" s="16" t="s">
        <v>113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130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8589</v>
      </c>
      <c r="B1666" s="16" t="s">
        <v>8168</v>
      </c>
      <c r="C1666" s="16" t="s">
        <v>8759</v>
      </c>
      <c r="D1666" s="16" t="s">
        <v>21</v>
      </c>
      <c r="E1666" s="36" t="s">
        <v>8456</v>
      </c>
      <c r="F1666" s="16" t="s">
        <v>115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150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8590</v>
      </c>
      <c r="B1667" s="16" t="s">
        <v>8169</v>
      </c>
      <c r="C1667" s="16" t="s">
        <v>8760</v>
      </c>
      <c r="D1667" s="16" t="s">
        <v>21</v>
      </c>
      <c r="E1667" s="36" t="s">
        <v>8456</v>
      </c>
      <c r="F1667" s="16" t="s">
        <v>117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160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8591</v>
      </c>
      <c r="B1668" s="16" t="s">
        <v>8170</v>
      </c>
      <c r="C1668" s="16" t="s">
        <v>8761</v>
      </c>
      <c r="D1668" s="16" t="s">
        <v>21</v>
      </c>
      <c r="E1668" s="36" t="s">
        <v>8456</v>
      </c>
      <c r="F1668" s="16" t="s">
        <v>119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180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8592</v>
      </c>
      <c r="B1669" s="16" t="s">
        <v>8171</v>
      </c>
      <c r="C1669" s="16" t="s">
        <v>8762</v>
      </c>
      <c r="D1669" s="16" t="s">
        <v>21</v>
      </c>
      <c r="E1669" s="36" t="s">
        <v>8456</v>
      </c>
      <c r="F1669" s="16" t="s">
        <v>123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200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8593</v>
      </c>
      <c r="B1670" s="16" t="s">
        <v>8172</v>
      </c>
      <c r="C1670" s="16" t="s">
        <v>8763</v>
      </c>
      <c r="D1670" s="16" t="s">
        <v>21</v>
      </c>
      <c r="E1670" s="36" t="s">
        <v>8456</v>
      </c>
      <c r="F1670" s="16" t="s">
        <v>125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220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6"/>
      <c r="X1670" s="17"/>
      <c r="Y1670" s="16"/>
      <c r="Z1670" s="17"/>
      <c r="AA1670" s="16"/>
      <c r="AB1670" s="17"/>
    </row>
    <row r="1671" spans="1:28">
      <c r="A1671" s="16" t="s">
        <v>8594</v>
      </c>
      <c r="B1671" s="16" t="s">
        <v>8173</v>
      </c>
      <c r="C1671" s="16" t="s">
        <v>8764</v>
      </c>
      <c r="D1671" s="16" t="s">
        <v>21</v>
      </c>
      <c r="E1671" s="36" t="s">
        <v>8456</v>
      </c>
      <c r="F1671" s="16" t="s">
        <v>129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240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7"/>
      <c r="X1671" s="17"/>
      <c r="Y1671" s="17"/>
      <c r="Z1671" s="17"/>
      <c r="AA1671" s="17"/>
      <c r="AB1671" s="17"/>
    </row>
    <row r="1672" spans="1:28">
      <c r="A1672" s="16" t="s">
        <v>8595</v>
      </c>
      <c r="B1672" s="16" t="s">
        <v>8174</v>
      </c>
      <c r="C1672" s="16" t="s">
        <v>8765</v>
      </c>
      <c r="D1672" s="16" t="s">
        <v>21</v>
      </c>
      <c r="E1672" s="36" t="s">
        <v>8456</v>
      </c>
      <c r="F1672" s="16" t="s">
        <v>131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270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6"/>
      <c r="X1672" s="17"/>
      <c r="Y1672" s="16"/>
      <c r="Z1672" s="17"/>
      <c r="AA1672" s="16"/>
      <c r="AB1672" s="17"/>
    </row>
    <row r="1673" spans="1:28">
      <c r="A1673" s="16" t="s">
        <v>8596</v>
      </c>
      <c r="B1673" s="16" t="s">
        <v>8175</v>
      </c>
      <c r="C1673" s="16" t="s">
        <v>8766</v>
      </c>
      <c r="D1673" s="16" t="s">
        <v>21</v>
      </c>
      <c r="E1673" s="36" t="s">
        <v>8456</v>
      </c>
      <c r="F1673" s="16" t="s">
        <v>133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300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8597</v>
      </c>
      <c r="B1674" s="16" t="s">
        <v>8176</v>
      </c>
      <c r="C1674" s="16" t="s">
        <v>8767</v>
      </c>
      <c r="D1674" s="16" t="s">
        <v>21</v>
      </c>
      <c r="E1674" s="36" t="s">
        <v>8456</v>
      </c>
      <c r="F1674" s="16" t="s">
        <v>137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330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6"/>
      <c r="X1674" s="17"/>
      <c r="Y1674" s="16"/>
      <c r="Z1674" s="17"/>
      <c r="AA1674" s="16"/>
      <c r="AB1674" s="17"/>
    </row>
    <row r="1675" spans="1:28">
      <c r="A1675" s="16" t="s">
        <v>8598</v>
      </c>
      <c r="B1675" s="16" t="s">
        <v>8177</v>
      </c>
      <c r="C1675" s="16" t="s">
        <v>8768</v>
      </c>
      <c r="D1675" s="16" t="s">
        <v>21</v>
      </c>
      <c r="E1675" s="36" t="s">
        <v>8456</v>
      </c>
      <c r="F1675" s="16" t="s">
        <v>139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360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8599</v>
      </c>
      <c r="B1676" s="16" t="s">
        <v>8178</v>
      </c>
      <c r="C1676" s="16" t="s">
        <v>8769</v>
      </c>
      <c r="D1676" s="16" t="s">
        <v>21</v>
      </c>
      <c r="E1676" s="36" t="s">
        <v>8456</v>
      </c>
      <c r="F1676" s="16" t="s">
        <v>141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390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8600</v>
      </c>
      <c r="B1677" s="16" t="s">
        <v>8179</v>
      </c>
      <c r="C1677" s="16" t="s">
        <v>8770</v>
      </c>
      <c r="D1677" s="16" t="s">
        <v>21</v>
      </c>
      <c r="E1677" s="36" t="s">
        <v>8456</v>
      </c>
      <c r="F1677" s="16" t="s">
        <v>143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430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8601</v>
      </c>
      <c r="B1678" s="16" t="s">
        <v>8180</v>
      </c>
      <c r="C1678" s="16" t="s">
        <v>8771</v>
      </c>
      <c r="D1678" s="16" t="s">
        <v>21</v>
      </c>
      <c r="E1678" s="36" t="s">
        <v>8456</v>
      </c>
      <c r="F1678" s="16" t="s">
        <v>145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470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8602</v>
      </c>
      <c r="B1679" s="16" t="s">
        <v>8181</v>
      </c>
      <c r="C1679" s="16" t="s">
        <v>8772</v>
      </c>
      <c r="D1679" s="16" t="s">
        <v>21</v>
      </c>
      <c r="E1679" s="36" t="s">
        <v>8456</v>
      </c>
      <c r="F1679" s="16" t="s">
        <v>149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510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8603</v>
      </c>
      <c r="B1680" s="16" t="s">
        <v>8182</v>
      </c>
      <c r="C1680" s="16" t="s">
        <v>8773</v>
      </c>
      <c r="D1680" s="16" t="s">
        <v>21</v>
      </c>
      <c r="E1680" s="36" t="s">
        <v>8456</v>
      </c>
      <c r="F1680" s="16" t="s">
        <v>151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560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8604</v>
      </c>
      <c r="B1681" s="16" t="s">
        <v>8183</v>
      </c>
      <c r="C1681" s="16" t="s">
        <v>8774</v>
      </c>
      <c r="D1681" s="16" t="s">
        <v>21</v>
      </c>
      <c r="E1681" s="36" t="s">
        <v>8456</v>
      </c>
      <c r="F1681" s="16" t="s">
        <v>153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620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8605</v>
      </c>
      <c r="B1682" s="16" t="s">
        <v>8184</v>
      </c>
      <c r="C1682" s="16" t="s">
        <v>8775</v>
      </c>
      <c r="D1682" s="16" t="s">
        <v>21</v>
      </c>
      <c r="E1682" s="36" t="s">
        <v>8456</v>
      </c>
      <c r="F1682" s="16" t="s">
        <v>155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680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8606</v>
      </c>
      <c r="B1683" s="16" t="s">
        <v>8185</v>
      </c>
      <c r="C1683" s="16" t="s">
        <v>8776</v>
      </c>
      <c r="D1683" s="16" t="s">
        <v>21</v>
      </c>
      <c r="E1683" s="36" t="s">
        <v>8456</v>
      </c>
      <c r="F1683" s="16" t="s">
        <v>157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750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8607</v>
      </c>
      <c r="B1684" s="16" t="s">
        <v>8186</v>
      </c>
      <c r="C1684" s="16" t="s">
        <v>8777</v>
      </c>
      <c r="D1684" s="16" t="s">
        <v>21</v>
      </c>
      <c r="E1684" s="36" t="s">
        <v>8456</v>
      </c>
      <c r="F1684" s="16" t="s">
        <v>159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820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8608</v>
      </c>
      <c r="B1685" s="16" t="s">
        <v>8187</v>
      </c>
      <c r="C1685" s="16" t="s">
        <v>8778</v>
      </c>
      <c r="D1685" s="16" t="s">
        <v>21</v>
      </c>
      <c r="E1685" s="36" t="s">
        <v>8456</v>
      </c>
      <c r="F1685" s="16" t="s">
        <v>161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910</v>
      </c>
      <c r="N1685" s="19" t="s">
        <v>8472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8609</v>
      </c>
      <c r="B1686" s="16" t="s">
        <v>8188</v>
      </c>
      <c r="C1686" s="16" t="s">
        <v>8779</v>
      </c>
      <c r="D1686" s="16" t="s">
        <v>21</v>
      </c>
      <c r="E1686" s="36" t="s">
        <v>8456</v>
      </c>
      <c r="F1686" s="16" t="s">
        <v>163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1000</v>
      </c>
      <c r="N1686" s="19" t="s">
        <v>8472</v>
      </c>
      <c r="O1686" s="16" t="s">
        <v>4414</v>
      </c>
      <c r="P1686" s="16" t="s">
        <v>8473</v>
      </c>
      <c r="Q1686" s="16" t="s">
        <v>25</v>
      </c>
      <c r="R1686" s="16" t="s">
        <v>10592</v>
      </c>
      <c r="S1686" s="16"/>
      <c r="T1686" s="16"/>
      <c r="U1686" s="16"/>
      <c r="V1686" s="16"/>
      <c r="W1686" s="17"/>
      <c r="X1686" s="17"/>
      <c r="Y1686" s="16"/>
      <c r="Z1686" s="17"/>
      <c r="AA1686" s="17"/>
      <c r="AB1686" s="17"/>
    </row>
    <row r="1687" spans="1:28">
      <c r="A1687" s="16" t="s">
        <v>8610</v>
      </c>
      <c r="B1687" s="16" t="s">
        <v>8189</v>
      </c>
      <c r="C1687" s="16" t="s">
        <v>8780</v>
      </c>
      <c r="D1687" s="16" t="s">
        <v>21</v>
      </c>
      <c r="E1687" s="36" t="s">
        <v>8456</v>
      </c>
      <c r="F1687" s="16" t="s">
        <v>165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1100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8611</v>
      </c>
      <c r="B1688" s="16" t="s">
        <v>8190</v>
      </c>
      <c r="C1688" s="16" t="s">
        <v>8781</v>
      </c>
      <c r="D1688" s="16" t="s">
        <v>21</v>
      </c>
      <c r="E1688" s="36" t="s">
        <v>8456</v>
      </c>
      <c r="F1688" s="16" t="s">
        <v>167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1200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8612</v>
      </c>
      <c r="B1689" s="16" t="s">
        <v>8191</v>
      </c>
      <c r="C1689" s="16" t="s">
        <v>8782</v>
      </c>
      <c r="D1689" s="16" t="s">
        <v>21</v>
      </c>
      <c r="E1689" s="36" t="s">
        <v>8456</v>
      </c>
      <c r="F1689" s="16" t="s">
        <v>169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1300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8613</v>
      </c>
      <c r="B1690" s="16" t="s">
        <v>8192</v>
      </c>
      <c r="C1690" s="16" t="s">
        <v>8783</v>
      </c>
      <c r="D1690" s="16" t="s">
        <v>21</v>
      </c>
      <c r="E1690" s="36" t="s">
        <v>8456</v>
      </c>
      <c r="F1690" s="16" t="s">
        <v>171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1500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6"/>
      <c r="X1690" s="17"/>
      <c r="Y1690" s="16"/>
      <c r="Z1690" s="17"/>
      <c r="AA1690" s="16"/>
      <c r="AB1690" s="17"/>
    </row>
    <row r="1691" spans="1:28">
      <c r="A1691" s="16" t="s">
        <v>8614</v>
      </c>
      <c r="B1691" s="16" t="s">
        <v>8193</v>
      </c>
      <c r="C1691" s="16" t="s">
        <v>8784</v>
      </c>
      <c r="D1691" s="16" t="s">
        <v>21</v>
      </c>
      <c r="E1691" s="36" t="s">
        <v>8456</v>
      </c>
      <c r="F1691" s="16" t="s">
        <v>175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1600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8615</v>
      </c>
      <c r="B1692" s="16" t="s">
        <v>8194</v>
      </c>
      <c r="C1692" s="16" t="s">
        <v>8785</v>
      </c>
      <c r="D1692" s="16" t="s">
        <v>21</v>
      </c>
      <c r="E1692" s="36" t="s">
        <v>8456</v>
      </c>
      <c r="F1692" s="16" t="s">
        <v>181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1800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8616</v>
      </c>
      <c r="B1693" s="16" t="s">
        <v>8195</v>
      </c>
      <c r="C1693" s="16" t="s">
        <v>8786</v>
      </c>
      <c r="D1693" s="16" t="s">
        <v>21</v>
      </c>
      <c r="E1693" s="36" t="s">
        <v>8456</v>
      </c>
      <c r="F1693" s="16" t="s">
        <v>183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2000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6"/>
      <c r="Z1693" s="17"/>
      <c r="AA1693" s="17"/>
      <c r="AB1693" s="17"/>
    </row>
    <row r="1694" spans="1:28">
      <c r="A1694" s="16" t="s">
        <v>8617</v>
      </c>
      <c r="B1694" s="16" t="s">
        <v>8196</v>
      </c>
      <c r="C1694" s="16" t="s">
        <v>8787</v>
      </c>
      <c r="D1694" s="16" t="s">
        <v>21</v>
      </c>
      <c r="E1694" s="36" t="s">
        <v>8456</v>
      </c>
      <c r="F1694" s="16" t="s">
        <v>187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2200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Y1694" s="16"/>
      <c r="AA1694" s="17"/>
      <c r="AB1694" s="17"/>
    </row>
    <row r="1695" spans="1:28">
      <c r="A1695" s="16" t="s">
        <v>8618</v>
      </c>
      <c r="B1695" s="16" t="s">
        <v>8197</v>
      </c>
      <c r="C1695" s="16" t="s">
        <v>8788</v>
      </c>
      <c r="D1695" s="16" t="s">
        <v>21</v>
      </c>
      <c r="E1695" s="36" t="s">
        <v>8456</v>
      </c>
      <c r="F1695" s="16" t="s">
        <v>191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2400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8619</v>
      </c>
      <c r="B1696" s="16" t="s">
        <v>8198</v>
      </c>
      <c r="C1696" s="16" t="s">
        <v>8789</v>
      </c>
      <c r="D1696" s="16" t="s">
        <v>21</v>
      </c>
      <c r="E1696" s="36" t="s">
        <v>8456</v>
      </c>
      <c r="F1696" s="16" t="s">
        <v>193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2700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8620</v>
      </c>
      <c r="B1697" s="16" t="s">
        <v>8199</v>
      </c>
      <c r="C1697" s="16" t="s">
        <v>8790</v>
      </c>
      <c r="D1697" s="16" t="s">
        <v>21</v>
      </c>
      <c r="E1697" s="36" t="s">
        <v>8456</v>
      </c>
      <c r="F1697" s="16" t="s">
        <v>197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3000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8621</v>
      </c>
      <c r="B1698" s="16" t="s">
        <v>8200</v>
      </c>
      <c r="C1698" s="16" t="s">
        <v>8791</v>
      </c>
      <c r="D1698" s="16" t="s">
        <v>21</v>
      </c>
      <c r="E1698" s="36" t="s">
        <v>8456</v>
      </c>
      <c r="F1698" s="16" t="s">
        <v>201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3300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8622</v>
      </c>
      <c r="B1699" s="16" t="s">
        <v>8201</v>
      </c>
      <c r="C1699" s="16" t="s">
        <v>8792</v>
      </c>
      <c r="D1699" s="16" t="s">
        <v>21</v>
      </c>
      <c r="E1699" s="36" t="s">
        <v>8456</v>
      </c>
      <c r="F1699" s="16" t="s">
        <v>203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3600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8623</v>
      </c>
      <c r="B1700" s="16" t="s">
        <v>8202</v>
      </c>
      <c r="C1700" s="16" t="s">
        <v>8793</v>
      </c>
      <c r="D1700" s="16" t="s">
        <v>21</v>
      </c>
      <c r="E1700" s="36" t="s">
        <v>8456</v>
      </c>
      <c r="F1700" s="16" t="s">
        <v>205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3900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8624</v>
      </c>
      <c r="B1701" s="16" t="s">
        <v>8203</v>
      </c>
      <c r="C1701" s="16" t="s">
        <v>8794</v>
      </c>
      <c r="D1701" s="16" t="s">
        <v>21</v>
      </c>
      <c r="E1701" s="36" t="s">
        <v>8456</v>
      </c>
      <c r="F1701" s="16" t="s">
        <v>207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4300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7"/>
      <c r="X1701" s="17"/>
      <c r="Y1701" s="17"/>
      <c r="Z1701" s="17"/>
      <c r="AA1701" s="17"/>
      <c r="AB1701" s="17"/>
    </row>
    <row r="1702" spans="1:28">
      <c r="A1702" s="16" t="s">
        <v>8625</v>
      </c>
      <c r="B1702" s="16" t="s">
        <v>8204</v>
      </c>
      <c r="C1702" s="16" t="s">
        <v>8795</v>
      </c>
      <c r="D1702" s="16" t="s">
        <v>21</v>
      </c>
      <c r="E1702" s="36" t="s">
        <v>8456</v>
      </c>
      <c r="F1702" s="16" t="s">
        <v>209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4700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8626</v>
      </c>
      <c r="B1703" s="16" t="s">
        <v>8205</v>
      </c>
      <c r="C1703" s="16" t="s">
        <v>8796</v>
      </c>
      <c r="D1703" s="16" t="s">
        <v>21</v>
      </c>
      <c r="E1703" s="36" t="s">
        <v>8456</v>
      </c>
      <c r="F1703" s="16" t="s">
        <v>213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5100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6"/>
      <c r="X1703" s="17"/>
      <c r="Y1703" s="16"/>
      <c r="Z1703" s="17"/>
      <c r="AA1703" s="16"/>
      <c r="AB1703" s="17"/>
    </row>
    <row r="1704" spans="1:28">
      <c r="A1704" s="16" t="s">
        <v>8627</v>
      </c>
      <c r="B1704" s="16" t="s">
        <v>8206</v>
      </c>
      <c r="C1704" s="16" t="s">
        <v>8797</v>
      </c>
      <c r="D1704" s="16" t="s">
        <v>21</v>
      </c>
      <c r="E1704" s="36" t="s">
        <v>8456</v>
      </c>
      <c r="F1704" s="16" t="s">
        <v>215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5600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8628</v>
      </c>
      <c r="B1705" s="16" t="s">
        <v>8207</v>
      </c>
      <c r="C1705" s="16" t="s">
        <v>8798</v>
      </c>
      <c r="D1705" s="16" t="s">
        <v>21</v>
      </c>
      <c r="E1705" s="36" t="s">
        <v>8456</v>
      </c>
      <c r="F1705" s="16" t="s">
        <v>217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6200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8629</v>
      </c>
      <c r="B1706" s="16" t="s">
        <v>8208</v>
      </c>
      <c r="C1706" s="16" t="s">
        <v>8799</v>
      </c>
      <c r="D1706" s="16" t="s">
        <v>21</v>
      </c>
      <c r="E1706" s="36" t="s">
        <v>8456</v>
      </c>
      <c r="F1706" s="16" t="s">
        <v>219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6800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8630</v>
      </c>
      <c r="B1707" s="16" t="s">
        <v>8209</v>
      </c>
      <c r="C1707" s="16" t="s">
        <v>8800</v>
      </c>
      <c r="D1707" s="16" t="s">
        <v>21</v>
      </c>
      <c r="E1707" s="36" t="s">
        <v>8456</v>
      </c>
      <c r="F1707" s="16" t="s">
        <v>221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7500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8631</v>
      </c>
      <c r="B1708" s="16" t="s">
        <v>8210</v>
      </c>
      <c r="C1708" s="16" t="s">
        <v>8801</v>
      </c>
      <c r="D1708" s="16" t="s">
        <v>21</v>
      </c>
      <c r="E1708" s="36" t="s">
        <v>8456</v>
      </c>
      <c r="F1708" s="16" t="s">
        <v>223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8200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8632</v>
      </c>
      <c r="B1709" s="16" t="s">
        <v>8211</v>
      </c>
      <c r="C1709" s="16" t="s">
        <v>8802</v>
      </c>
      <c r="D1709" s="16" t="s">
        <v>21</v>
      </c>
      <c r="E1709" s="36" t="s">
        <v>8456</v>
      </c>
      <c r="F1709" s="16" t="s">
        <v>225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9100</v>
      </c>
      <c r="N1709" s="19" t="s">
        <v>8472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8633</v>
      </c>
      <c r="B1710" s="16" t="s">
        <v>8212</v>
      </c>
      <c r="C1710" s="16" t="s">
        <v>8803</v>
      </c>
      <c r="D1710" s="16" t="s">
        <v>21</v>
      </c>
      <c r="E1710" s="36" t="s">
        <v>8456</v>
      </c>
      <c r="F1710" s="16" t="s">
        <v>229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10000</v>
      </c>
      <c r="N1710" s="19" t="s">
        <v>8472</v>
      </c>
      <c r="O1710" s="16" t="s">
        <v>4414</v>
      </c>
      <c r="P1710" s="16" t="s">
        <v>8457</v>
      </c>
      <c r="Q1710" s="16" t="s">
        <v>25</v>
      </c>
      <c r="R1710" s="16" t="s">
        <v>10593</v>
      </c>
      <c r="S1710" s="16" t="s">
        <v>4414</v>
      </c>
      <c r="T1710" s="16" t="s">
        <v>8457</v>
      </c>
      <c r="U1710" s="16" t="s">
        <v>8459</v>
      </c>
      <c r="V1710" s="16" t="s">
        <v>8460</v>
      </c>
      <c r="W1710" s="17"/>
      <c r="X1710" s="17"/>
      <c r="Y1710" s="16"/>
      <c r="Z1710" s="17"/>
      <c r="AA1710" s="17"/>
      <c r="AB1710" s="17"/>
    </row>
    <row r="1711" spans="1:28">
      <c r="A1711" s="16" t="s">
        <v>8634</v>
      </c>
      <c r="B1711" s="16" t="s">
        <v>8213</v>
      </c>
      <c r="C1711" s="16" t="s">
        <v>8804</v>
      </c>
      <c r="D1711" s="16" t="s">
        <v>21</v>
      </c>
      <c r="E1711" s="36" t="s">
        <v>8456</v>
      </c>
      <c r="F1711" s="16" t="s">
        <v>233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11000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8635</v>
      </c>
      <c r="B1712" s="16" t="s">
        <v>8214</v>
      </c>
      <c r="C1712" s="16" t="s">
        <v>8805</v>
      </c>
      <c r="D1712" s="16" t="s">
        <v>21</v>
      </c>
      <c r="E1712" s="36" t="s">
        <v>8456</v>
      </c>
      <c r="F1712" s="16" t="s">
        <v>235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12000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7"/>
      <c r="X1712" s="17"/>
      <c r="Y1712" s="17"/>
      <c r="Z1712" s="17"/>
      <c r="AA1712" s="17"/>
      <c r="AB1712" s="17"/>
    </row>
    <row r="1713" spans="1:28">
      <c r="A1713" s="16" t="s">
        <v>8636</v>
      </c>
      <c r="B1713" s="16" t="s">
        <v>8215</v>
      </c>
      <c r="C1713" s="16" t="s">
        <v>8806</v>
      </c>
      <c r="D1713" s="16" t="s">
        <v>21</v>
      </c>
      <c r="E1713" s="36" t="s">
        <v>8456</v>
      </c>
      <c r="F1713" s="16" t="s">
        <v>239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13000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X1713" s="17"/>
      <c r="Y1713" s="16"/>
      <c r="Z1713" s="16"/>
      <c r="AA1713" s="16"/>
      <c r="AB1713" s="17"/>
    </row>
    <row r="1714" spans="1:28">
      <c r="A1714" s="16" t="s">
        <v>8637</v>
      </c>
      <c r="B1714" s="16" t="s">
        <v>8216</v>
      </c>
      <c r="C1714" s="16" t="s">
        <v>8807</v>
      </c>
      <c r="D1714" s="16" t="s">
        <v>21</v>
      </c>
      <c r="E1714" s="36" t="s">
        <v>8456</v>
      </c>
      <c r="F1714" s="16" t="s">
        <v>243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15000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6"/>
      <c r="Y1714" s="16"/>
      <c r="AA1714" s="16"/>
      <c r="AB1714" s="17"/>
    </row>
    <row r="1715" spans="1:28">
      <c r="A1715" s="16" t="s">
        <v>8638</v>
      </c>
      <c r="B1715" s="16" t="s">
        <v>8217</v>
      </c>
      <c r="C1715" s="16" t="s">
        <v>8808</v>
      </c>
      <c r="D1715" s="16" t="s">
        <v>21</v>
      </c>
      <c r="E1715" s="36" t="s">
        <v>8456</v>
      </c>
      <c r="F1715" s="16" t="s">
        <v>247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16000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8639</v>
      </c>
      <c r="B1716" s="16" t="s">
        <v>8218</v>
      </c>
      <c r="C1716" s="16" t="s">
        <v>8809</v>
      </c>
      <c r="D1716" s="16" t="s">
        <v>21</v>
      </c>
      <c r="E1716" s="36" t="s">
        <v>8456</v>
      </c>
      <c r="F1716" s="16" t="s">
        <v>251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18000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8640</v>
      </c>
      <c r="B1717" s="16" t="s">
        <v>8219</v>
      </c>
      <c r="C1717" s="16" t="s">
        <v>8810</v>
      </c>
      <c r="D1717" s="16" t="s">
        <v>21</v>
      </c>
      <c r="E1717" s="36" t="s">
        <v>8456</v>
      </c>
      <c r="F1717" s="16" t="s">
        <v>255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20000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8641</v>
      </c>
      <c r="B1718" s="16" t="s">
        <v>8220</v>
      </c>
      <c r="C1718" s="16" t="s">
        <v>8811</v>
      </c>
      <c r="D1718" s="16" t="s">
        <v>21</v>
      </c>
      <c r="E1718" s="36" t="s">
        <v>8456</v>
      </c>
      <c r="F1718" s="16" t="s">
        <v>257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22000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6"/>
      <c r="X1718" s="17"/>
      <c r="Y1718" s="16"/>
      <c r="Z1718" s="16"/>
      <c r="AA1718" s="16"/>
      <c r="AB1718" s="17"/>
    </row>
    <row r="1719" spans="1:28">
      <c r="A1719" s="16" t="s">
        <v>8642</v>
      </c>
      <c r="B1719" s="16" t="s">
        <v>8221</v>
      </c>
      <c r="C1719" s="16" t="s">
        <v>8812</v>
      </c>
      <c r="D1719" s="16" t="s">
        <v>21</v>
      </c>
      <c r="E1719" s="36" t="s">
        <v>8456</v>
      </c>
      <c r="F1719" s="16" t="s">
        <v>259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24000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7"/>
      <c r="X1719" s="17"/>
      <c r="Y1719" s="17"/>
      <c r="Z1719" s="17"/>
      <c r="AA1719" s="17"/>
      <c r="AB1719" s="17"/>
    </row>
    <row r="1720" spans="1:28">
      <c r="A1720" s="16" t="s">
        <v>8643</v>
      </c>
      <c r="B1720" s="16" t="s">
        <v>8222</v>
      </c>
      <c r="C1720" s="16" t="s">
        <v>8813</v>
      </c>
      <c r="D1720" s="16" t="s">
        <v>21</v>
      </c>
      <c r="E1720" s="36" t="s">
        <v>8456</v>
      </c>
      <c r="F1720" s="16" t="s">
        <v>263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27000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6"/>
      <c r="Y1720" s="16"/>
      <c r="AA1720" s="17"/>
      <c r="AB1720" s="17"/>
    </row>
    <row r="1721" spans="1:28">
      <c r="A1721" s="16" t="s">
        <v>8644</v>
      </c>
      <c r="B1721" s="16" t="s">
        <v>8223</v>
      </c>
      <c r="C1721" s="16" t="s">
        <v>8814</v>
      </c>
      <c r="D1721" s="16" t="s">
        <v>21</v>
      </c>
      <c r="E1721" s="36" t="s">
        <v>8456</v>
      </c>
      <c r="F1721" s="16" t="s">
        <v>265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30000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8645</v>
      </c>
      <c r="B1722" s="16" t="s">
        <v>8224</v>
      </c>
      <c r="C1722" s="16" t="s">
        <v>8815</v>
      </c>
      <c r="D1722" s="16" t="s">
        <v>21</v>
      </c>
      <c r="E1722" s="36" t="s">
        <v>8456</v>
      </c>
      <c r="F1722" s="16" t="s">
        <v>267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33000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8646</v>
      </c>
      <c r="B1723" s="16" t="s">
        <v>8225</v>
      </c>
      <c r="C1723" s="16" t="s">
        <v>8816</v>
      </c>
      <c r="D1723" s="16" t="s">
        <v>21</v>
      </c>
      <c r="E1723" s="36" t="s">
        <v>8456</v>
      </c>
      <c r="F1723" s="16" t="s">
        <v>269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36000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8647</v>
      </c>
      <c r="B1724" s="16" t="s">
        <v>8226</v>
      </c>
      <c r="C1724" s="16" t="s">
        <v>8817</v>
      </c>
      <c r="D1724" s="16" t="s">
        <v>21</v>
      </c>
      <c r="E1724" s="36" t="s">
        <v>8456</v>
      </c>
      <c r="F1724" s="16" t="s">
        <v>273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39000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8648</v>
      </c>
      <c r="B1725" s="16" t="s">
        <v>8227</v>
      </c>
      <c r="C1725" s="16" t="s">
        <v>8818</v>
      </c>
      <c r="D1725" s="16" t="s">
        <v>21</v>
      </c>
      <c r="E1725" s="36" t="s">
        <v>8456</v>
      </c>
      <c r="F1725" s="16" t="s">
        <v>277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43000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8649</v>
      </c>
      <c r="B1726" s="16" t="s">
        <v>8228</v>
      </c>
      <c r="C1726" s="16" t="s">
        <v>8819</v>
      </c>
      <c r="D1726" s="16" t="s">
        <v>21</v>
      </c>
      <c r="E1726" s="36" t="s">
        <v>8456</v>
      </c>
      <c r="F1726" s="16" t="s">
        <v>279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47000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17"/>
      <c r="AA1726" s="16"/>
      <c r="AB1726" s="17"/>
    </row>
    <row r="1727" spans="1:28">
      <c r="A1727" s="16" t="s">
        <v>8650</v>
      </c>
      <c r="B1727" s="16" t="s">
        <v>8229</v>
      </c>
      <c r="C1727" s="16" t="s">
        <v>8820</v>
      </c>
      <c r="D1727" s="16" t="s">
        <v>21</v>
      </c>
      <c r="E1727" s="36" t="s">
        <v>8456</v>
      </c>
      <c r="F1727" s="16" t="s">
        <v>283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51000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X1727" s="17"/>
      <c r="Y1727" s="16"/>
      <c r="Z1727" s="25"/>
      <c r="AA1727" s="16"/>
      <c r="AB1727" s="17"/>
    </row>
    <row r="1728" spans="1:28">
      <c r="A1728" s="16" t="s">
        <v>8651</v>
      </c>
      <c r="B1728" s="16" t="s">
        <v>8230</v>
      </c>
      <c r="C1728" s="16" t="s">
        <v>8821</v>
      </c>
      <c r="D1728" s="16" t="s">
        <v>21</v>
      </c>
      <c r="E1728" s="36" t="s">
        <v>8456</v>
      </c>
      <c r="F1728" s="16" t="s">
        <v>287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56000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8652</v>
      </c>
      <c r="B1729" s="16" t="s">
        <v>8231</v>
      </c>
      <c r="C1729" s="16" t="s">
        <v>8822</v>
      </c>
      <c r="D1729" s="16" t="s">
        <v>21</v>
      </c>
      <c r="E1729" s="36" t="s">
        <v>8456</v>
      </c>
      <c r="F1729" s="16" t="s">
        <v>291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62000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7"/>
      <c r="X1729" s="17"/>
      <c r="Y1729" s="17"/>
      <c r="Z1729" s="17"/>
      <c r="AA1729" s="17"/>
      <c r="AB1729" s="17"/>
    </row>
    <row r="1730" spans="1:28">
      <c r="A1730" s="16" t="s">
        <v>8653</v>
      </c>
      <c r="B1730" s="16" t="s">
        <v>8232</v>
      </c>
      <c r="C1730" s="16" t="s">
        <v>8823</v>
      </c>
      <c r="D1730" s="16" t="s">
        <v>21</v>
      </c>
      <c r="E1730" s="36" t="s">
        <v>8456</v>
      </c>
      <c r="F1730" s="16" t="s">
        <v>295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68000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8654</v>
      </c>
      <c r="B1731" s="16" t="s">
        <v>8233</v>
      </c>
      <c r="C1731" s="16" t="s">
        <v>8824</v>
      </c>
      <c r="D1731" s="16" t="s">
        <v>21</v>
      </c>
      <c r="E1731" s="36" t="s">
        <v>8456</v>
      </c>
      <c r="F1731" s="16" t="s">
        <v>299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75000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6"/>
      <c r="Y1731" s="16"/>
      <c r="AA1731" s="16"/>
      <c r="AB1731" s="17"/>
    </row>
    <row r="1732" spans="1:28">
      <c r="A1732" s="16" t="s">
        <v>8655</v>
      </c>
      <c r="B1732" s="16" t="s">
        <v>8234</v>
      </c>
      <c r="C1732" s="16" t="s">
        <v>8825</v>
      </c>
      <c r="D1732" s="16" t="s">
        <v>21</v>
      </c>
      <c r="E1732" s="36" t="s">
        <v>8456</v>
      </c>
      <c r="F1732" s="16" t="s">
        <v>301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82000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8656</v>
      </c>
      <c r="B1733" s="16" t="s">
        <v>8235</v>
      </c>
      <c r="C1733" s="16" t="s">
        <v>8826</v>
      </c>
      <c r="D1733" s="16" t="s">
        <v>21</v>
      </c>
      <c r="E1733" s="36" t="s">
        <v>8456</v>
      </c>
      <c r="F1733" s="16" t="s">
        <v>303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91000</v>
      </c>
      <c r="N1733" s="19" t="s">
        <v>8472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8657</v>
      </c>
      <c r="B1734" s="16" t="s">
        <v>8236</v>
      </c>
      <c r="C1734" s="16" t="s">
        <v>8827</v>
      </c>
      <c r="D1734" s="16" t="s">
        <v>21</v>
      </c>
      <c r="E1734" s="36" t="s">
        <v>8456</v>
      </c>
      <c r="F1734" s="16" t="s">
        <v>305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100000</v>
      </c>
      <c r="N1734" s="19" t="s">
        <v>8472</v>
      </c>
      <c r="O1734" s="16" t="s">
        <v>4414</v>
      </c>
      <c r="P1734" s="16" t="s">
        <v>8458</v>
      </c>
      <c r="Q1734" s="16" t="s">
        <v>25</v>
      </c>
      <c r="R1734" s="16" t="s">
        <v>10594</v>
      </c>
      <c r="S1734" s="16" t="s">
        <v>4414</v>
      </c>
      <c r="T1734" s="16" t="s">
        <v>8458</v>
      </c>
      <c r="U1734" s="16" t="s">
        <v>8459</v>
      </c>
      <c r="V1734" s="16" t="s">
        <v>8460</v>
      </c>
      <c r="W1734" s="16"/>
      <c r="X1734" s="17"/>
      <c r="Y1734" s="16"/>
      <c r="Z1734" s="17"/>
      <c r="AA1734" s="16"/>
      <c r="AB1734" s="17"/>
    </row>
    <row r="1735" spans="1:28">
      <c r="A1735" s="16" t="s">
        <v>8658</v>
      </c>
      <c r="B1735" s="16" t="s">
        <v>8237</v>
      </c>
      <c r="C1735" s="16" t="s">
        <v>8828</v>
      </c>
      <c r="D1735" s="16" t="s">
        <v>21</v>
      </c>
      <c r="E1735" s="36" t="s">
        <v>8456</v>
      </c>
      <c r="F1735" s="16" t="s">
        <v>309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110000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8659</v>
      </c>
      <c r="B1736" s="16" t="s">
        <v>8238</v>
      </c>
      <c r="C1736" s="16" t="s">
        <v>8829</v>
      </c>
      <c r="D1736" s="16" t="s">
        <v>21</v>
      </c>
      <c r="E1736" s="36" t="s">
        <v>8456</v>
      </c>
      <c r="F1736" s="16" t="s">
        <v>313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120000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8660</v>
      </c>
      <c r="B1737" s="16" t="s">
        <v>8239</v>
      </c>
      <c r="C1737" s="16" t="s">
        <v>8830</v>
      </c>
      <c r="D1737" s="16" t="s">
        <v>21</v>
      </c>
      <c r="E1737" s="36" t="s">
        <v>8456</v>
      </c>
      <c r="F1737" s="16" t="s">
        <v>317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130000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8661</v>
      </c>
      <c r="B1738" s="16" t="s">
        <v>8240</v>
      </c>
      <c r="C1738" s="16" t="s">
        <v>8831</v>
      </c>
      <c r="D1738" s="16" t="s">
        <v>21</v>
      </c>
      <c r="E1738" s="36" t="s">
        <v>8456</v>
      </c>
      <c r="F1738" s="16" t="s">
        <v>321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150000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6"/>
      <c r="X1738" s="17"/>
      <c r="Y1738" s="16"/>
      <c r="Z1738" s="17"/>
      <c r="AA1738" s="16"/>
      <c r="AB1738" s="17"/>
    </row>
    <row r="1739" spans="1:28">
      <c r="A1739" s="16" t="s">
        <v>8662</v>
      </c>
      <c r="B1739" s="16" t="s">
        <v>8241</v>
      </c>
      <c r="C1739" s="16" t="s">
        <v>8832</v>
      </c>
      <c r="D1739" s="16" t="s">
        <v>21</v>
      </c>
      <c r="E1739" s="36" t="s">
        <v>8456</v>
      </c>
      <c r="F1739" s="16" t="s">
        <v>323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160000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8663</v>
      </c>
      <c r="B1740" s="16" t="s">
        <v>8242</v>
      </c>
      <c r="C1740" s="16" t="s">
        <v>8833</v>
      </c>
      <c r="D1740" s="16" t="s">
        <v>21</v>
      </c>
      <c r="E1740" s="36" t="s">
        <v>8456</v>
      </c>
      <c r="F1740" s="16" t="s">
        <v>327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180000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8664</v>
      </c>
      <c r="B1741" s="16" t="s">
        <v>8243</v>
      </c>
      <c r="C1741" s="16" t="s">
        <v>8834</v>
      </c>
      <c r="D1741" s="16" t="s">
        <v>21</v>
      </c>
      <c r="E1741" s="36" t="s">
        <v>8456</v>
      </c>
      <c r="F1741" s="16" t="s">
        <v>331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200000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8665</v>
      </c>
      <c r="B1742" s="16" t="s">
        <v>8244</v>
      </c>
      <c r="C1742" s="16" t="s">
        <v>8835</v>
      </c>
      <c r="D1742" s="16" t="s">
        <v>21</v>
      </c>
      <c r="E1742" s="36" t="s">
        <v>8456</v>
      </c>
      <c r="F1742" s="16" t="s">
        <v>333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220000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6"/>
      <c r="X1742" s="17"/>
      <c r="Y1742" s="16"/>
      <c r="Z1742" s="16"/>
      <c r="AA1742" s="16"/>
      <c r="AB1742" s="17"/>
    </row>
    <row r="1743" spans="1:28">
      <c r="A1743" s="16" t="s">
        <v>8666</v>
      </c>
      <c r="B1743" s="16" t="s">
        <v>8245</v>
      </c>
      <c r="C1743" s="16" t="s">
        <v>8836</v>
      </c>
      <c r="D1743" s="16" t="s">
        <v>21</v>
      </c>
      <c r="E1743" s="36" t="s">
        <v>8456</v>
      </c>
      <c r="F1743" s="16" t="s">
        <v>335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240000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8667</v>
      </c>
      <c r="B1744" s="16" t="s">
        <v>8246</v>
      </c>
      <c r="C1744" s="16" t="s">
        <v>8837</v>
      </c>
      <c r="D1744" s="16" t="s">
        <v>21</v>
      </c>
      <c r="E1744" s="36" t="s">
        <v>8456</v>
      </c>
      <c r="F1744" s="16" t="s">
        <v>337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270000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8668</v>
      </c>
      <c r="B1745" s="16" t="s">
        <v>8247</v>
      </c>
      <c r="C1745" s="16" t="s">
        <v>8838</v>
      </c>
      <c r="D1745" s="16" t="s">
        <v>21</v>
      </c>
      <c r="E1745" s="36" t="s">
        <v>8456</v>
      </c>
      <c r="F1745" s="16" t="s">
        <v>339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300000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X1745" s="17"/>
      <c r="Y1745" s="16"/>
      <c r="AA1745" s="16"/>
      <c r="AB1745" s="17"/>
    </row>
    <row r="1746" spans="1:28">
      <c r="A1746" s="16" t="s">
        <v>8669</v>
      </c>
      <c r="B1746" s="16" t="s">
        <v>8248</v>
      </c>
      <c r="C1746" s="16" t="s">
        <v>8839</v>
      </c>
      <c r="D1746" s="16" t="s">
        <v>21</v>
      </c>
      <c r="E1746" s="36" t="s">
        <v>8456</v>
      </c>
      <c r="F1746" s="16" t="s">
        <v>341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330000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6"/>
      <c r="Y1746" s="16"/>
      <c r="Z1746" s="16"/>
      <c r="AA1746" s="16"/>
      <c r="AB1746" s="17"/>
    </row>
    <row r="1747" spans="1:28">
      <c r="A1747" s="16" t="s">
        <v>8670</v>
      </c>
      <c r="B1747" s="16" t="s">
        <v>8249</v>
      </c>
      <c r="C1747" s="16" t="s">
        <v>8840</v>
      </c>
      <c r="D1747" s="16" t="s">
        <v>21</v>
      </c>
      <c r="E1747" s="36" t="s">
        <v>8456</v>
      </c>
      <c r="F1747" s="16" t="s">
        <v>345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360000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8671</v>
      </c>
      <c r="B1748" s="16" t="s">
        <v>8250</v>
      </c>
      <c r="C1748" s="16" t="s">
        <v>8841</v>
      </c>
      <c r="D1748" s="16" t="s">
        <v>21</v>
      </c>
      <c r="E1748" s="36" t="s">
        <v>8456</v>
      </c>
      <c r="F1748" s="16" t="s">
        <v>349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390000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6"/>
      <c r="Y1748" s="16"/>
      <c r="AA1748" s="16"/>
      <c r="AB1748" s="17"/>
    </row>
    <row r="1749" spans="1:28">
      <c r="A1749" s="16" t="s">
        <v>8672</v>
      </c>
      <c r="B1749" s="16" t="s">
        <v>8251</v>
      </c>
      <c r="C1749" s="16" t="s">
        <v>8842</v>
      </c>
      <c r="D1749" s="16" t="s">
        <v>21</v>
      </c>
      <c r="E1749" s="36" t="s">
        <v>8456</v>
      </c>
      <c r="F1749" s="16" t="s">
        <v>351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430000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8673</v>
      </c>
      <c r="B1750" s="16" t="s">
        <v>8252</v>
      </c>
      <c r="C1750" s="16" t="s">
        <v>8843</v>
      </c>
      <c r="D1750" s="16" t="s">
        <v>21</v>
      </c>
      <c r="E1750" s="36" t="s">
        <v>8456</v>
      </c>
      <c r="F1750" s="16" t="s">
        <v>353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470000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8674</v>
      </c>
      <c r="B1751" s="16" t="s">
        <v>8253</v>
      </c>
      <c r="C1751" s="16" t="s">
        <v>8844</v>
      </c>
      <c r="D1751" s="16" t="s">
        <v>21</v>
      </c>
      <c r="E1751" s="36" t="s">
        <v>8456</v>
      </c>
      <c r="F1751" s="16" t="s">
        <v>355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510000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8675</v>
      </c>
      <c r="B1752" s="16" t="s">
        <v>8254</v>
      </c>
      <c r="C1752" s="16" t="s">
        <v>8845</v>
      </c>
      <c r="D1752" s="16" t="s">
        <v>21</v>
      </c>
      <c r="E1752" s="36" t="s">
        <v>8456</v>
      </c>
      <c r="F1752" s="16" t="s">
        <v>357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560000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8676</v>
      </c>
      <c r="B1753" s="16" t="s">
        <v>8255</v>
      </c>
      <c r="C1753" s="16" t="s">
        <v>8846</v>
      </c>
      <c r="D1753" s="16" t="s">
        <v>21</v>
      </c>
      <c r="E1753" s="36" t="s">
        <v>8456</v>
      </c>
      <c r="F1753" s="16" t="s">
        <v>359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620000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8677</v>
      </c>
      <c r="B1754" s="16" t="s">
        <v>8256</v>
      </c>
      <c r="C1754" s="16" t="s">
        <v>8847</v>
      </c>
      <c r="D1754" s="16" t="s">
        <v>21</v>
      </c>
      <c r="E1754" s="36" t="s">
        <v>8456</v>
      </c>
      <c r="F1754" s="16" t="s">
        <v>361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680000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8678</v>
      </c>
      <c r="B1755" s="16" t="s">
        <v>8257</v>
      </c>
      <c r="C1755" s="16" t="s">
        <v>8848</v>
      </c>
      <c r="D1755" s="16" t="s">
        <v>21</v>
      </c>
      <c r="E1755" s="36" t="s">
        <v>8456</v>
      </c>
      <c r="F1755" s="16" t="s">
        <v>363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750000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8679</v>
      </c>
      <c r="B1756" s="16" t="s">
        <v>8258</v>
      </c>
      <c r="C1756" s="16" t="s">
        <v>8849</v>
      </c>
      <c r="D1756" s="16" t="s">
        <v>21</v>
      </c>
      <c r="E1756" s="36" t="s">
        <v>8456</v>
      </c>
      <c r="F1756" s="16" t="s">
        <v>365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820000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8680</v>
      </c>
      <c r="B1757" s="16" t="s">
        <v>8259</v>
      </c>
      <c r="C1757" s="16" t="s">
        <v>8850</v>
      </c>
      <c r="D1757" s="16" t="s">
        <v>21</v>
      </c>
      <c r="E1757" s="36" t="s">
        <v>8456</v>
      </c>
      <c r="F1757" s="16" t="s">
        <v>367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910000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8681</v>
      </c>
      <c r="B1758" s="16" t="s">
        <v>8260</v>
      </c>
      <c r="C1758" s="16" t="s">
        <v>8851</v>
      </c>
      <c r="D1758" s="16" t="s">
        <v>21</v>
      </c>
      <c r="E1758" s="36" t="s">
        <v>8456</v>
      </c>
      <c r="F1758" s="16" t="s">
        <v>369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1000000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8682</v>
      </c>
      <c r="B1759" s="16" t="s">
        <v>8261</v>
      </c>
      <c r="C1759" s="16" t="s">
        <v>8852</v>
      </c>
      <c r="D1759" s="16" t="s">
        <v>21</v>
      </c>
      <c r="E1759" s="36" t="s">
        <v>8456</v>
      </c>
      <c r="F1759" s="16" t="s">
        <v>371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1100000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8683</v>
      </c>
      <c r="B1760" s="16" t="s">
        <v>8262</v>
      </c>
      <c r="C1760" s="16" t="s">
        <v>8853</v>
      </c>
      <c r="D1760" s="16" t="s">
        <v>21</v>
      </c>
      <c r="E1760" s="36" t="s">
        <v>8456</v>
      </c>
      <c r="F1760" s="16" t="s">
        <v>373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1200000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8684</v>
      </c>
      <c r="B1761" s="16" t="s">
        <v>8263</v>
      </c>
      <c r="C1761" s="16" t="s">
        <v>8854</v>
      </c>
      <c r="D1761" s="16" t="s">
        <v>21</v>
      </c>
      <c r="E1761" s="36" t="s">
        <v>8456</v>
      </c>
      <c r="F1761" s="16" t="s">
        <v>375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1300000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8685</v>
      </c>
      <c r="B1762" s="16" t="s">
        <v>8264</v>
      </c>
      <c r="C1762" s="16" t="s">
        <v>8855</v>
      </c>
      <c r="D1762" s="16" t="s">
        <v>21</v>
      </c>
      <c r="E1762" s="36" t="s">
        <v>8456</v>
      </c>
      <c r="F1762" s="16" t="s">
        <v>377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1500000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8686</v>
      </c>
      <c r="B1763" s="16" t="s">
        <v>8265</v>
      </c>
      <c r="C1763" s="16" t="s">
        <v>8856</v>
      </c>
      <c r="D1763" s="16" t="s">
        <v>21</v>
      </c>
      <c r="E1763" s="36" t="s">
        <v>8456</v>
      </c>
      <c r="F1763" s="16" t="s">
        <v>379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1600000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8687</v>
      </c>
      <c r="B1764" s="16" t="s">
        <v>8266</v>
      </c>
      <c r="C1764" s="16" t="s">
        <v>8857</v>
      </c>
      <c r="D1764" s="16" t="s">
        <v>21</v>
      </c>
      <c r="E1764" s="36" t="s">
        <v>8456</v>
      </c>
      <c r="F1764" s="16" t="s">
        <v>381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1800000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8688</v>
      </c>
      <c r="B1765" s="16" t="s">
        <v>8267</v>
      </c>
      <c r="C1765" s="16" t="s">
        <v>8858</v>
      </c>
      <c r="D1765" s="16" t="s">
        <v>21</v>
      </c>
      <c r="E1765" s="36" t="s">
        <v>8456</v>
      </c>
      <c r="F1765" s="16" t="s">
        <v>383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2000000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8689</v>
      </c>
      <c r="B1766" s="16" t="s">
        <v>8268</v>
      </c>
      <c r="C1766" s="16" t="s">
        <v>8859</v>
      </c>
      <c r="D1766" s="16" t="s">
        <v>21</v>
      </c>
      <c r="E1766" s="36" t="s">
        <v>8456</v>
      </c>
      <c r="F1766" s="16" t="s">
        <v>385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2200000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8690</v>
      </c>
      <c r="B1767" s="16" t="s">
        <v>8269</v>
      </c>
      <c r="C1767" s="16" t="s">
        <v>8860</v>
      </c>
      <c r="D1767" s="16" t="s">
        <v>21</v>
      </c>
      <c r="E1767" s="36" t="s">
        <v>8456</v>
      </c>
      <c r="F1767" s="16" t="s">
        <v>387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2400000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8691</v>
      </c>
      <c r="B1768" s="16" t="s">
        <v>8270</v>
      </c>
      <c r="C1768" s="16" t="s">
        <v>8861</v>
      </c>
      <c r="D1768" s="16" t="s">
        <v>21</v>
      </c>
      <c r="E1768" s="36" t="s">
        <v>8456</v>
      </c>
      <c r="F1768" s="16" t="s">
        <v>389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2700000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8692</v>
      </c>
      <c r="B1769" s="16" t="s">
        <v>8271</v>
      </c>
      <c r="C1769" s="16" t="s">
        <v>8862</v>
      </c>
      <c r="D1769" s="16" t="s">
        <v>21</v>
      </c>
      <c r="E1769" s="36" t="s">
        <v>8456</v>
      </c>
      <c r="F1769" s="16" t="s">
        <v>391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3000000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8693</v>
      </c>
      <c r="B1770" s="16" t="s">
        <v>8272</v>
      </c>
      <c r="C1770" s="16" t="s">
        <v>8863</v>
      </c>
      <c r="D1770" s="16" t="s">
        <v>21</v>
      </c>
      <c r="E1770" s="36" t="s">
        <v>8456</v>
      </c>
      <c r="F1770" s="16" t="s">
        <v>393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3300000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8694</v>
      </c>
      <c r="B1771" s="16" t="s">
        <v>8273</v>
      </c>
      <c r="C1771" s="16" t="s">
        <v>8864</v>
      </c>
      <c r="D1771" s="16" t="s">
        <v>21</v>
      </c>
      <c r="E1771" s="36" t="s">
        <v>8456</v>
      </c>
      <c r="F1771" s="16" t="s">
        <v>395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3600000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8695</v>
      </c>
      <c r="B1772" s="16" t="s">
        <v>8274</v>
      </c>
      <c r="C1772" s="16" t="s">
        <v>8865</v>
      </c>
      <c r="D1772" s="16" t="s">
        <v>21</v>
      </c>
      <c r="E1772" s="36" t="s">
        <v>8456</v>
      </c>
      <c r="F1772" s="16" t="s">
        <v>397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3900000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8696</v>
      </c>
      <c r="B1773" s="16" t="s">
        <v>8275</v>
      </c>
      <c r="C1773" s="16" t="s">
        <v>8866</v>
      </c>
      <c r="D1773" s="16" t="s">
        <v>21</v>
      </c>
      <c r="E1773" s="36" t="s">
        <v>8456</v>
      </c>
      <c r="F1773" s="16" t="s">
        <v>399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4300000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8697</v>
      </c>
      <c r="B1774" s="16" t="s">
        <v>8276</v>
      </c>
      <c r="C1774" s="16" t="s">
        <v>8867</v>
      </c>
      <c r="D1774" s="16" t="s">
        <v>21</v>
      </c>
      <c r="E1774" s="36" t="s">
        <v>8456</v>
      </c>
      <c r="F1774" s="16" t="s">
        <v>401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4700000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8698</v>
      </c>
      <c r="B1775" s="16" t="s">
        <v>8277</v>
      </c>
      <c r="C1775" s="16" t="s">
        <v>8868</v>
      </c>
      <c r="D1775" s="16" t="s">
        <v>21</v>
      </c>
      <c r="E1775" s="36" t="s">
        <v>8456</v>
      </c>
      <c r="F1775" s="16" t="s">
        <v>403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5100000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8699</v>
      </c>
      <c r="B1776" s="16" t="s">
        <v>8278</v>
      </c>
      <c r="C1776" s="16" t="s">
        <v>8869</v>
      </c>
      <c r="D1776" s="16" t="s">
        <v>21</v>
      </c>
      <c r="E1776" s="36" t="s">
        <v>8456</v>
      </c>
      <c r="F1776" s="16" t="s">
        <v>405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5600000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8700</v>
      </c>
      <c r="B1777" s="16" t="s">
        <v>8279</v>
      </c>
      <c r="C1777" s="16" t="s">
        <v>8870</v>
      </c>
      <c r="D1777" s="16" t="s">
        <v>21</v>
      </c>
      <c r="E1777" s="36" t="s">
        <v>8456</v>
      </c>
      <c r="F1777" s="16" t="s">
        <v>407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6200000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8701</v>
      </c>
      <c r="B1778" s="16" t="s">
        <v>8280</v>
      </c>
      <c r="C1778" s="16" t="s">
        <v>8871</v>
      </c>
      <c r="D1778" s="16" t="s">
        <v>21</v>
      </c>
      <c r="E1778" s="36" t="s">
        <v>8456</v>
      </c>
      <c r="F1778" s="16" t="s">
        <v>409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6800000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6" t="s">
        <v>8702</v>
      </c>
      <c r="B1779" s="16" t="s">
        <v>8281</v>
      </c>
      <c r="C1779" s="16" t="s">
        <v>8872</v>
      </c>
      <c r="D1779" s="16" t="s">
        <v>21</v>
      </c>
      <c r="E1779" s="36" t="s">
        <v>8456</v>
      </c>
      <c r="F1779" s="16" t="s">
        <v>411</v>
      </c>
      <c r="G1779" s="17" t="str">
        <f>Config!$B$3</f>
        <v>SCH/R_IEC.SchLib</v>
      </c>
      <c r="H1779" s="16" t="s">
        <v>419</v>
      </c>
      <c r="I1779" s="18" t="s">
        <v>7503</v>
      </c>
      <c r="J1779" s="16" t="s">
        <v>8876</v>
      </c>
      <c r="K1779" s="16"/>
      <c r="L1779" s="16"/>
      <c r="M1779" s="20">
        <v>7500000</v>
      </c>
      <c r="N1779" s="19" t="s">
        <v>8472</v>
      </c>
      <c r="O1779" s="16" t="s">
        <v>4414</v>
      </c>
      <c r="P1779" s="16"/>
      <c r="Q1779" s="16"/>
      <c r="R1779" s="16"/>
      <c r="S1779" s="16"/>
      <c r="T1779" s="16"/>
      <c r="U1779" s="16"/>
      <c r="V1779" s="16"/>
      <c r="W1779" s="17"/>
      <c r="X1779" s="17"/>
      <c r="Y1779" s="17"/>
      <c r="Z1779" s="17"/>
      <c r="AA1779" s="17"/>
      <c r="AB1779" s="17"/>
    </row>
    <row r="1780" spans="1:28">
      <c r="A1780" s="17" t="s">
        <v>8703</v>
      </c>
      <c r="B1780" s="17" t="s">
        <v>8282</v>
      </c>
      <c r="C1780" s="17" t="s">
        <v>8873</v>
      </c>
      <c r="D1780" s="17" t="s">
        <v>21</v>
      </c>
      <c r="E1780" s="37" t="s">
        <v>8456</v>
      </c>
      <c r="F1780" s="17" t="s">
        <v>413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8200000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8704</v>
      </c>
      <c r="B1781" s="17" t="s">
        <v>8283</v>
      </c>
      <c r="C1781" s="17" t="s">
        <v>8874</v>
      </c>
      <c r="D1781" s="17" t="s">
        <v>21</v>
      </c>
      <c r="E1781" s="37" t="s">
        <v>8456</v>
      </c>
      <c r="F1781" s="17" t="s">
        <v>415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9100000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s="17" t="s">
        <v>8705</v>
      </c>
      <c r="B1782" s="17" t="s">
        <v>8284</v>
      </c>
      <c r="C1782" s="17" t="s">
        <v>8875</v>
      </c>
      <c r="D1782" s="17" t="s">
        <v>21</v>
      </c>
      <c r="E1782" s="37" t="s">
        <v>8456</v>
      </c>
      <c r="F1782" s="17" t="s">
        <v>417</v>
      </c>
      <c r="G1782" s="17" t="str">
        <f>Config!$B$3</f>
        <v>SCH/R_IEC.SchLib</v>
      </c>
      <c r="H1782" s="17" t="s">
        <v>419</v>
      </c>
      <c r="I1782" s="18" t="s">
        <v>7503</v>
      </c>
      <c r="J1782" s="16" t="s">
        <v>8876</v>
      </c>
      <c r="K1782" s="16"/>
      <c r="L1782" s="16"/>
      <c r="M1782" s="21">
        <v>10000000</v>
      </c>
      <c r="N1782" s="19" t="s">
        <v>8472</v>
      </c>
      <c r="O1782" s="16" t="s">
        <v>4414</v>
      </c>
      <c r="P1782" s="17"/>
      <c r="Q1782" s="17"/>
      <c r="R1782" s="17"/>
      <c r="S1782" s="17"/>
      <c r="T1782" s="17"/>
      <c r="U1782" s="17"/>
      <c r="V1782" s="17"/>
      <c r="W1782" s="17"/>
      <c r="X1782" s="17"/>
      <c r="Y1782" s="17"/>
      <c r="Z1782" s="17"/>
      <c r="AA1782" s="17"/>
      <c r="AB1782" s="17"/>
    </row>
    <row r="1783" spans="1:28">
      <c r="A1783" t="s">
        <v>11693</v>
      </c>
      <c r="B1783" t="s">
        <v>11637</v>
      </c>
      <c r="C1783" t="s">
        <v>11749</v>
      </c>
      <c r="D1783" s="17" t="s">
        <v>21</v>
      </c>
      <c r="E1783" t="s">
        <v>11613</v>
      </c>
      <c r="F1783" t="s">
        <v>1116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5.0999999999999996</v>
      </c>
      <c r="N1783" t="s">
        <v>11453</v>
      </c>
      <c r="O1783" t="s">
        <v>11508</v>
      </c>
      <c r="P1783" t="s">
        <v>11558</v>
      </c>
      <c r="Q1783" t="s">
        <v>25</v>
      </c>
      <c r="R1783" t="s">
        <v>11967</v>
      </c>
    </row>
    <row r="1784" spans="1:28">
      <c r="A1784" t="s">
        <v>11698</v>
      </c>
      <c r="B1784" t="s">
        <v>11642</v>
      </c>
      <c r="C1784" t="s">
        <v>11754</v>
      </c>
      <c r="D1784" s="17" t="s">
        <v>21</v>
      </c>
      <c r="E1784" t="s">
        <v>11613</v>
      </c>
      <c r="F1784" t="s">
        <v>47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5.6</v>
      </c>
      <c r="N1784" t="s">
        <v>11460</v>
      </c>
      <c r="O1784" t="s">
        <v>11508</v>
      </c>
      <c r="P1784" t="s">
        <v>11565</v>
      </c>
      <c r="Q1784" t="s">
        <v>25</v>
      </c>
      <c r="R1784" t="s">
        <v>11974</v>
      </c>
    </row>
    <row r="1785" spans="1:28">
      <c r="A1785" t="s">
        <v>11694</v>
      </c>
      <c r="B1785" t="s">
        <v>11638</v>
      </c>
      <c r="C1785" t="s">
        <v>11750</v>
      </c>
      <c r="D1785" s="17" t="s">
        <v>21</v>
      </c>
      <c r="E1785" t="s">
        <v>11613</v>
      </c>
      <c r="F1785" t="s">
        <v>1128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6.2</v>
      </c>
      <c r="N1785" t="s">
        <v>11454</v>
      </c>
      <c r="O1785" t="s">
        <v>11508</v>
      </c>
      <c r="P1785" t="s">
        <v>11559</v>
      </c>
      <c r="Q1785" t="s">
        <v>25</v>
      </c>
      <c r="R1785" t="s">
        <v>11968</v>
      </c>
    </row>
    <row r="1786" spans="1:28">
      <c r="A1786" t="s">
        <v>11715</v>
      </c>
      <c r="B1786" t="s">
        <v>11659</v>
      </c>
      <c r="C1786" t="s">
        <v>11771</v>
      </c>
      <c r="D1786" s="17" t="s">
        <v>21</v>
      </c>
      <c r="E1786" t="s">
        <v>11613</v>
      </c>
      <c r="F1786" t="s">
        <v>49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6.8</v>
      </c>
      <c r="N1786" t="s">
        <v>11486</v>
      </c>
      <c r="O1786" t="s">
        <v>11508</v>
      </c>
      <c r="P1786" t="s">
        <v>11591</v>
      </c>
      <c r="Q1786" t="s">
        <v>25</v>
      </c>
      <c r="R1786" t="s">
        <v>12000</v>
      </c>
    </row>
    <row r="1787" spans="1:28">
      <c r="A1787" t="s">
        <v>11695</v>
      </c>
      <c r="B1787" t="s">
        <v>11639</v>
      </c>
      <c r="C1787" t="s">
        <v>11751</v>
      </c>
      <c r="D1787" s="17" t="s">
        <v>21</v>
      </c>
      <c r="E1787" t="s">
        <v>11613</v>
      </c>
      <c r="F1787" t="s">
        <v>1138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7.5</v>
      </c>
      <c r="N1787" t="s">
        <v>11455</v>
      </c>
      <c r="O1787" t="s">
        <v>11508</v>
      </c>
      <c r="P1787" t="s">
        <v>11560</v>
      </c>
      <c r="Q1787" t="s">
        <v>25</v>
      </c>
      <c r="R1787" t="s">
        <v>11969</v>
      </c>
    </row>
    <row r="1788" spans="1:28">
      <c r="A1788" t="s">
        <v>11697</v>
      </c>
      <c r="B1788" t="s">
        <v>11641</v>
      </c>
      <c r="C1788" t="s">
        <v>11753</v>
      </c>
      <c r="D1788" s="17" t="s">
        <v>21</v>
      </c>
      <c r="E1788" t="s">
        <v>11613</v>
      </c>
      <c r="F1788" t="s">
        <v>51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8.1999999999999993</v>
      </c>
      <c r="N1788" t="s">
        <v>11457</v>
      </c>
      <c r="O1788" t="s">
        <v>11508</v>
      </c>
      <c r="P1788" t="s">
        <v>11562</v>
      </c>
      <c r="Q1788" t="s">
        <v>25</v>
      </c>
      <c r="R1788" t="s">
        <v>11971</v>
      </c>
    </row>
    <row r="1789" spans="1:28">
      <c r="A1789" t="s">
        <v>11721</v>
      </c>
      <c r="B1789" t="s">
        <v>11665</v>
      </c>
      <c r="C1789" t="s">
        <v>11777</v>
      </c>
      <c r="D1789" s="17" t="s">
        <v>21</v>
      </c>
      <c r="E1789" t="s">
        <v>11613</v>
      </c>
      <c r="F1789" t="s">
        <v>1148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9.1</v>
      </c>
      <c r="N1789" t="s">
        <v>11498</v>
      </c>
      <c r="O1789" t="s">
        <v>11508</v>
      </c>
      <c r="P1789" t="s">
        <v>11603</v>
      </c>
      <c r="Q1789" t="s">
        <v>25</v>
      </c>
      <c r="R1789" t="s">
        <v>12012</v>
      </c>
    </row>
    <row r="1790" spans="1:28">
      <c r="A1790" t="s">
        <v>11808</v>
      </c>
      <c r="B1790" t="s">
        <v>11853</v>
      </c>
      <c r="C1790" t="s">
        <v>11898</v>
      </c>
      <c r="D1790" s="17" t="s">
        <v>21</v>
      </c>
      <c r="E1790" t="s">
        <v>11613</v>
      </c>
      <c r="F1790" t="s">
        <v>53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10</v>
      </c>
      <c r="N1790" t="s">
        <v>11459</v>
      </c>
      <c r="O1790" t="s">
        <v>11508</v>
      </c>
      <c r="P1790" t="s">
        <v>11564</v>
      </c>
      <c r="Q1790" t="s">
        <v>25</v>
      </c>
      <c r="R1790" t="s">
        <v>11973</v>
      </c>
    </row>
    <row r="1791" spans="1:28">
      <c r="A1791" t="s">
        <v>11825</v>
      </c>
      <c r="B1791" t="s">
        <v>11870</v>
      </c>
      <c r="C1791" t="s">
        <v>11915</v>
      </c>
      <c r="D1791" s="17" t="s">
        <v>21</v>
      </c>
      <c r="E1791" t="s">
        <v>11613</v>
      </c>
      <c r="F1791" t="s">
        <v>57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11</v>
      </c>
      <c r="N1791" t="s">
        <v>11502</v>
      </c>
      <c r="O1791" t="s">
        <v>11508</v>
      </c>
      <c r="P1791" t="s">
        <v>11607</v>
      </c>
      <c r="Q1791" t="s">
        <v>25</v>
      </c>
      <c r="R1791" t="s">
        <v>12016</v>
      </c>
    </row>
    <row r="1792" spans="1:28">
      <c r="A1792" t="s">
        <v>11819</v>
      </c>
      <c r="B1792" t="s">
        <v>11864</v>
      </c>
      <c r="C1792" t="s">
        <v>11909</v>
      </c>
      <c r="D1792" s="17" t="s">
        <v>21</v>
      </c>
      <c r="E1792" t="s">
        <v>11613</v>
      </c>
      <c r="F1792" t="s">
        <v>59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12</v>
      </c>
      <c r="N1792" t="s">
        <v>11490</v>
      </c>
      <c r="O1792" t="s">
        <v>11508</v>
      </c>
      <c r="P1792" t="s">
        <v>11595</v>
      </c>
      <c r="Q1792" t="s">
        <v>25</v>
      </c>
      <c r="R1792" t="s">
        <v>12004</v>
      </c>
    </row>
    <row r="1793" spans="1:18">
      <c r="A1793" t="s">
        <v>11824</v>
      </c>
      <c r="B1793" t="s">
        <v>11869</v>
      </c>
      <c r="C1793" t="s">
        <v>11914</v>
      </c>
      <c r="D1793" s="17" t="s">
        <v>21</v>
      </c>
      <c r="E1793" t="s">
        <v>11613</v>
      </c>
      <c r="F1793" t="s">
        <v>61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13</v>
      </c>
      <c r="N1793" t="s">
        <v>11499</v>
      </c>
      <c r="O1793" t="s">
        <v>11508</v>
      </c>
      <c r="P1793" t="s">
        <v>11604</v>
      </c>
      <c r="Q1793" t="s">
        <v>25</v>
      </c>
      <c r="R1793" t="s">
        <v>12013</v>
      </c>
    </row>
    <row r="1794" spans="1:18">
      <c r="A1794" t="s">
        <v>11787</v>
      </c>
      <c r="B1794" t="s">
        <v>11832</v>
      </c>
      <c r="C1794" t="s">
        <v>11877</v>
      </c>
      <c r="D1794" s="17" t="s">
        <v>21</v>
      </c>
      <c r="E1794" t="s">
        <v>11613</v>
      </c>
      <c r="F1794" t="s">
        <v>63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15</v>
      </c>
      <c r="N1794" t="s">
        <v>11410</v>
      </c>
      <c r="O1794" t="s">
        <v>11508</v>
      </c>
      <c r="P1794" t="s">
        <v>11515</v>
      </c>
      <c r="Q1794" t="s">
        <v>25</v>
      </c>
      <c r="R1794" t="s">
        <v>11924</v>
      </c>
    </row>
    <row r="1795" spans="1:18">
      <c r="A1795" t="s">
        <v>11792</v>
      </c>
      <c r="B1795" t="s">
        <v>11837</v>
      </c>
      <c r="C1795" t="s">
        <v>11882</v>
      </c>
      <c r="D1795" s="17" t="s">
        <v>21</v>
      </c>
      <c r="E1795" t="s">
        <v>11613</v>
      </c>
      <c r="F1795" t="s">
        <v>65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16</v>
      </c>
      <c r="N1795" t="s">
        <v>11421</v>
      </c>
      <c r="O1795" t="s">
        <v>11508</v>
      </c>
      <c r="P1795" t="s">
        <v>11526</v>
      </c>
      <c r="Q1795" t="s">
        <v>25</v>
      </c>
      <c r="R1795" t="s">
        <v>11935</v>
      </c>
    </row>
    <row r="1796" spans="1:18">
      <c r="A1796" t="s">
        <v>11798</v>
      </c>
      <c r="B1796" t="s">
        <v>11843</v>
      </c>
      <c r="C1796" t="s">
        <v>11888</v>
      </c>
      <c r="D1796" s="17" t="s">
        <v>21</v>
      </c>
      <c r="E1796" t="s">
        <v>11613</v>
      </c>
      <c r="F1796" t="s">
        <v>67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18</v>
      </c>
      <c r="N1796" t="s">
        <v>11429</v>
      </c>
      <c r="O1796" t="s">
        <v>11508</v>
      </c>
      <c r="P1796" t="s">
        <v>11534</v>
      </c>
      <c r="Q1796" t="s">
        <v>25</v>
      </c>
      <c r="R1796" t="s">
        <v>11943</v>
      </c>
    </row>
    <row r="1797" spans="1:18">
      <c r="A1797" t="s">
        <v>11801</v>
      </c>
      <c r="B1797" t="s">
        <v>11846</v>
      </c>
      <c r="C1797" t="s">
        <v>11891</v>
      </c>
      <c r="D1797" s="17" t="s">
        <v>21</v>
      </c>
      <c r="E1797" t="s">
        <v>11613</v>
      </c>
      <c r="F1797" t="s">
        <v>69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20</v>
      </c>
      <c r="N1797" t="s">
        <v>11440</v>
      </c>
      <c r="O1797" t="s">
        <v>11508</v>
      </c>
      <c r="P1797" t="s">
        <v>11545</v>
      </c>
      <c r="Q1797" t="s">
        <v>25</v>
      </c>
      <c r="R1797" t="s">
        <v>11954</v>
      </c>
    </row>
    <row r="1798" spans="1:18">
      <c r="A1798" t="s">
        <v>11814</v>
      </c>
      <c r="B1798" t="s">
        <v>11859</v>
      </c>
      <c r="C1798" t="s">
        <v>11904</v>
      </c>
      <c r="D1798" s="17" t="s">
        <v>21</v>
      </c>
      <c r="E1798" t="s">
        <v>11613</v>
      </c>
      <c r="F1798" t="s">
        <v>71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22</v>
      </c>
      <c r="N1798" t="s">
        <v>11480</v>
      </c>
      <c r="O1798" t="s">
        <v>11508</v>
      </c>
      <c r="P1798" t="s">
        <v>11585</v>
      </c>
      <c r="Q1798" t="s">
        <v>25</v>
      </c>
      <c r="R1798" t="s">
        <v>11994</v>
      </c>
    </row>
    <row r="1799" spans="1:18">
      <c r="A1799" t="s">
        <v>11823</v>
      </c>
      <c r="B1799" t="s">
        <v>11868</v>
      </c>
      <c r="C1799" t="s">
        <v>11913</v>
      </c>
      <c r="D1799" s="17" t="s">
        <v>21</v>
      </c>
      <c r="E1799" t="s">
        <v>11613</v>
      </c>
      <c r="F1799" t="s">
        <v>75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24</v>
      </c>
      <c r="N1799" t="s">
        <v>11494</v>
      </c>
      <c r="O1799" t="s">
        <v>11508</v>
      </c>
      <c r="P1799" t="s">
        <v>11599</v>
      </c>
      <c r="Q1799" t="s">
        <v>25</v>
      </c>
      <c r="R1799" t="s">
        <v>12008</v>
      </c>
    </row>
    <row r="1800" spans="1:18">
      <c r="A1800" t="s">
        <v>11789</v>
      </c>
      <c r="B1800" t="s">
        <v>11834</v>
      </c>
      <c r="C1800" t="s">
        <v>11879</v>
      </c>
      <c r="D1800" s="17" t="s">
        <v>21</v>
      </c>
      <c r="E1800" t="s">
        <v>11613</v>
      </c>
      <c r="F1800" t="s">
        <v>77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27</v>
      </c>
      <c r="N1800" t="s">
        <v>11412</v>
      </c>
      <c r="O1800" t="s">
        <v>11508</v>
      </c>
      <c r="P1800" t="s">
        <v>11517</v>
      </c>
      <c r="Q1800" t="s">
        <v>25</v>
      </c>
      <c r="R1800" t="s">
        <v>11926</v>
      </c>
    </row>
    <row r="1801" spans="1:18">
      <c r="A1801" t="s">
        <v>11807</v>
      </c>
      <c r="B1801" t="s">
        <v>11852</v>
      </c>
      <c r="C1801" t="s">
        <v>11897</v>
      </c>
      <c r="D1801" s="17" t="s">
        <v>21</v>
      </c>
      <c r="E1801" t="s">
        <v>11613</v>
      </c>
      <c r="F1801" t="s">
        <v>79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30</v>
      </c>
      <c r="N1801" t="s">
        <v>11458</v>
      </c>
      <c r="O1801" t="s">
        <v>11508</v>
      </c>
      <c r="P1801" t="s">
        <v>11563</v>
      </c>
      <c r="Q1801" t="s">
        <v>25</v>
      </c>
      <c r="R1801" t="s">
        <v>11972</v>
      </c>
    </row>
    <row r="1802" spans="1:18">
      <c r="A1802" t="s">
        <v>11810</v>
      </c>
      <c r="B1802" t="s">
        <v>11855</v>
      </c>
      <c r="C1802" t="s">
        <v>11900</v>
      </c>
      <c r="D1802" s="17" t="s">
        <v>21</v>
      </c>
      <c r="E1802" t="s">
        <v>11613</v>
      </c>
      <c r="F1802" t="s">
        <v>81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33</v>
      </c>
      <c r="N1802" t="s">
        <v>11464</v>
      </c>
      <c r="O1802" t="s">
        <v>11508</v>
      </c>
      <c r="P1802" t="s">
        <v>11569</v>
      </c>
      <c r="Q1802" t="s">
        <v>25</v>
      </c>
      <c r="R1802" t="s">
        <v>11978</v>
      </c>
    </row>
    <row r="1803" spans="1:18">
      <c r="A1803" t="s">
        <v>11826</v>
      </c>
      <c r="B1803" t="s">
        <v>11871</v>
      </c>
      <c r="C1803" t="s">
        <v>11916</v>
      </c>
      <c r="D1803" s="17" t="s">
        <v>21</v>
      </c>
      <c r="E1803" t="s">
        <v>11613</v>
      </c>
      <c r="F1803" t="s">
        <v>83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36</v>
      </c>
      <c r="N1803" t="s">
        <v>11503</v>
      </c>
      <c r="O1803" t="s">
        <v>11508</v>
      </c>
      <c r="P1803" t="s">
        <v>11608</v>
      </c>
      <c r="Q1803" t="s">
        <v>25</v>
      </c>
      <c r="R1803" t="s">
        <v>12017</v>
      </c>
    </row>
    <row r="1804" spans="1:18">
      <c r="A1804" t="s">
        <v>11822</v>
      </c>
      <c r="B1804" t="s">
        <v>11867</v>
      </c>
      <c r="C1804" t="s">
        <v>11912</v>
      </c>
      <c r="D1804" s="17" t="s">
        <v>21</v>
      </c>
      <c r="E1804" t="s">
        <v>11613</v>
      </c>
      <c r="F1804" t="s">
        <v>85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39</v>
      </c>
      <c r="N1804" t="s">
        <v>11493</v>
      </c>
      <c r="O1804" t="s">
        <v>11508</v>
      </c>
      <c r="P1804" t="s">
        <v>11598</v>
      </c>
      <c r="Q1804" t="s">
        <v>25</v>
      </c>
      <c r="R1804" t="s">
        <v>12007</v>
      </c>
    </row>
    <row r="1805" spans="1:18">
      <c r="A1805" t="s">
        <v>11805</v>
      </c>
      <c r="B1805" t="s">
        <v>11850</v>
      </c>
      <c r="C1805" t="s">
        <v>11895</v>
      </c>
      <c r="D1805" s="17" t="s">
        <v>21</v>
      </c>
      <c r="E1805" t="s">
        <v>11613</v>
      </c>
      <c r="F1805" t="s">
        <v>87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43</v>
      </c>
      <c r="N1805" t="s">
        <v>11448</v>
      </c>
      <c r="O1805" t="s">
        <v>11508</v>
      </c>
      <c r="P1805" t="s">
        <v>11553</v>
      </c>
      <c r="Q1805" t="s">
        <v>25</v>
      </c>
      <c r="R1805" t="s">
        <v>11962</v>
      </c>
    </row>
    <row r="1806" spans="1:18">
      <c r="A1806" t="s">
        <v>12022</v>
      </c>
      <c r="B1806" t="s">
        <v>12023</v>
      </c>
      <c r="C1806" t="s">
        <v>12024</v>
      </c>
      <c r="D1806" s="17" t="s">
        <v>21</v>
      </c>
      <c r="E1806" t="s">
        <v>11613</v>
      </c>
      <c r="F1806" t="s">
        <v>89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47</v>
      </c>
      <c r="N1806" t="s">
        <v>11433</v>
      </c>
      <c r="O1806" t="s">
        <v>11508</v>
      </c>
      <c r="P1806" t="s">
        <v>11538</v>
      </c>
      <c r="Q1806" t="s">
        <v>25</v>
      </c>
      <c r="R1806" t="s">
        <v>11947</v>
      </c>
    </row>
    <row r="1807" spans="1:18">
      <c r="A1807" t="s">
        <v>11783</v>
      </c>
      <c r="B1807" t="s">
        <v>11828</v>
      </c>
      <c r="C1807" t="s">
        <v>11873</v>
      </c>
      <c r="D1807" s="17" t="s">
        <v>21</v>
      </c>
      <c r="E1807" t="s">
        <v>11613</v>
      </c>
      <c r="F1807" t="s">
        <v>91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51</v>
      </c>
      <c r="N1807" t="s">
        <v>11404</v>
      </c>
      <c r="O1807" t="s">
        <v>11508</v>
      </c>
      <c r="P1807" t="s">
        <v>11509</v>
      </c>
      <c r="Q1807" t="s">
        <v>25</v>
      </c>
      <c r="R1807" t="s">
        <v>11918</v>
      </c>
    </row>
    <row r="1808" spans="1:18">
      <c r="A1808" t="s">
        <v>12025</v>
      </c>
      <c r="B1808" t="s">
        <v>12026</v>
      </c>
      <c r="C1808" t="s">
        <v>12027</v>
      </c>
      <c r="D1808" s="17" t="s">
        <v>21</v>
      </c>
      <c r="E1808" t="s">
        <v>11613</v>
      </c>
      <c r="F1808" t="s">
        <v>93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56</v>
      </c>
      <c r="N1808" t="s">
        <v>11413</v>
      </c>
      <c r="O1808" t="s">
        <v>11508</v>
      </c>
      <c r="P1808" t="s">
        <v>11518</v>
      </c>
      <c r="Q1808" t="s">
        <v>25</v>
      </c>
      <c r="R1808" t="s">
        <v>11927</v>
      </c>
    </row>
    <row r="1809" spans="1:18">
      <c r="A1809" t="s">
        <v>11784</v>
      </c>
      <c r="B1809" t="s">
        <v>11829</v>
      </c>
      <c r="C1809" t="s">
        <v>11874</v>
      </c>
      <c r="D1809" s="17" t="s">
        <v>21</v>
      </c>
      <c r="E1809" t="s">
        <v>11613</v>
      </c>
      <c r="F1809" t="s">
        <v>95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62</v>
      </c>
      <c r="N1809" t="s">
        <v>11406</v>
      </c>
      <c r="O1809" t="s">
        <v>11508</v>
      </c>
      <c r="P1809" t="s">
        <v>11511</v>
      </c>
      <c r="Q1809" t="s">
        <v>25</v>
      </c>
      <c r="R1809" t="s">
        <v>11920</v>
      </c>
    </row>
    <row r="1810" spans="1:18">
      <c r="A1810" t="s">
        <v>11821</v>
      </c>
      <c r="B1810" t="s">
        <v>11866</v>
      </c>
      <c r="C1810" t="s">
        <v>11911</v>
      </c>
      <c r="D1810" s="17" t="s">
        <v>21</v>
      </c>
      <c r="E1810" t="s">
        <v>11613</v>
      </c>
      <c r="F1810" t="s">
        <v>97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68</v>
      </c>
      <c r="N1810" t="s">
        <v>11492</v>
      </c>
      <c r="O1810" t="s">
        <v>11508</v>
      </c>
      <c r="P1810" t="s">
        <v>11597</v>
      </c>
      <c r="Q1810" t="s">
        <v>25</v>
      </c>
      <c r="R1810" t="s">
        <v>12006</v>
      </c>
    </row>
    <row r="1811" spans="1:18">
      <c r="A1811" t="s">
        <v>12028</v>
      </c>
      <c r="B1811" t="s">
        <v>12029</v>
      </c>
      <c r="C1811" t="s">
        <v>12030</v>
      </c>
      <c r="D1811" s="17" t="s">
        <v>21</v>
      </c>
      <c r="E1811" t="s">
        <v>11613</v>
      </c>
      <c r="F1811" t="s">
        <v>99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75</v>
      </c>
      <c r="N1811" t="s">
        <v>11434</v>
      </c>
      <c r="O1811" t="s">
        <v>11508</v>
      </c>
      <c r="P1811" t="s">
        <v>11539</v>
      </c>
      <c r="Q1811" t="s">
        <v>25</v>
      </c>
      <c r="R1811" t="s">
        <v>11948</v>
      </c>
    </row>
    <row r="1812" spans="1:18">
      <c r="A1812" t="s">
        <v>11815</v>
      </c>
      <c r="B1812" t="s">
        <v>11860</v>
      </c>
      <c r="C1812" t="s">
        <v>11905</v>
      </c>
      <c r="D1812" s="17" t="s">
        <v>21</v>
      </c>
      <c r="E1812" t="s">
        <v>11613</v>
      </c>
      <c r="F1812" t="s">
        <v>101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82</v>
      </c>
      <c r="N1812" t="s">
        <v>11481</v>
      </c>
      <c r="O1812" t="s">
        <v>11508</v>
      </c>
      <c r="P1812" t="s">
        <v>11586</v>
      </c>
      <c r="Q1812" t="s">
        <v>25</v>
      </c>
      <c r="R1812" t="s">
        <v>11995</v>
      </c>
    </row>
    <row r="1813" spans="1:18">
      <c r="A1813" t="s">
        <v>11820</v>
      </c>
      <c r="B1813" t="s">
        <v>11865</v>
      </c>
      <c r="C1813" t="s">
        <v>11910</v>
      </c>
      <c r="D1813" s="17" t="s">
        <v>21</v>
      </c>
      <c r="E1813" t="s">
        <v>11613</v>
      </c>
      <c r="F1813" t="s">
        <v>103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91</v>
      </c>
      <c r="N1813" t="s">
        <v>11491</v>
      </c>
      <c r="O1813" t="s">
        <v>11508</v>
      </c>
      <c r="P1813" t="s">
        <v>11596</v>
      </c>
      <c r="Q1813" t="s">
        <v>25</v>
      </c>
      <c r="R1813" t="s">
        <v>12005</v>
      </c>
    </row>
    <row r="1814" spans="1:18">
      <c r="A1814" t="s">
        <v>11786</v>
      </c>
      <c r="B1814" t="s">
        <v>11831</v>
      </c>
      <c r="C1814" t="s">
        <v>11876</v>
      </c>
      <c r="D1814" s="17" t="s">
        <v>21</v>
      </c>
      <c r="E1814" t="s">
        <v>11613</v>
      </c>
      <c r="F1814" t="s">
        <v>105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100</v>
      </c>
      <c r="N1814" t="s">
        <v>11409</v>
      </c>
      <c r="O1814" t="s">
        <v>11508</v>
      </c>
      <c r="P1814" t="s">
        <v>11514</v>
      </c>
      <c r="Q1814" t="s">
        <v>25</v>
      </c>
      <c r="R1814" t="s">
        <v>11923</v>
      </c>
    </row>
    <row r="1815" spans="1:18">
      <c r="A1815" t="s">
        <v>11793</v>
      </c>
      <c r="B1815" t="s">
        <v>11838</v>
      </c>
      <c r="C1815" t="s">
        <v>11883</v>
      </c>
      <c r="D1815" s="17" t="s">
        <v>21</v>
      </c>
      <c r="E1815" t="s">
        <v>11613</v>
      </c>
      <c r="F1815" t="s">
        <v>109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110</v>
      </c>
      <c r="N1815" t="s">
        <v>11424</v>
      </c>
      <c r="O1815" t="s">
        <v>11508</v>
      </c>
      <c r="P1815" t="s">
        <v>11529</v>
      </c>
      <c r="Q1815" t="s">
        <v>25</v>
      </c>
      <c r="R1815" t="s">
        <v>11938</v>
      </c>
    </row>
    <row r="1816" spans="1:18">
      <c r="A1816" t="s">
        <v>11797</v>
      </c>
      <c r="B1816" t="s">
        <v>11842</v>
      </c>
      <c r="C1816" t="s">
        <v>11887</v>
      </c>
      <c r="D1816" s="17" t="s">
        <v>21</v>
      </c>
      <c r="E1816" t="s">
        <v>11613</v>
      </c>
      <c r="F1816" t="s">
        <v>111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120</v>
      </c>
      <c r="N1816" t="s">
        <v>11428</v>
      </c>
      <c r="O1816" t="s">
        <v>11508</v>
      </c>
      <c r="P1816" t="s">
        <v>11533</v>
      </c>
      <c r="Q1816" t="s">
        <v>25</v>
      </c>
      <c r="R1816" t="s">
        <v>11942</v>
      </c>
    </row>
    <row r="1817" spans="1:18">
      <c r="A1817" t="s">
        <v>11799</v>
      </c>
      <c r="B1817" t="s">
        <v>11844</v>
      </c>
      <c r="C1817" t="s">
        <v>11889</v>
      </c>
      <c r="D1817" s="17" t="s">
        <v>21</v>
      </c>
      <c r="E1817" t="s">
        <v>11613</v>
      </c>
      <c r="F1817" t="s">
        <v>113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130</v>
      </c>
      <c r="N1817" t="s">
        <v>11437</v>
      </c>
      <c r="O1817" t="s">
        <v>11508</v>
      </c>
      <c r="P1817" t="s">
        <v>11542</v>
      </c>
      <c r="Q1817" t="s">
        <v>25</v>
      </c>
      <c r="R1817" t="s">
        <v>11951</v>
      </c>
    </row>
    <row r="1818" spans="1:18">
      <c r="A1818" t="s">
        <v>11816</v>
      </c>
      <c r="B1818" t="s">
        <v>11861</v>
      </c>
      <c r="C1818" t="s">
        <v>11906</v>
      </c>
      <c r="D1818" s="17" t="s">
        <v>21</v>
      </c>
      <c r="E1818" t="s">
        <v>11613</v>
      </c>
      <c r="F1818" t="s">
        <v>115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150</v>
      </c>
      <c r="N1818" t="s">
        <v>11483</v>
      </c>
      <c r="O1818" t="s">
        <v>11508</v>
      </c>
      <c r="P1818" t="s">
        <v>11588</v>
      </c>
      <c r="Q1818" t="s">
        <v>25</v>
      </c>
      <c r="R1818" t="s">
        <v>11997</v>
      </c>
    </row>
    <row r="1819" spans="1:18">
      <c r="A1819" t="s">
        <v>11800</v>
      </c>
      <c r="B1819" t="s">
        <v>11845</v>
      </c>
      <c r="C1819" t="s">
        <v>11890</v>
      </c>
      <c r="D1819" s="17" t="s">
        <v>21</v>
      </c>
      <c r="E1819" t="s">
        <v>11613</v>
      </c>
      <c r="F1819" t="s">
        <v>117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160</v>
      </c>
      <c r="N1819" t="s">
        <v>11438</v>
      </c>
      <c r="O1819" t="s">
        <v>11508</v>
      </c>
      <c r="P1819" t="s">
        <v>11543</v>
      </c>
      <c r="Q1819" t="s">
        <v>25</v>
      </c>
      <c r="R1819" t="s">
        <v>11952</v>
      </c>
    </row>
    <row r="1820" spans="1:18">
      <c r="A1820" t="s">
        <v>11803</v>
      </c>
      <c r="B1820" t="s">
        <v>11848</v>
      </c>
      <c r="C1820" t="s">
        <v>11893</v>
      </c>
      <c r="D1820" s="17" t="s">
        <v>21</v>
      </c>
      <c r="E1820" t="s">
        <v>11613</v>
      </c>
      <c r="F1820" t="s">
        <v>119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180</v>
      </c>
      <c r="N1820" t="s">
        <v>11445</v>
      </c>
      <c r="O1820" t="s">
        <v>11508</v>
      </c>
      <c r="P1820" t="s">
        <v>11550</v>
      </c>
      <c r="Q1820" t="s">
        <v>25</v>
      </c>
      <c r="R1820" t="s">
        <v>11959</v>
      </c>
    </row>
    <row r="1821" spans="1:18">
      <c r="A1821" t="s">
        <v>11794</v>
      </c>
      <c r="B1821" t="s">
        <v>11839</v>
      </c>
      <c r="C1821" t="s">
        <v>11884</v>
      </c>
      <c r="D1821" s="17" t="s">
        <v>21</v>
      </c>
      <c r="E1821" t="s">
        <v>11613</v>
      </c>
      <c r="F1821" t="s">
        <v>123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200</v>
      </c>
      <c r="N1821" t="s">
        <v>11425</v>
      </c>
      <c r="O1821" t="s">
        <v>11508</v>
      </c>
      <c r="P1821" t="s">
        <v>11530</v>
      </c>
      <c r="Q1821" t="s">
        <v>25</v>
      </c>
      <c r="R1821" t="s">
        <v>11939</v>
      </c>
    </row>
    <row r="1822" spans="1:18">
      <c r="A1822" t="s">
        <v>11788</v>
      </c>
      <c r="B1822" t="s">
        <v>11833</v>
      </c>
      <c r="C1822" t="s">
        <v>11878</v>
      </c>
      <c r="D1822" s="17" t="s">
        <v>21</v>
      </c>
      <c r="E1822" t="s">
        <v>11613</v>
      </c>
      <c r="F1822" t="s">
        <v>125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220</v>
      </c>
      <c r="N1822" t="s">
        <v>11411</v>
      </c>
      <c r="O1822" t="s">
        <v>11508</v>
      </c>
      <c r="P1822" t="s">
        <v>11516</v>
      </c>
      <c r="Q1822" t="s">
        <v>25</v>
      </c>
      <c r="R1822" t="s">
        <v>11925</v>
      </c>
    </row>
    <row r="1823" spans="1:18">
      <c r="A1823" t="s">
        <v>11785</v>
      </c>
      <c r="B1823" t="s">
        <v>11830</v>
      </c>
      <c r="C1823" t="s">
        <v>11875</v>
      </c>
      <c r="D1823" s="17" t="s">
        <v>21</v>
      </c>
      <c r="E1823" t="s">
        <v>11613</v>
      </c>
      <c r="F1823" t="s">
        <v>129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240</v>
      </c>
      <c r="N1823" t="s">
        <v>11407</v>
      </c>
      <c r="O1823" t="s">
        <v>11508</v>
      </c>
      <c r="P1823" t="s">
        <v>11512</v>
      </c>
      <c r="Q1823" t="s">
        <v>25</v>
      </c>
      <c r="R1823" t="s">
        <v>11921</v>
      </c>
    </row>
    <row r="1824" spans="1:18">
      <c r="A1824" t="s">
        <v>11791</v>
      </c>
      <c r="B1824" t="s">
        <v>11836</v>
      </c>
      <c r="C1824" t="s">
        <v>11881</v>
      </c>
      <c r="D1824" s="17" t="s">
        <v>21</v>
      </c>
      <c r="E1824" t="s">
        <v>11613</v>
      </c>
      <c r="F1824" t="s">
        <v>131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270</v>
      </c>
      <c r="N1824" t="s">
        <v>11416</v>
      </c>
      <c r="O1824" t="s">
        <v>11508</v>
      </c>
      <c r="P1824" t="s">
        <v>11521</v>
      </c>
      <c r="Q1824" t="s">
        <v>25</v>
      </c>
      <c r="R1824" t="s">
        <v>11930</v>
      </c>
    </row>
    <row r="1825" spans="1:18">
      <c r="A1825" t="s">
        <v>11813</v>
      </c>
      <c r="B1825" t="s">
        <v>11858</v>
      </c>
      <c r="C1825" t="s">
        <v>11903</v>
      </c>
      <c r="D1825" s="17" t="s">
        <v>21</v>
      </c>
      <c r="E1825" t="s">
        <v>11613</v>
      </c>
      <c r="F1825" t="s">
        <v>133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300</v>
      </c>
      <c r="N1825" t="s">
        <v>11479</v>
      </c>
      <c r="O1825" t="s">
        <v>11508</v>
      </c>
      <c r="P1825" t="s">
        <v>11584</v>
      </c>
      <c r="Q1825" t="s">
        <v>25</v>
      </c>
      <c r="R1825" t="s">
        <v>11993</v>
      </c>
    </row>
    <row r="1826" spans="1:18">
      <c r="A1826" t="s">
        <v>11795</v>
      </c>
      <c r="B1826" t="s">
        <v>11840</v>
      </c>
      <c r="C1826" t="s">
        <v>11885</v>
      </c>
      <c r="D1826" s="17" t="s">
        <v>21</v>
      </c>
      <c r="E1826" t="s">
        <v>11613</v>
      </c>
      <c r="F1826" t="s">
        <v>137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330</v>
      </c>
      <c r="N1826" t="s">
        <v>11426</v>
      </c>
      <c r="O1826" t="s">
        <v>11508</v>
      </c>
      <c r="P1826" t="s">
        <v>11531</v>
      </c>
      <c r="Q1826" t="s">
        <v>25</v>
      </c>
      <c r="R1826" t="s">
        <v>11940</v>
      </c>
    </row>
    <row r="1827" spans="1:18">
      <c r="A1827" t="s">
        <v>11804</v>
      </c>
      <c r="B1827" t="s">
        <v>11849</v>
      </c>
      <c r="C1827" t="s">
        <v>11894</v>
      </c>
      <c r="D1827" s="17" t="s">
        <v>21</v>
      </c>
      <c r="E1827" t="s">
        <v>11613</v>
      </c>
      <c r="F1827" t="s">
        <v>139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360</v>
      </c>
      <c r="N1827" t="s">
        <v>11446</v>
      </c>
      <c r="O1827" t="s">
        <v>11508</v>
      </c>
      <c r="P1827" t="s">
        <v>11551</v>
      </c>
      <c r="Q1827" t="s">
        <v>25</v>
      </c>
      <c r="R1827" t="s">
        <v>11960</v>
      </c>
    </row>
    <row r="1828" spans="1:18">
      <c r="A1828" t="s">
        <v>11802</v>
      </c>
      <c r="B1828" t="s">
        <v>11847</v>
      </c>
      <c r="C1828" t="s">
        <v>11892</v>
      </c>
      <c r="D1828" s="17" t="s">
        <v>21</v>
      </c>
      <c r="E1828" t="s">
        <v>11613</v>
      </c>
      <c r="F1828" t="s">
        <v>141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390</v>
      </c>
      <c r="N1828" t="s">
        <v>11442</v>
      </c>
      <c r="O1828" t="s">
        <v>11508</v>
      </c>
      <c r="P1828" t="s">
        <v>11547</v>
      </c>
      <c r="Q1828" t="s">
        <v>25</v>
      </c>
      <c r="R1828" t="s">
        <v>11956</v>
      </c>
    </row>
    <row r="1829" spans="1:18">
      <c r="A1829" t="s">
        <v>11827</v>
      </c>
      <c r="B1829" t="s">
        <v>11872</v>
      </c>
      <c r="C1829" t="s">
        <v>11917</v>
      </c>
      <c r="D1829" s="17" t="s">
        <v>21</v>
      </c>
      <c r="E1829" t="s">
        <v>11613</v>
      </c>
      <c r="F1829" t="s">
        <v>143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430</v>
      </c>
      <c r="N1829" t="s">
        <v>11507</v>
      </c>
      <c r="O1829" t="s">
        <v>11508</v>
      </c>
      <c r="P1829" t="s">
        <v>11612</v>
      </c>
      <c r="Q1829" t="s">
        <v>25</v>
      </c>
      <c r="R1829" t="s">
        <v>12021</v>
      </c>
    </row>
    <row r="1830" spans="1:18">
      <c r="A1830" t="s">
        <v>11790</v>
      </c>
      <c r="B1830" t="s">
        <v>11835</v>
      </c>
      <c r="C1830" t="s">
        <v>11880</v>
      </c>
      <c r="D1830" s="17" t="s">
        <v>21</v>
      </c>
      <c r="E1830" t="s">
        <v>11613</v>
      </c>
      <c r="F1830" t="s">
        <v>145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470</v>
      </c>
      <c r="N1830" t="s">
        <v>11415</v>
      </c>
      <c r="O1830" t="s">
        <v>11508</v>
      </c>
      <c r="P1830" t="s">
        <v>11520</v>
      </c>
      <c r="Q1830" t="s">
        <v>25</v>
      </c>
      <c r="R1830" t="s">
        <v>11929</v>
      </c>
    </row>
    <row r="1831" spans="1:18">
      <c r="A1831" t="s">
        <v>11806</v>
      </c>
      <c r="B1831" t="s">
        <v>11851</v>
      </c>
      <c r="C1831" t="s">
        <v>11896</v>
      </c>
      <c r="D1831" s="17" t="s">
        <v>21</v>
      </c>
      <c r="E1831" t="s">
        <v>11613</v>
      </c>
      <c r="F1831" t="s">
        <v>149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510</v>
      </c>
      <c r="N1831" t="s">
        <v>11449</v>
      </c>
      <c r="O1831" t="s">
        <v>11508</v>
      </c>
      <c r="P1831" t="s">
        <v>11554</v>
      </c>
      <c r="Q1831" t="s">
        <v>25</v>
      </c>
      <c r="R1831" t="s">
        <v>11963</v>
      </c>
    </row>
    <row r="1832" spans="1:18">
      <c r="A1832" t="s">
        <v>11809</v>
      </c>
      <c r="B1832" t="s">
        <v>11854</v>
      </c>
      <c r="C1832" t="s">
        <v>11899</v>
      </c>
      <c r="D1832" s="17" t="s">
        <v>21</v>
      </c>
      <c r="E1832" t="s">
        <v>11613</v>
      </c>
      <c r="F1832" t="s">
        <v>151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560</v>
      </c>
      <c r="N1832" t="s">
        <v>11462</v>
      </c>
      <c r="O1832" t="s">
        <v>11508</v>
      </c>
      <c r="P1832" t="s">
        <v>11567</v>
      </c>
      <c r="Q1832" t="s">
        <v>25</v>
      </c>
      <c r="R1832" t="s">
        <v>11976</v>
      </c>
    </row>
    <row r="1833" spans="1:18">
      <c r="A1833" t="s">
        <v>11796</v>
      </c>
      <c r="B1833" t="s">
        <v>11841</v>
      </c>
      <c r="C1833" t="s">
        <v>11886</v>
      </c>
      <c r="D1833" s="17" t="s">
        <v>21</v>
      </c>
      <c r="E1833" t="s">
        <v>11613</v>
      </c>
      <c r="F1833" t="s">
        <v>153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620</v>
      </c>
      <c r="N1833" t="s">
        <v>11427</v>
      </c>
      <c r="O1833" t="s">
        <v>11508</v>
      </c>
      <c r="P1833" t="s">
        <v>11532</v>
      </c>
      <c r="Q1833" t="s">
        <v>25</v>
      </c>
      <c r="R1833" t="s">
        <v>11941</v>
      </c>
    </row>
    <row r="1834" spans="1:18">
      <c r="A1834" t="s">
        <v>11818</v>
      </c>
      <c r="B1834" t="s">
        <v>11863</v>
      </c>
      <c r="C1834" t="s">
        <v>11908</v>
      </c>
      <c r="D1834" s="17" t="s">
        <v>21</v>
      </c>
      <c r="E1834" t="s">
        <v>11613</v>
      </c>
      <c r="F1834" t="s">
        <v>155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680</v>
      </c>
      <c r="N1834" t="s">
        <v>11487</v>
      </c>
      <c r="O1834" t="s">
        <v>11508</v>
      </c>
      <c r="P1834" t="s">
        <v>11592</v>
      </c>
      <c r="Q1834" t="s">
        <v>25</v>
      </c>
      <c r="R1834" t="s">
        <v>12001</v>
      </c>
    </row>
    <row r="1835" spans="1:18">
      <c r="A1835" t="s">
        <v>11812</v>
      </c>
      <c r="B1835" t="s">
        <v>11857</v>
      </c>
      <c r="C1835" t="s">
        <v>11902</v>
      </c>
      <c r="D1835" s="17" t="s">
        <v>21</v>
      </c>
      <c r="E1835" t="s">
        <v>11613</v>
      </c>
      <c r="F1835" t="s">
        <v>157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750</v>
      </c>
      <c r="N1835" t="s">
        <v>11477</v>
      </c>
      <c r="O1835" t="s">
        <v>11508</v>
      </c>
      <c r="P1835" t="s">
        <v>11582</v>
      </c>
      <c r="Q1835" t="s">
        <v>25</v>
      </c>
      <c r="R1835" t="s">
        <v>11991</v>
      </c>
    </row>
    <row r="1836" spans="1:18">
      <c r="A1836" t="s">
        <v>11817</v>
      </c>
      <c r="B1836" t="s">
        <v>11862</v>
      </c>
      <c r="C1836" t="s">
        <v>11907</v>
      </c>
      <c r="D1836" s="17" t="s">
        <v>21</v>
      </c>
      <c r="E1836" t="s">
        <v>11613</v>
      </c>
      <c r="F1836" t="s">
        <v>159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820</v>
      </c>
      <c r="N1836" t="s">
        <v>11484</v>
      </c>
      <c r="O1836" t="s">
        <v>11508</v>
      </c>
      <c r="P1836" t="s">
        <v>11589</v>
      </c>
      <c r="Q1836" t="s">
        <v>25</v>
      </c>
      <c r="R1836" t="s">
        <v>11998</v>
      </c>
    </row>
    <row r="1837" spans="1:18">
      <c r="A1837" t="s">
        <v>11811</v>
      </c>
      <c r="B1837" t="s">
        <v>11856</v>
      </c>
      <c r="C1837" t="s">
        <v>11901</v>
      </c>
      <c r="D1837" s="17" t="s">
        <v>21</v>
      </c>
      <c r="E1837" t="s">
        <v>11613</v>
      </c>
      <c r="F1837" t="s">
        <v>161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910</v>
      </c>
      <c r="N1837" t="s">
        <v>11468</v>
      </c>
      <c r="O1837" t="s">
        <v>11508</v>
      </c>
      <c r="P1837" t="s">
        <v>11573</v>
      </c>
      <c r="Q1837" t="s">
        <v>25</v>
      </c>
      <c r="R1837" t="s">
        <v>11982</v>
      </c>
    </row>
    <row r="1838" spans="1:18">
      <c r="A1838" t="s">
        <v>11680</v>
      </c>
      <c r="B1838" t="s">
        <v>11624</v>
      </c>
      <c r="C1838" t="s">
        <v>11736</v>
      </c>
      <c r="D1838" s="17" t="s">
        <v>21</v>
      </c>
      <c r="E1838" t="s">
        <v>11613</v>
      </c>
      <c r="F1838" t="s">
        <v>163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1000</v>
      </c>
      <c r="N1838" t="s">
        <v>11430</v>
      </c>
      <c r="O1838" t="s">
        <v>11508</v>
      </c>
      <c r="P1838" t="s">
        <v>11535</v>
      </c>
      <c r="Q1838" t="s">
        <v>25</v>
      </c>
      <c r="R1838" t="s">
        <v>11944</v>
      </c>
    </row>
    <row r="1839" spans="1:18">
      <c r="A1839" t="s">
        <v>11679</v>
      </c>
      <c r="B1839" t="s">
        <v>11623</v>
      </c>
      <c r="C1839" t="s">
        <v>11735</v>
      </c>
      <c r="D1839" s="17" t="s">
        <v>21</v>
      </c>
      <c r="E1839" t="s">
        <v>11613</v>
      </c>
      <c r="F1839" t="s">
        <v>165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1100</v>
      </c>
      <c r="N1839" t="s">
        <v>11423</v>
      </c>
      <c r="O1839" t="s">
        <v>11508</v>
      </c>
      <c r="P1839" t="s">
        <v>11528</v>
      </c>
      <c r="Q1839" t="s">
        <v>25</v>
      </c>
      <c r="R1839" t="s">
        <v>11937</v>
      </c>
    </row>
    <row r="1840" spans="1:18">
      <c r="A1840" t="s">
        <v>11713</v>
      </c>
      <c r="B1840" t="s">
        <v>11657</v>
      </c>
      <c r="C1840" t="s">
        <v>11769</v>
      </c>
      <c r="D1840" s="17" t="s">
        <v>21</v>
      </c>
      <c r="E1840" t="s">
        <v>11613</v>
      </c>
      <c r="F1840" t="s">
        <v>167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1200</v>
      </c>
      <c r="N1840" t="s">
        <v>11482</v>
      </c>
      <c r="O1840" t="s">
        <v>11508</v>
      </c>
      <c r="P1840" t="s">
        <v>11587</v>
      </c>
      <c r="Q1840" t="s">
        <v>25</v>
      </c>
      <c r="R1840" t="s">
        <v>11996</v>
      </c>
    </row>
    <row r="1841" spans="1:18">
      <c r="A1841" t="s">
        <v>11703</v>
      </c>
      <c r="B1841" t="s">
        <v>11647</v>
      </c>
      <c r="C1841" t="s">
        <v>11759</v>
      </c>
      <c r="D1841" s="17" t="s">
        <v>21</v>
      </c>
      <c r="E1841" t="s">
        <v>11613</v>
      </c>
      <c r="F1841" t="s">
        <v>169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1300</v>
      </c>
      <c r="N1841" t="s">
        <v>11467</v>
      </c>
      <c r="O1841" t="s">
        <v>11508</v>
      </c>
      <c r="P1841" t="s">
        <v>11572</v>
      </c>
      <c r="Q1841" t="s">
        <v>25</v>
      </c>
      <c r="R1841" t="s">
        <v>11981</v>
      </c>
    </row>
    <row r="1842" spans="1:18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11613</v>
      </c>
      <c r="F1842" t="s">
        <v>171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1500</v>
      </c>
      <c r="N1842" t="s">
        <v>11476</v>
      </c>
      <c r="O1842" t="s">
        <v>11508</v>
      </c>
      <c r="P1842" t="s">
        <v>11581</v>
      </c>
      <c r="Q1842" t="s">
        <v>25</v>
      </c>
      <c r="R1842" t="s">
        <v>11990</v>
      </c>
    </row>
    <row r="1843" spans="1:18">
      <c r="A1843" t="s">
        <v>11725</v>
      </c>
      <c r="B1843" t="s">
        <v>11669</v>
      </c>
      <c r="C1843" t="s">
        <v>11781</v>
      </c>
      <c r="D1843" s="17" t="s">
        <v>21</v>
      </c>
      <c r="E1843" t="s">
        <v>11613</v>
      </c>
      <c r="F1843" t="s">
        <v>175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1600</v>
      </c>
      <c r="N1843" t="s">
        <v>11505</v>
      </c>
      <c r="O1843" t="s">
        <v>11508</v>
      </c>
      <c r="P1843" t="s">
        <v>11610</v>
      </c>
      <c r="Q1843" t="s">
        <v>25</v>
      </c>
      <c r="R1843" t="s">
        <v>12019</v>
      </c>
    </row>
    <row r="1844" spans="1:18">
      <c r="A1844" t="s">
        <v>11719</v>
      </c>
      <c r="B1844" t="s">
        <v>11663</v>
      </c>
      <c r="C1844" t="s">
        <v>11775</v>
      </c>
      <c r="D1844" s="17" t="s">
        <v>21</v>
      </c>
      <c r="E1844" t="s">
        <v>11613</v>
      </c>
      <c r="F1844" t="s">
        <v>181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1800</v>
      </c>
      <c r="N1844" t="s">
        <v>11496</v>
      </c>
      <c r="O1844" t="s">
        <v>11508</v>
      </c>
      <c r="P1844" t="s">
        <v>11601</v>
      </c>
      <c r="Q1844" t="s">
        <v>25</v>
      </c>
      <c r="R1844" t="s">
        <v>12010</v>
      </c>
    </row>
    <row r="1845" spans="1:18">
      <c r="A1845" t="s">
        <v>11681</v>
      </c>
      <c r="B1845" t="s">
        <v>11625</v>
      </c>
      <c r="C1845" t="s">
        <v>11737</v>
      </c>
      <c r="D1845" s="17" t="s">
        <v>21</v>
      </c>
      <c r="E1845" t="s">
        <v>11613</v>
      </c>
      <c r="F1845" t="s">
        <v>183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2000</v>
      </c>
      <c r="N1845" t="s">
        <v>11431</v>
      </c>
      <c r="O1845" t="s">
        <v>11508</v>
      </c>
      <c r="P1845" t="s">
        <v>11536</v>
      </c>
      <c r="Q1845" t="s">
        <v>25</v>
      </c>
      <c r="R1845" t="s">
        <v>11945</v>
      </c>
    </row>
    <row r="1846" spans="1:18">
      <c r="A1846" t="s">
        <v>11687</v>
      </c>
      <c r="B1846" t="s">
        <v>11631</v>
      </c>
      <c r="C1846" t="s">
        <v>11743</v>
      </c>
      <c r="D1846" s="17" t="s">
        <v>21</v>
      </c>
      <c r="E1846" t="s">
        <v>11613</v>
      </c>
      <c r="F1846" t="s">
        <v>187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2200</v>
      </c>
      <c r="N1846" t="s">
        <v>11443</v>
      </c>
      <c r="O1846" t="s">
        <v>11508</v>
      </c>
      <c r="P1846" t="s">
        <v>11548</v>
      </c>
      <c r="Q1846" t="s">
        <v>25</v>
      </c>
      <c r="R1846" t="s">
        <v>11957</v>
      </c>
    </row>
    <row r="1847" spans="1:18">
      <c r="A1847" t="s">
        <v>11705</v>
      </c>
      <c r="B1847" t="s">
        <v>11649</v>
      </c>
      <c r="C1847" t="s">
        <v>11761</v>
      </c>
      <c r="D1847" s="17" t="s">
        <v>21</v>
      </c>
      <c r="E1847" t="s">
        <v>11613</v>
      </c>
      <c r="F1847" t="s">
        <v>191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2400</v>
      </c>
      <c r="N1847" t="s">
        <v>11470</v>
      </c>
      <c r="O1847" t="s">
        <v>11508</v>
      </c>
      <c r="P1847" t="s">
        <v>11575</v>
      </c>
      <c r="Q1847" t="s">
        <v>25</v>
      </c>
      <c r="R1847" t="s">
        <v>11984</v>
      </c>
    </row>
    <row r="1848" spans="1:18">
      <c r="A1848" t="s">
        <v>11717</v>
      </c>
      <c r="B1848" t="s">
        <v>11661</v>
      </c>
      <c r="C1848" t="s">
        <v>11773</v>
      </c>
      <c r="D1848" s="17" t="s">
        <v>21</v>
      </c>
      <c r="E1848" t="s">
        <v>11613</v>
      </c>
      <c r="F1848" t="s">
        <v>193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2700</v>
      </c>
      <c r="N1848" t="s">
        <v>11489</v>
      </c>
      <c r="O1848" t="s">
        <v>11508</v>
      </c>
      <c r="P1848" t="s">
        <v>11594</v>
      </c>
      <c r="Q1848" t="s">
        <v>25</v>
      </c>
      <c r="R1848" t="s">
        <v>12003</v>
      </c>
    </row>
    <row r="1849" spans="1:18">
      <c r="A1849" t="s">
        <v>11726</v>
      </c>
      <c r="B1849" t="s">
        <v>11670</v>
      </c>
      <c r="C1849" t="s">
        <v>11782</v>
      </c>
      <c r="D1849" s="17" t="s">
        <v>21</v>
      </c>
      <c r="E1849" t="s">
        <v>11613</v>
      </c>
      <c r="F1849" t="s">
        <v>197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3000</v>
      </c>
      <c r="N1849" t="s">
        <v>11506</v>
      </c>
      <c r="O1849" t="s">
        <v>11508</v>
      </c>
      <c r="P1849" t="s">
        <v>11611</v>
      </c>
      <c r="Q1849" t="s">
        <v>25</v>
      </c>
      <c r="R1849" t="s">
        <v>12020</v>
      </c>
    </row>
    <row r="1850" spans="1:18">
      <c r="A1850" t="s">
        <v>11722</v>
      </c>
      <c r="B1850" t="s">
        <v>11666</v>
      </c>
      <c r="C1850" t="s">
        <v>11778</v>
      </c>
      <c r="D1850" s="17" t="s">
        <v>21</v>
      </c>
      <c r="E1850" t="s">
        <v>11613</v>
      </c>
      <c r="F1850" t="s">
        <v>201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3300</v>
      </c>
      <c r="N1850" t="s">
        <v>11500</v>
      </c>
      <c r="O1850" t="s">
        <v>11508</v>
      </c>
      <c r="P1850" t="s">
        <v>11605</v>
      </c>
      <c r="Q1850" t="s">
        <v>25</v>
      </c>
      <c r="R1850" t="s">
        <v>12014</v>
      </c>
    </row>
    <row r="1851" spans="1:18">
      <c r="A1851" t="s">
        <v>11701</v>
      </c>
      <c r="B1851" t="s">
        <v>11645</v>
      </c>
      <c r="C1851" t="s">
        <v>11757</v>
      </c>
      <c r="D1851" s="17" t="s">
        <v>21</v>
      </c>
      <c r="E1851" t="s">
        <v>11613</v>
      </c>
      <c r="F1851" t="s">
        <v>203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3600</v>
      </c>
      <c r="N1851" t="s">
        <v>11465</v>
      </c>
      <c r="O1851" t="s">
        <v>11508</v>
      </c>
      <c r="P1851" t="s">
        <v>11570</v>
      </c>
      <c r="Q1851" t="s">
        <v>25</v>
      </c>
      <c r="R1851" t="s">
        <v>11979</v>
      </c>
    </row>
    <row r="1852" spans="1:18">
      <c r="A1852" t="s">
        <v>11675</v>
      </c>
      <c r="B1852" t="s">
        <v>11619</v>
      </c>
      <c r="C1852" t="s">
        <v>11731</v>
      </c>
      <c r="D1852" s="17" t="s">
        <v>21</v>
      </c>
      <c r="E1852" t="s">
        <v>11613</v>
      </c>
      <c r="F1852" t="s">
        <v>205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3900</v>
      </c>
      <c r="N1852" t="s">
        <v>11418</v>
      </c>
      <c r="O1852" t="s">
        <v>11508</v>
      </c>
      <c r="P1852" t="s">
        <v>11523</v>
      </c>
      <c r="Q1852" t="s">
        <v>25</v>
      </c>
      <c r="R1852" t="s">
        <v>11932</v>
      </c>
    </row>
    <row r="1853" spans="1:18">
      <c r="A1853" t="s">
        <v>11708</v>
      </c>
      <c r="B1853" t="s">
        <v>11652</v>
      </c>
      <c r="C1853" t="s">
        <v>11764</v>
      </c>
      <c r="D1853" s="17" t="s">
        <v>21</v>
      </c>
      <c r="E1853" t="s">
        <v>11613</v>
      </c>
      <c r="F1853" t="s">
        <v>207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4300</v>
      </c>
      <c r="N1853" t="s">
        <v>11473</v>
      </c>
      <c r="O1853" t="s">
        <v>11508</v>
      </c>
      <c r="P1853" t="s">
        <v>11578</v>
      </c>
      <c r="Q1853" t="s">
        <v>25</v>
      </c>
      <c r="R1853" t="s">
        <v>11987</v>
      </c>
    </row>
    <row r="1854" spans="1:18">
      <c r="A1854" t="s">
        <v>11683</v>
      </c>
      <c r="B1854" t="s">
        <v>11627</v>
      </c>
      <c r="C1854" t="s">
        <v>11739</v>
      </c>
      <c r="D1854" s="17" t="s">
        <v>21</v>
      </c>
      <c r="E1854" t="s">
        <v>11613</v>
      </c>
      <c r="F1854" t="s">
        <v>209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4700</v>
      </c>
      <c r="N1854" t="s">
        <v>11435</v>
      </c>
      <c r="O1854" t="s">
        <v>11508</v>
      </c>
      <c r="P1854" t="s">
        <v>11540</v>
      </c>
      <c r="Q1854" t="s">
        <v>25</v>
      </c>
      <c r="R1854" t="s">
        <v>11949</v>
      </c>
    </row>
    <row r="1855" spans="1:18">
      <c r="A1855" t="s">
        <v>11689</v>
      </c>
      <c r="B1855" t="s">
        <v>11633</v>
      </c>
      <c r="C1855" t="s">
        <v>11745</v>
      </c>
      <c r="D1855" s="17" t="s">
        <v>21</v>
      </c>
      <c r="E1855" t="s">
        <v>11613</v>
      </c>
      <c r="F1855" t="s">
        <v>213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5100</v>
      </c>
      <c r="N1855" t="s">
        <v>11447</v>
      </c>
      <c r="O1855" t="s">
        <v>11508</v>
      </c>
      <c r="P1855" t="s">
        <v>11552</v>
      </c>
      <c r="Q1855" t="s">
        <v>25</v>
      </c>
      <c r="R1855" t="s">
        <v>11961</v>
      </c>
    </row>
    <row r="1856" spans="1:18">
      <c r="A1856" t="s">
        <v>11676</v>
      </c>
      <c r="B1856" t="s">
        <v>11620</v>
      </c>
      <c r="C1856" t="s">
        <v>11732</v>
      </c>
      <c r="D1856" s="17" t="s">
        <v>21</v>
      </c>
      <c r="E1856" t="s">
        <v>11613</v>
      </c>
      <c r="F1856" t="s">
        <v>215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5600</v>
      </c>
      <c r="N1856" t="s">
        <v>11419</v>
      </c>
      <c r="O1856" t="s">
        <v>11508</v>
      </c>
      <c r="P1856" t="s">
        <v>11524</v>
      </c>
      <c r="Q1856" t="s">
        <v>25</v>
      </c>
      <c r="R1856" t="s">
        <v>11933</v>
      </c>
    </row>
    <row r="1857" spans="1:18">
      <c r="A1857" t="s">
        <v>11702</v>
      </c>
      <c r="B1857" t="s">
        <v>11646</v>
      </c>
      <c r="C1857" t="s">
        <v>11758</v>
      </c>
      <c r="D1857" s="17" t="s">
        <v>21</v>
      </c>
      <c r="E1857" t="s">
        <v>11613</v>
      </c>
      <c r="F1857" t="s">
        <v>217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6200</v>
      </c>
      <c r="N1857" t="s">
        <v>11466</v>
      </c>
      <c r="O1857" t="s">
        <v>11508</v>
      </c>
      <c r="P1857" t="s">
        <v>11571</v>
      </c>
      <c r="Q1857" t="s">
        <v>25</v>
      </c>
      <c r="R1857" t="s">
        <v>11980</v>
      </c>
    </row>
    <row r="1858" spans="1:18">
      <c r="A1858" t="s">
        <v>11682</v>
      </c>
      <c r="B1858" t="s">
        <v>11626</v>
      </c>
      <c r="C1858" t="s">
        <v>11738</v>
      </c>
      <c r="D1858" s="17" t="s">
        <v>21</v>
      </c>
      <c r="E1858" t="s">
        <v>11613</v>
      </c>
      <c r="F1858" t="s">
        <v>219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6800</v>
      </c>
      <c r="N1858" t="s">
        <v>11432</v>
      </c>
      <c r="O1858" t="s">
        <v>11508</v>
      </c>
      <c r="P1858" t="s">
        <v>11537</v>
      </c>
      <c r="Q1858" t="s">
        <v>25</v>
      </c>
      <c r="R1858" t="s">
        <v>11946</v>
      </c>
    </row>
    <row r="1859" spans="1:18">
      <c r="A1859" t="s">
        <v>11712</v>
      </c>
      <c r="B1859" t="s">
        <v>11656</v>
      </c>
      <c r="C1859" t="s">
        <v>11768</v>
      </c>
      <c r="D1859" s="17" t="s">
        <v>21</v>
      </c>
      <c r="E1859" t="s">
        <v>11613</v>
      </c>
      <c r="F1859" t="s">
        <v>221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7500</v>
      </c>
      <c r="N1859" t="s">
        <v>11478</v>
      </c>
      <c r="O1859" t="s">
        <v>11508</v>
      </c>
      <c r="P1859" t="s">
        <v>11583</v>
      </c>
      <c r="Q1859" t="s">
        <v>25</v>
      </c>
      <c r="R1859" t="s">
        <v>11992</v>
      </c>
    </row>
    <row r="1860" spans="1:18">
      <c r="A1860" t="s">
        <v>11674</v>
      </c>
      <c r="B1860" t="s">
        <v>11618</v>
      </c>
      <c r="C1860" t="s">
        <v>11730</v>
      </c>
      <c r="D1860" s="17" t="s">
        <v>21</v>
      </c>
      <c r="E1860" t="s">
        <v>11613</v>
      </c>
      <c r="F1860" t="s">
        <v>223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8200</v>
      </c>
      <c r="N1860" t="s">
        <v>11417</v>
      </c>
      <c r="O1860" t="s">
        <v>11508</v>
      </c>
      <c r="P1860" t="s">
        <v>11522</v>
      </c>
      <c r="Q1860" t="s">
        <v>25</v>
      </c>
      <c r="R1860" t="s">
        <v>11931</v>
      </c>
    </row>
    <row r="1861" spans="1:18">
      <c r="A1861" t="s">
        <v>11709</v>
      </c>
      <c r="B1861" t="s">
        <v>11653</v>
      </c>
      <c r="C1861" t="s">
        <v>11765</v>
      </c>
      <c r="D1861" s="17" t="s">
        <v>21</v>
      </c>
      <c r="E1861" t="s">
        <v>11613</v>
      </c>
      <c r="F1861" t="s">
        <v>225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9100</v>
      </c>
      <c r="N1861" t="s">
        <v>11474</v>
      </c>
      <c r="O1861" t="s">
        <v>11508</v>
      </c>
      <c r="P1861" t="s">
        <v>11579</v>
      </c>
      <c r="Q1861" t="s">
        <v>25</v>
      </c>
      <c r="R1861" t="s">
        <v>11988</v>
      </c>
    </row>
    <row r="1862" spans="1:18">
      <c r="A1862" t="s">
        <v>11692</v>
      </c>
      <c r="B1862" t="s">
        <v>11636</v>
      </c>
      <c r="C1862" t="s">
        <v>11748</v>
      </c>
      <c r="D1862" s="17" t="s">
        <v>21</v>
      </c>
      <c r="E1862" t="s">
        <v>11613</v>
      </c>
      <c r="F1862" t="s">
        <v>229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10000</v>
      </c>
      <c r="N1862" t="s">
        <v>11452</v>
      </c>
      <c r="O1862" t="s">
        <v>11508</v>
      </c>
      <c r="P1862" t="s">
        <v>11557</v>
      </c>
      <c r="Q1862" t="s">
        <v>25</v>
      </c>
      <c r="R1862" t="s">
        <v>11966</v>
      </c>
    </row>
    <row r="1863" spans="1:18">
      <c r="A1863" t="s">
        <v>11707</v>
      </c>
      <c r="B1863" t="s">
        <v>11651</v>
      </c>
      <c r="C1863" t="s">
        <v>11763</v>
      </c>
      <c r="D1863" s="17" t="s">
        <v>21</v>
      </c>
      <c r="E1863" t="s">
        <v>11613</v>
      </c>
      <c r="F1863" t="s">
        <v>233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11000</v>
      </c>
      <c r="N1863" t="s">
        <v>11472</v>
      </c>
      <c r="O1863" t="s">
        <v>11508</v>
      </c>
      <c r="P1863" t="s">
        <v>11577</v>
      </c>
      <c r="Q1863" t="s">
        <v>25</v>
      </c>
      <c r="R1863" t="s">
        <v>11986</v>
      </c>
    </row>
    <row r="1864" spans="1:18">
      <c r="A1864" t="s">
        <v>11684</v>
      </c>
      <c r="B1864" t="s">
        <v>11628</v>
      </c>
      <c r="C1864" t="s">
        <v>11740</v>
      </c>
      <c r="D1864" s="17" t="s">
        <v>21</v>
      </c>
      <c r="E1864" t="s">
        <v>11613</v>
      </c>
      <c r="F1864" t="s">
        <v>235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12000</v>
      </c>
      <c r="N1864" t="s">
        <v>11436</v>
      </c>
      <c r="O1864" t="s">
        <v>11508</v>
      </c>
      <c r="P1864" t="s">
        <v>11541</v>
      </c>
      <c r="Q1864" t="s">
        <v>25</v>
      </c>
      <c r="R1864" t="s">
        <v>11950</v>
      </c>
    </row>
    <row r="1865" spans="1:18">
      <c r="A1865" t="s">
        <v>11706</v>
      </c>
      <c r="B1865" t="s">
        <v>11650</v>
      </c>
      <c r="C1865" t="s">
        <v>11762</v>
      </c>
      <c r="D1865" s="17" t="s">
        <v>21</v>
      </c>
      <c r="E1865" t="s">
        <v>11613</v>
      </c>
      <c r="F1865" t="s">
        <v>239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13000</v>
      </c>
      <c r="N1865" t="s">
        <v>11471</v>
      </c>
      <c r="O1865" t="s">
        <v>11508</v>
      </c>
      <c r="P1865" t="s">
        <v>11576</v>
      </c>
      <c r="Q1865" t="s">
        <v>25</v>
      </c>
      <c r="R1865" t="s">
        <v>11985</v>
      </c>
    </row>
    <row r="1866" spans="1:18">
      <c r="A1866" t="s">
        <v>11686</v>
      </c>
      <c r="B1866" t="s">
        <v>11630</v>
      </c>
      <c r="C1866" t="s">
        <v>11742</v>
      </c>
      <c r="D1866" s="17" t="s">
        <v>21</v>
      </c>
      <c r="E1866" t="s">
        <v>11613</v>
      </c>
      <c r="F1866" t="s">
        <v>243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15000</v>
      </c>
      <c r="N1866" t="s">
        <v>11441</v>
      </c>
      <c r="O1866" t="s">
        <v>11508</v>
      </c>
      <c r="P1866" t="s">
        <v>11546</v>
      </c>
      <c r="Q1866" t="s">
        <v>25</v>
      </c>
      <c r="R1866" t="s">
        <v>11955</v>
      </c>
    </row>
    <row r="1867" spans="1:18">
      <c r="A1867" t="s">
        <v>11718</v>
      </c>
      <c r="B1867" t="s">
        <v>11662</v>
      </c>
      <c r="C1867" t="s">
        <v>11774</v>
      </c>
      <c r="D1867" s="17" t="s">
        <v>21</v>
      </c>
      <c r="E1867" t="s">
        <v>11613</v>
      </c>
      <c r="F1867" t="s">
        <v>247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16000</v>
      </c>
      <c r="N1867" t="s">
        <v>11495</v>
      </c>
      <c r="O1867" t="s">
        <v>11508</v>
      </c>
      <c r="P1867" t="s">
        <v>11600</v>
      </c>
      <c r="Q1867" t="s">
        <v>25</v>
      </c>
      <c r="R1867" t="s">
        <v>12009</v>
      </c>
    </row>
    <row r="1868" spans="1:18">
      <c r="A1868" t="s">
        <v>11671</v>
      </c>
      <c r="B1868" t="s">
        <v>11615</v>
      </c>
      <c r="C1868" t="s">
        <v>11727</v>
      </c>
      <c r="D1868" s="17" t="s">
        <v>21</v>
      </c>
      <c r="E1868" t="s">
        <v>11613</v>
      </c>
      <c r="F1868" t="s">
        <v>251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18000</v>
      </c>
      <c r="N1868" t="s">
        <v>11405</v>
      </c>
      <c r="O1868" t="s">
        <v>11508</v>
      </c>
      <c r="P1868" t="s">
        <v>11510</v>
      </c>
      <c r="Q1868" t="s">
        <v>25</v>
      </c>
      <c r="R1868" t="s">
        <v>11919</v>
      </c>
    </row>
    <row r="1869" spans="1:18">
      <c r="A1869" t="s">
        <v>11688</v>
      </c>
      <c r="B1869" t="s">
        <v>11632</v>
      </c>
      <c r="C1869" t="s">
        <v>11744</v>
      </c>
      <c r="D1869" s="17" t="s">
        <v>21</v>
      </c>
      <c r="E1869" t="s">
        <v>11613</v>
      </c>
      <c r="F1869" t="s">
        <v>255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20000</v>
      </c>
      <c r="N1869" t="s">
        <v>11444</v>
      </c>
      <c r="O1869" t="s">
        <v>11508</v>
      </c>
      <c r="P1869" t="s">
        <v>11549</v>
      </c>
      <c r="Q1869" t="s">
        <v>25</v>
      </c>
      <c r="R1869" t="s">
        <v>11958</v>
      </c>
    </row>
    <row r="1870" spans="1:18">
      <c r="A1870" t="s">
        <v>11710</v>
      </c>
      <c r="B1870" t="s">
        <v>11654</v>
      </c>
      <c r="C1870" t="s">
        <v>11766</v>
      </c>
      <c r="D1870" s="17" t="s">
        <v>21</v>
      </c>
      <c r="E1870" t="s">
        <v>11613</v>
      </c>
      <c r="F1870" t="s">
        <v>257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22000</v>
      </c>
      <c r="N1870" t="s">
        <v>11475</v>
      </c>
      <c r="O1870" t="s">
        <v>11508</v>
      </c>
      <c r="P1870" t="s">
        <v>11580</v>
      </c>
      <c r="Q1870" t="s">
        <v>25</v>
      </c>
      <c r="R1870" t="s">
        <v>11989</v>
      </c>
    </row>
    <row r="1871" spans="1:18">
      <c r="A1871" t="s">
        <v>11700</v>
      </c>
      <c r="B1871" t="s">
        <v>11644</v>
      </c>
      <c r="C1871" t="s">
        <v>11756</v>
      </c>
      <c r="D1871" s="17" t="s">
        <v>21</v>
      </c>
      <c r="E1871" t="s">
        <v>11613</v>
      </c>
      <c r="F1871" t="s">
        <v>259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24000</v>
      </c>
      <c r="N1871" t="s">
        <v>11463</v>
      </c>
      <c r="O1871" t="s">
        <v>11508</v>
      </c>
      <c r="P1871" t="s">
        <v>11568</v>
      </c>
      <c r="Q1871" t="s">
        <v>25</v>
      </c>
      <c r="R1871" t="s">
        <v>11977</v>
      </c>
    </row>
    <row r="1872" spans="1:18">
      <c r="A1872" t="s">
        <v>11696</v>
      </c>
      <c r="B1872" t="s">
        <v>11640</v>
      </c>
      <c r="C1872" t="s">
        <v>11752</v>
      </c>
      <c r="D1872" s="17" t="s">
        <v>21</v>
      </c>
      <c r="E1872" t="s">
        <v>11613</v>
      </c>
      <c r="F1872" t="s">
        <v>263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27000</v>
      </c>
      <c r="N1872" t="s">
        <v>11456</v>
      </c>
      <c r="O1872" t="s">
        <v>11508</v>
      </c>
      <c r="P1872" t="s">
        <v>11561</v>
      </c>
      <c r="Q1872" t="s">
        <v>25</v>
      </c>
      <c r="R1872" t="s">
        <v>11970</v>
      </c>
    </row>
    <row r="1873" spans="1:18">
      <c r="A1873" t="s">
        <v>11690</v>
      </c>
      <c r="B1873" t="s">
        <v>11634</v>
      </c>
      <c r="C1873" t="s">
        <v>11746</v>
      </c>
      <c r="D1873" s="17" t="s">
        <v>21</v>
      </c>
      <c r="E1873" t="s">
        <v>11613</v>
      </c>
      <c r="F1873" t="s">
        <v>265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30000</v>
      </c>
      <c r="N1873" t="s">
        <v>11450</v>
      </c>
      <c r="O1873" t="s">
        <v>11508</v>
      </c>
      <c r="P1873" t="s">
        <v>11555</v>
      </c>
      <c r="Q1873" t="s">
        <v>25</v>
      </c>
      <c r="R1873" t="s">
        <v>11964</v>
      </c>
    </row>
    <row r="1874" spans="1:18">
      <c r="A1874" t="s">
        <v>11678</v>
      </c>
      <c r="B1874" t="s">
        <v>11622</v>
      </c>
      <c r="C1874" t="s">
        <v>11734</v>
      </c>
      <c r="D1874" s="17" t="s">
        <v>21</v>
      </c>
      <c r="E1874" t="s">
        <v>11613</v>
      </c>
      <c r="F1874" t="s">
        <v>267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33000</v>
      </c>
      <c r="N1874" t="s">
        <v>11422</v>
      </c>
      <c r="O1874" t="s">
        <v>11508</v>
      </c>
      <c r="P1874" t="s">
        <v>11527</v>
      </c>
      <c r="Q1874" t="s">
        <v>25</v>
      </c>
      <c r="R1874" t="s">
        <v>11936</v>
      </c>
    </row>
    <row r="1875" spans="1:18">
      <c r="A1875" t="s">
        <v>11724</v>
      </c>
      <c r="B1875" t="s">
        <v>11668</v>
      </c>
      <c r="C1875" t="s">
        <v>11780</v>
      </c>
      <c r="D1875" s="17" t="s">
        <v>21</v>
      </c>
      <c r="E1875" t="s">
        <v>11613</v>
      </c>
      <c r="F1875" t="s">
        <v>269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36000</v>
      </c>
      <c r="N1875" t="s">
        <v>11504</v>
      </c>
      <c r="O1875" t="s">
        <v>11508</v>
      </c>
      <c r="P1875" t="s">
        <v>11609</v>
      </c>
      <c r="Q1875" t="s">
        <v>25</v>
      </c>
      <c r="R1875" t="s">
        <v>12018</v>
      </c>
    </row>
    <row r="1876" spans="1:18">
      <c r="A1876" t="s">
        <v>11673</v>
      </c>
      <c r="B1876" t="s">
        <v>11617</v>
      </c>
      <c r="C1876" t="s">
        <v>11729</v>
      </c>
      <c r="D1876" s="17" t="s">
        <v>21</v>
      </c>
      <c r="E1876" t="s">
        <v>11613</v>
      </c>
      <c r="F1876" t="s">
        <v>273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39000</v>
      </c>
      <c r="N1876" t="s">
        <v>11414</v>
      </c>
      <c r="O1876" t="s">
        <v>11508</v>
      </c>
      <c r="P1876" t="s">
        <v>11519</v>
      </c>
      <c r="Q1876" t="s">
        <v>25</v>
      </c>
      <c r="R1876" t="s">
        <v>11928</v>
      </c>
    </row>
    <row r="1877" spans="1:18">
      <c r="A1877" t="s">
        <v>11716</v>
      </c>
      <c r="B1877" t="s">
        <v>11660</v>
      </c>
      <c r="C1877" t="s">
        <v>11772</v>
      </c>
      <c r="D1877" s="17" t="s">
        <v>21</v>
      </c>
      <c r="E1877" t="s">
        <v>11613</v>
      </c>
      <c r="F1877" t="s">
        <v>277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43000</v>
      </c>
      <c r="N1877" t="s">
        <v>11488</v>
      </c>
      <c r="O1877" t="s">
        <v>11508</v>
      </c>
      <c r="P1877" t="s">
        <v>11593</v>
      </c>
      <c r="Q1877" t="s">
        <v>25</v>
      </c>
      <c r="R1877" t="s">
        <v>12002</v>
      </c>
    </row>
    <row r="1878" spans="1:18">
      <c r="A1878" t="s">
        <v>11672</v>
      </c>
      <c r="B1878" t="s">
        <v>11616</v>
      </c>
      <c r="C1878" t="s">
        <v>11728</v>
      </c>
      <c r="D1878" s="17" t="s">
        <v>21</v>
      </c>
      <c r="E1878" t="s">
        <v>11613</v>
      </c>
      <c r="F1878" t="s">
        <v>279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47000</v>
      </c>
      <c r="N1878" t="s">
        <v>11408</v>
      </c>
      <c r="O1878" t="s">
        <v>11508</v>
      </c>
      <c r="P1878" t="s">
        <v>11513</v>
      </c>
      <c r="Q1878" t="s">
        <v>25</v>
      </c>
      <c r="R1878" t="s">
        <v>11922</v>
      </c>
    </row>
    <row r="1879" spans="1:18">
      <c r="A1879" t="s">
        <v>11699</v>
      </c>
      <c r="B1879" t="s">
        <v>11643</v>
      </c>
      <c r="C1879" t="s">
        <v>11755</v>
      </c>
      <c r="D1879" s="17" t="s">
        <v>21</v>
      </c>
      <c r="E1879" t="s">
        <v>11613</v>
      </c>
      <c r="F1879" t="s">
        <v>283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51000</v>
      </c>
      <c r="N1879" t="s">
        <v>11461</v>
      </c>
      <c r="O1879" t="s">
        <v>11508</v>
      </c>
      <c r="P1879" t="s">
        <v>11566</v>
      </c>
      <c r="Q1879" t="s">
        <v>25</v>
      </c>
      <c r="R1879" t="s">
        <v>11975</v>
      </c>
    </row>
    <row r="1880" spans="1:18">
      <c r="A1880" t="s">
        <v>11691</v>
      </c>
      <c r="B1880" t="s">
        <v>11635</v>
      </c>
      <c r="C1880" t="s">
        <v>11747</v>
      </c>
      <c r="D1880" s="17" t="s">
        <v>21</v>
      </c>
      <c r="E1880" t="s">
        <v>11613</v>
      </c>
      <c r="F1880" t="s">
        <v>287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56000</v>
      </c>
      <c r="N1880" t="s">
        <v>11451</v>
      </c>
      <c r="O1880" t="s">
        <v>11508</v>
      </c>
      <c r="P1880" t="s">
        <v>11556</v>
      </c>
      <c r="Q1880" t="s">
        <v>25</v>
      </c>
      <c r="R1880" t="s">
        <v>11965</v>
      </c>
    </row>
    <row r="1881" spans="1:18">
      <c r="A1881" t="s">
        <v>11704</v>
      </c>
      <c r="B1881" t="s">
        <v>11648</v>
      </c>
      <c r="C1881" t="s">
        <v>11760</v>
      </c>
      <c r="D1881" s="17" t="s">
        <v>21</v>
      </c>
      <c r="E1881" t="s">
        <v>11613</v>
      </c>
      <c r="F1881" t="s">
        <v>291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62000</v>
      </c>
      <c r="N1881" t="s">
        <v>11469</v>
      </c>
      <c r="O1881" t="s">
        <v>11508</v>
      </c>
      <c r="P1881" t="s">
        <v>11574</v>
      </c>
      <c r="Q1881" t="s">
        <v>25</v>
      </c>
      <c r="R1881" t="s">
        <v>11983</v>
      </c>
    </row>
    <row r="1882" spans="1:18">
      <c r="A1882" t="s">
        <v>11685</v>
      </c>
      <c r="B1882" t="s">
        <v>11629</v>
      </c>
      <c r="C1882" t="s">
        <v>11741</v>
      </c>
      <c r="D1882" s="17" t="s">
        <v>21</v>
      </c>
      <c r="E1882" t="s">
        <v>11613</v>
      </c>
      <c r="F1882" t="s">
        <v>295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68000</v>
      </c>
      <c r="N1882" t="s">
        <v>11439</v>
      </c>
      <c r="O1882" t="s">
        <v>11508</v>
      </c>
      <c r="P1882" t="s">
        <v>11544</v>
      </c>
      <c r="Q1882" t="s">
        <v>25</v>
      </c>
      <c r="R1882" t="s">
        <v>11953</v>
      </c>
    </row>
    <row r="1883" spans="1:18">
      <c r="A1883" t="s">
        <v>11714</v>
      </c>
      <c r="B1883" t="s">
        <v>11658</v>
      </c>
      <c r="C1883" t="s">
        <v>11770</v>
      </c>
      <c r="D1883" s="17" t="s">
        <v>21</v>
      </c>
      <c r="E1883" t="s">
        <v>11613</v>
      </c>
      <c r="F1883" t="s">
        <v>299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75000</v>
      </c>
      <c r="N1883" t="s">
        <v>11485</v>
      </c>
      <c r="O1883" t="s">
        <v>11508</v>
      </c>
      <c r="P1883" t="s">
        <v>11590</v>
      </c>
      <c r="Q1883" t="s">
        <v>25</v>
      </c>
      <c r="R1883" t="s">
        <v>11999</v>
      </c>
    </row>
    <row r="1884" spans="1:18">
      <c r="A1884" t="s">
        <v>11723</v>
      </c>
      <c r="B1884" t="s">
        <v>11667</v>
      </c>
      <c r="C1884" t="s">
        <v>11779</v>
      </c>
      <c r="D1884" s="17" t="s">
        <v>21</v>
      </c>
      <c r="E1884" t="s">
        <v>11613</v>
      </c>
      <c r="F1884" t="s">
        <v>301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82000</v>
      </c>
      <c r="N1884" t="s">
        <v>11501</v>
      </c>
      <c r="O1884" t="s">
        <v>11508</v>
      </c>
      <c r="P1884" t="s">
        <v>11606</v>
      </c>
      <c r="Q1884" t="s">
        <v>25</v>
      </c>
      <c r="R1884" t="s">
        <v>12015</v>
      </c>
    </row>
    <row r="1885" spans="1:18">
      <c r="A1885" t="s">
        <v>11720</v>
      </c>
      <c r="B1885" t="s">
        <v>11664</v>
      </c>
      <c r="C1885" t="s">
        <v>11776</v>
      </c>
      <c r="D1885" s="17" t="s">
        <v>21</v>
      </c>
      <c r="E1885" t="s">
        <v>11613</v>
      </c>
      <c r="F1885" t="s">
        <v>303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91000</v>
      </c>
      <c r="N1885" t="s">
        <v>11497</v>
      </c>
      <c r="O1885" t="s">
        <v>11508</v>
      </c>
      <c r="P1885" t="s">
        <v>11602</v>
      </c>
      <c r="Q1885" t="s">
        <v>25</v>
      </c>
      <c r="R1885" t="s">
        <v>12011</v>
      </c>
    </row>
    <row r="1886" spans="1:18">
      <c r="A1886" t="s">
        <v>11677</v>
      </c>
      <c r="B1886" t="s">
        <v>11621</v>
      </c>
      <c r="C1886" t="s">
        <v>11733</v>
      </c>
      <c r="D1886" s="17" t="s">
        <v>21</v>
      </c>
      <c r="E1886" t="s">
        <v>11613</v>
      </c>
      <c r="F1886" t="s">
        <v>305</v>
      </c>
      <c r="G1886" s="17" t="str">
        <f>Config!$B$3</f>
        <v>SCH/R_IEC.SchLib</v>
      </c>
      <c r="H1886" s="17" t="s">
        <v>419</v>
      </c>
      <c r="I1886" s="18" t="s">
        <v>7503</v>
      </c>
      <c r="J1886" t="s">
        <v>11614</v>
      </c>
      <c r="M1886" s="3">
        <v>100000</v>
      </c>
      <c r="N1886" t="s">
        <v>11420</v>
      </c>
      <c r="O1886" t="s">
        <v>11508</v>
      </c>
      <c r="P1886" t="s">
        <v>11525</v>
      </c>
      <c r="Q1886" t="s">
        <v>25</v>
      </c>
      <c r="R1886" t="s">
        <v>11934</v>
      </c>
    </row>
    <row r="1887" spans="1:18">
      <c r="A1887" t="s">
        <v>17053</v>
      </c>
      <c r="B1887" t="s">
        <v>17053</v>
      </c>
      <c r="C1887" t="s">
        <v>17054</v>
      </c>
      <c r="D1887" t="s">
        <v>21</v>
      </c>
      <c r="E1887" s="14" t="s">
        <v>17055</v>
      </c>
      <c r="F1887" t="s">
        <v>29</v>
      </c>
      <c r="G1887" s="17" t="str">
        <f>Config!$B$3</f>
        <v>SCH/R_IEC.SchLib</v>
      </c>
      <c r="H1887" t="s">
        <v>419</v>
      </c>
      <c r="I1887" s="18" t="s">
        <v>461</v>
      </c>
      <c r="J1887" t="s">
        <v>18033</v>
      </c>
      <c r="M1887">
        <v>1</v>
      </c>
      <c r="N1887" t="s">
        <v>17056</v>
      </c>
      <c r="O1887" s="3" t="s">
        <v>477</v>
      </c>
      <c r="P1887" t="s">
        <v>17057</v>
      </c>
      <c r="Q1887" t="s">
        <v>25</v>
      </c>
      <c r="R1887" t="s">
        <v>17058</v>
      </c>
    </row>
    <row r="1888" spans="1:18">
      <c r="A1888" t="s">
        <v>17059</v>
      </c>
      <c r="B1888" t="s">
        <v>17059</v>
      </c>
      <c r="C1888" t="s">
        <v>17060</v>
      </c>
      <c r="D1888" t="s">
        <v>21</v>
      </c>
      <c r="E1888" s="14" t="s">
        <v>17055</v>
      </c>
      <c r="F1888" t="s">
        <v>31</v>
      </c>
      <c r="G1888" s="17" t="str">
        <f>Config!$B$3</f>
        <v>SCH/R_IEC.SchLib</v>
      </c>
      <c r="H1888" t="s">
        <v>419</v>
      </c>
      <c r="I1888" s="18" t="s">
        <v>461</v>
      </c>
      <c r="J1888" t="s">
        <v>18033</v>
      </c>
      <c r="M1888">
        <v>1.2</v>
      </c>
      <c r="N1888" t="s">
        <v>17056</v>
      </c>
      <c r="O1888" s="3" t="s">
        <v>477</v>
      </c>
      <c r="P1888" t="s">
        <v>17061</v>
      </c>
      <c r="Q1888" t="s">
        <v>25</v>
      </c>
      <c r="R1888" t="s">
        <v>17062</v>
      </c>
    </row>
    <row r="1889" spans="1:18">
      <c r="A1889" t="s">
        <v>17063</v>
      </c>
      <c r="B1889" t="s">
        <v>17063</v>
      </c>
      <c r="C1889" t="s">
        <v>17064</v>
      </c>
      <c r="D1889" t="s">
        <v>21</v>
      </c>
      <c r="E1889" s="14" t="s">
        <v>17055</v>
      </c>
      <c r="F1889" t="s">
        <v>1052</v>
      </c>
      <c r="G1889" s="17" t="str">
        <f>Config!$B$3</f>
        <v>SCH/R_IEC.SchLib</v>
      </c>
      <c r="H1889" t="s">
        <v>419</v>
      </c>
      <c r="I1889" s="18" t="s">
        <v>461</v>
      </c>
      <c r="J1889" t="s">
        <v>18033</v>
      </c>
      <c r="M1889">
        <v>1.3</v>
      </c>
      <c r="N1889" t="s">
        <v>17056</v>
      </c>
      <c r="O1889" s="3" t="s">
        <v>477</v>
      </c>
      <c r="P1889" t="s">
        <v>17065</v>
      </c>
      <c r="Q1889" t="s">
        <v>25</v>
      </c>
      <c r="R1889" t="s">
        <v>17066</v>
      </c>
    </row>
    <row r="1890" spans="1:18">
      <c r="A1890" t="s">
        <v>17067</v>
      </c>
      <c r="B1890" t="s">
        <v>17067</v>
      </c>
      <c r="C1890" t="s">
        <v>17068</v>
      </c>
      <c r="D1890" t="s">
        <v>21</v>
      </c>
      <c r="E1890" s="14" t="s">
        <v>17055</v>
      </c>
      <c r="F1890" t="s">
        <v>33</v>
      </c>
      <c r="G1890" s="17" t="str">
        <f>Config!$B$3</f>
        <v>SCH/R_IEC.SchLib</v>
      </c>
      <c r="H1890" t="s">
        <v>419</v>
      </c>
      <c r="I1890" s="18" t="s">
        <v>461</v>
      </c>
      <c r="J1890" t="s">
        <v>18033</v>
      </c>
      <c r="M1890">
        <v>1.5</v>
      </c>
      <c r="N1890" t="s">
        <v>17056</v>
      </c>
      <c r="O1890" s="3" t="s">
        <v>477</v>
      </c>
      <c r="P1890" t="s">
        <v>17069</v>
      </c>
      <c r="Q1890" t="s">
        <v>25</v>
      </c>
      <c r="R1890" t="s">
        <v>17070</v>
      </c>
    </row>
    <row r="1891" spans="1:18">
      <c r="A1891" t="s">
        <v>17071</v>
      </c>
      <c r="B1891" t="s">
        <v>17071</v>
      </c>
      <c r="C1891" t="s">
        <v>17072</v>
      </c>
      <c r="D1891" t="s">
        <v>21</v>
      </c>
      <c r="E1891" s="14" t="s">
        <v>17055</v>
      </c>
      <c r="F1891" t="s">
        <v>35</v>
      </c>
      <c r="G1891" s="17" t="str">
        <f>Config!$B$3</f>
        <v>SCH/R_IEC.SchLib</v>
      </c>
      <c r="H1891" t="s">
        <v>419</v>
      </c>
      <c r="I1891" s="18" t="s">
        <v>461</v>
      </c>
      <c r="J1891" t="s">
        <v>18033</v>
      </c>
      <c r="M1891">
        <v>1.8</v>
      </c>
      <c r="N1891" t="s">
        <v>17056</v>
      </c>
      <c r="O1891" s="3" t="s">
        <v>477</v>
      </c>
      <c r="P1891" t="s">
        <v>17073</v>
      </c>
      <c r="Q1891" t="s">
        <v>25</v>
      </c>
      <c r="R1891" t="s">
        <v>17074</v>
      </c>
    </row>
    <row r="1892" spans="1:18">
      <c r="A1892" t="s">
        <v>17075</v>
      </c>
      <c r="B1892" t="s">
        <v>17075</v>
      </c>
      <c r="C1892" t="s">
        <v>17076</v>
      </c>
      <c r="D1892" t="s">
        <v>21</v>
      </c>
      <c r="E1892" s="14" t="s">
        <v>17055</v>
      </c>
      <c r="F1892" t="s">
        <v>1070</v>
      </c>
      <c r="G1892" s="17" t="str">
        <f>Config!$B$3</f>
        <v>SCH/R_IEC.SchLib</v>
      </c>
      <c r="H1892" t="s">
        <v>419</v>
      </c>
      <c r="I1892" s="18" t="s">
        <v>461</v>
      </c>
      <c r="J1892" t="s">
        <v>18033</v>
      </c>
      <c r="M1892">
        <v>2</v>
      </c>
      <c r="N1892" t="s">
        <v>17056</v>
      </c>
      <c r="O1892" s="3" t="s">
        <v>477</v>
      </c>
      <c r="P1892" t="s">
        <v>17077</v>
      </c>
      <c r="Q1892" t="s">
        <v>25</v>
      </c>
      <c r="R1892" t="s">
        <v>17078</v>
      </c>
    </row>
    <row r="1893" spans="1:18">
      <c r="A1893" t="s">
        <v>17079</v>
      </c>
      <c r="B1893" t="s">
        <v>17079</v>
      </c>
      <c r="C1893" t="s">
        <v>17080</v>
      </c>
      <c r="D1893" t="s">
        <v>21</v>
      </c>
      <c r="E1893" s="14" t="s">
        <v>17055</v>
      </c>
      <c r="F1893" t="s">
        <v>37</v>
      </c>
      <c r="G1893" s="17" t="str">
        <f>Config!$B$3</f>
        <v>SCH/R_IEC.SchLib</v>
      </c>
      <c r="H1893" t="s">
        <v>419</v>
      </c>
      <c r="I1893" s="18" t="s">
        <v>461</v>
      </c>
      <c r="J1893" t="s">
        <v>18033</v>
      </c>
      <c r="M1893">
        <v>2.2000000000000002</v>
      </c>
      <c r="N1893" t="s">
        <v>17056</v>
      </c>
      <c r="O1893" s="3" t="s">
        <v>477</v>
      </c>
      <c r="P1893" t="s">
        <v>17081</v>
      </c>
      <c r="Q1893" t="s">
        <v>25</v>
      </c>
      <c r="R1893" t="s">
        <v>17082</v>
      </c>
    </row>
    <row r="1894" spans="1:18">
      <c r="A1894" t="s">
        <v>17083</v>
      </c>
      <c r="B1894" t="s">
        <v>17083</v>
      </c>
      <c r="C1894" t="s">
        <v>17084</v>
      </c>
      <c r="D1894" t="s">
        <v>21</v>
      </c>
      <c r="E1894" s="14" t="s">
        <v>17055</v>
      </c>
      <c r="F1894" t="s">
        <v>39</v>
      </c>
      <c r="G1894" s="17" t="str">
        <f>Config!$B$3</f>
        <v>SCH/R_IEC.SchLib</v>
      </c>
      <c r="H1894" t="s">
        <v>419</v>
      </c>
      <c r="I1894" s="18" t="s">
        <v>461</v>
      </c>
      <c r="J1894" t="s">
        <v>18033</v>
      </c>
      <c r="M1894">
        <v>2.7</v>
      </c>
      <c r="N1894" t="s">
        <v>17056</v>
      </c>
      <c r="O1894" s="3" t="s">
        <v>477</v>
      </c>
      <c r="P1894" t="s">
        <v>17085</v>
      </c>
      <c r="Q1894" t="s">
        <v>25</v>
      </c>
      <c r="R1894" t="s">
        <v>17086</v>
      </c>
    </row>
    <row r="1895" spans="1:18">
      <c r="A1895" t="s">
        <v>17087</v>
      </c>
      <c r="B1895" t="s">
        <v>17087</v>
      </c>
      <c r="C1895" t="s">
        <v>17088</v>
      </c>
      <c r="D1895" t="s">
        <v>21</v>
      </c>
      <c r="E1895" s="14" t="s">
        <v>17055</v>
      </c>
      <c r="F1895" t="s">
        <v>1088</v>
      </c>
      <c r="G1895" s="17" t="str">
        <f>Config!$B$3</f>
        <v>SCH/R_IEC.SchLib</v>
      </c>
      <c r="H1895" t="s">
        <v>419</v>
      </c>
      <c r="I1895" s="18" t="s">
        <v>461</v>
      </c>
      <c r="J1895" t="s">
        <v>18033</v>
      </c>
      <c r="M1895">
        <v>3</v>
      </c>
      <c r="N1895" t="s">
        <v>17056</v>
      </c>
      <c r="O1895" s="3" t="s">
        <v>477</v>
      </c>
      <c r="P1895" t="s">
        <v>17089</v>
      </c>
      <c r="Q1895" t="s">
        <v>25</v>
      </c>
      <c r="R1895" t="s">
        <v>17090</v>
      </c>
    </row>
    <row r="1896" spans="1:18">
      <c r="A1896" t="s">
        <v>17091</v>
      </c>
      <c r="B1896" t="s">
        <v>17091</v>
      </c>
      <c r="C1896" t="s">
        <v>17092</v>
      </c>
      <c r="D1896" t="s">
        <v>21</v>
      </c>
      <c r="E1896" s="14" t="s">
        <v>17055</v>
      </c>
      <c r="F1896" t="s">
        <v>41</v>
      </c>
      <c r="G1896" s="17" t="str">
        <f>Config!$B$3</f>
        <v>SCH/R_IEC.SchLib</v>
      </c>
      <c r="H1896" t="s">
        <v>419</v>
      </c>
      <c r="I1896" s="18" t="s">
        <v>461</v>
      </c>
      <c r="J1896" t="s">
        <v>18033</v>
      </c>
      <c r="M1896">
        <v>3.3</v>
      </c>
      <c r="N1896" t="s">
        <v>17056</v>
      </c>
      <c r="O1896" s="3" t="s">
        <v>477</v>
      </c>
      <c r="P1896" t="s">
        <v>17093</v>
      </c>
      <c r="Q1896" t="s">
        <v>25</v>
      </c>
      <c r="R1896" t="s">
        <v>17094</v>
      </c>
    </row>
    <row r="1897" spans="1:18">
      <c r="A1897" t="s">
        <v>17095</v>
      </c>
      <c r="B1897" t="s">
        <v>17095</v>
      </c>
      <c r="C1897" t="s">
        <v>17096</v>
      </c>
      <c r="D1897" t="s">
        <v>21</v>
      </c>
      <c r="E1897" s="14" t="s">
        <v>17055</v>
      </c>
      <c r="F1897" t="s">
        <v>43</v>
      </c>
      <c r="G1897" s="17" t="str">
        <f>Config!$B$3</f>
        <v>SCH/R_IEC.SchLib</v>
      </c>
      <c r="H1897" t="s">
        <v>419</v>
      </c>
      <c r="I1897" s="18" t="s">
        <v>461</v>
      </c>
      <c r="J1897" t="s">
        <v>18033</v>
      </c>
      <c r="M1897">
        <v>3.9</v>
      </c>
      <c r="N1897" t="s">
        <v>17056</v>
      </c>
      <c r="O1897" s="3" t="s">
        <v>477</v>
      </c>
      <c r="P1897" t="s">
        <v>17097</v>
      </c>
      <c r="Q1897" t="s">
        <v>25</v>
      </c>
      <c r="R1897" t="s">
        <v>17098</v>
      </c>
    </row>
    <row r="1898" spans="1:18">
      <c r="A1898" t="s">
        <v>17099</v>
      </c>
      <c r="B1898" t="s">
        <v>17099</v>
      </c>
      <c r="C1898" t="s">
        <v>17100</v>
      </c>
      <c r="D1898" t="s">
        <v>21</v>
      </c>
      <c r="E1898" s="14" t="s">
        <v>17055</v>
      </c>
      <c r="F1898" t="s">
        <v>1106</v>
      </c>
      <c r="G1898" s="17" t="str">
        <f>Config!$B$3</f>
        <v>SCH/R_IEC.SchLib</v>
      </c>
      <c r="H1898" t="s">
        <v>419</v>
      </c>
      <c r="I1898" s="18" t="s">
        <v>461</v>
      </c>
      <c r="J1898" t="s">
        <v>18033</v>
      </c>
      <c r="M1898">
        <v>4.3</v>
      </c>
      <c r="N1898" t="s">
        <v>17056</v>
      </c>
      <c r="O1898" s="3" t="s">
        <v>477</v>
      </c>
      <c r="P1898" t="s">
        <v>17101</v>
      </c>
      <c r="Q1898" t="s">
        <v>25</v>
      </c>
      <c r="R1898" t="s">
        <v>17102</v>
      </c>
    </row>
    <row r="1899" spans="1:18">
      <c r="A1899" t="s">
        <v>17103</v>
      </c>
      <c r="B1899" t="s">
        <v>17103</v>
      </c>
      <c r="C1899" t="s">
        <v>17104</v>
      </c>
      <c r="D1899" t="s">
        <v>21</v>
      </c>
      <c r="E1899" s="14" t="s">
        <v>17055</v>
      </c>
      <c r="F1899" t="s">
        <v>45</v>
      </c>
      <c r="G1899" s="17" t="str">
        <f>Config!$B$3</f>
        <v>SCH/R_IEC.SchLib</v>
      </c>
      <c r="H1899" t="s">
        <v>419</v>
      </c>
      <c r="I1899" s="18" t="s">
        <v>461</v>
      </c>
      <c r="J1899" t="s">
        <v>18033</v>
      </c>
      <c r="M1899">
        <v>4.7</v>
      </c>
      <c r="N1899" t="s">
        <v>17056</v>
      </c>
      <c r="O1899" s="3" t="s">
        <v>477</v>
      </c>
      <c r="P1899" t="s">
        <v>17105</v>
      </c>
      <c r="Q1899" t="s">
        <v>25</v>
      </c>
      <c r="R1899" t="s">
        <v>17106</v>
      </c>
    </row>
    <row r="1900" spans="1:18">
      <c r="A1900" t="s">
        <v>17107</v>
      </c>
      <c r="B1900" t="s">
        <v>17107</v>
      </c>
      <c r="C1900" t="s">
        <v>17108</v>
      </c>
      <c r="D1900" t="s">
        <v>21</v>
      </c>
      <c r="E1900" s="14" t="s">
        <v>17055</v>
      </c>
      <c r="F1900" t="s">
        <v>1116</v>
      </c>
      <c r="G1900" s="17" t="str">
        <f>Config!$B$3</f>
        <v>SCH/R_IEC.SchLib</v>
      </c>
      <c r="H1900" t="s">
        <v>419</v>
      </c>
      <c r="I1900" s="18" t="s">
        <v>461</v>
      </c>
      <c r="J1900" t="s">
        <v>18033</v>
      </c>
      <c r="M1900">
        <v>5.0999999999999996</v>
      </c>
      <c r="N1900" t="s">
        <v>17056</v>
      </c>
      <c r="O1900" s="3" t="s">
        <v>477</v>
      </c>
      <c r="P1900" t="s">
        <v>17109</v>
      </c>
      <c r="Q1900" t="s">
        <v>25</v>
      </c>
      <c r="R1900" t="s">
        <v>17110</v>
      </c>
    </row>
    <row r="1901" spans="1:18">
      <c r="A1901" t="s">
        <v>17111</v>
      </c>
      <c r="B1901" t="s">
        <v>17111</v>
      </c>
      <c r="C1901" t="s">
        <v>17112</v>
      </c>
      <c r="D1901" t="s">
        <v>21</v>
      </c>
      <c r="E1901" s="14" t="s">
        <v>17055</v>
      </c>
      <c r="F1901" t="s">
        <v>47</v>
      </c>
      <c r="G1901" s="17" t="str">
        <f>Config!$B$3</f>
        <v>SCH/R_IEC.SchLib</v>
      </c>
      <c r="H1901" t="s">
        <v>419</v>
      </c>
      <c r="I1901" s="18" t="s">
        <v>461</v>
      </c>
      <c r="J1901" t="s">
        <v>18033</v>
      </c>
      <c r="M1901">
        <v>5.6</v>
      </c>
      <c r="N1901" t="s">
        <v>17056</v>
      </c>
      <c r="O1901" s="3" t="s">
        <v>477</v>
      </c>
      <c r="P1901" t="s">
        <v>17113</v>
      </c>
      <c r="Q1901" t="s">
        <v>25</v>
      </c>
      <c r="R1901" t="s">
        <v>17114</v>
      </c>
    </row>
    <row r="1902" spans="1:18">
      <c r="A1902" t="s">
        <v>17115</v>
      </c>
      <c r="B1902" t="s">
        <v>17115</v>
      </c>
      <c r="C1902" t="s">
        <v>17116</v>
      </c>
      <c r="D1902" t="s">
        <v>21</v>
      </c>
      <c r="E1902" s="14" t="s">
        <v>17055</v>
      </c>
      <c r="F1902" t="s">
        <v>1128</v>
      </c>
      <c r="G1902" s="17" t="str">
        <f>Config!$B$3</f>
        <v>SCH/R_IEC.SchLib</v>
      </c>
      <c r="H1902" t="s">
        <v>419</v>
      </c>
      <c r="I1902" s="18" t="s">
        <v>461</v>
      </c>
      <c r="J1902" t="s">
        <v>18033</v>
      </c>
      <c r="M1902">
        <v>6.2</v>
      </c>
      <c r="N1902" t="s">
        <v>17056</v>
      </c>
      <c r="O1902" s="3" t="s">
        <v>477</v>
      </c>
      <c r="P1902" t="s">
        <v>17117</v>
      </c>
      <c r="Q1902" t="s">
        <v>25</v>
      </c>
      <c r="R1902" t="s">
        <v>17118</v>
      </c>
    </row>
    <row r="1903" spans="1:18">
      <c r="A1903" t="s">
        <v>17119</v>
      </c>
      <c r="B1903" t="s">
        <v>17119</v>
      </c>
      <c r="C1903" t="s">
        <v>17120</v>
      </c>
      <c r="D1903" t="s">
        <v>21</v>
      </c>
      <c r="E1903" s="14" t="s">
        <v>17055</v>
      </c>
      <c r="F1903" t="s">
        <v>49</v>
      </c>
      <c r="G1903" s="17" t="str">
        <f>Config!$B$3</f>
        <v>SCH/R_IEC.SchLib</v>
      </c>
      <c r="H1903" t="s">
        <v>419</v>
      </c>
      <c r="I1903" s="18" t="s">
        <v>461</v>
      </c>
      <c r="J1903" t="s">
        <v>18033</v>
      </c>
      <c r="M1903">
        <v>6.8</v>
      </c>
      <c r="N1903" t="s">
        <v>17056</v>
      </c>
      <c r="O1903" s="3" t="s">
        <v>477</v>
      </c>
      <c r="P1903" t="s">
        <v>17121</v>
      </c>
      <c r="Q1903" t="s">
        <v>25</v>
      </c>
      <c r="R1903" t="s">
        <v>17122</v>
      </c>
    </row>
    <row r="1904" spans="1:18">
      <c r="A1904" t="s">
        <v>17123</v>
      </c>
      <c r="B1904" t="s">
        <v>17123</v>
      </c>
      <c r="C1904" t="s">
        <v>17124</v>
      </c>
      <c r="D1904" t="s">
        <v>21</v>
      </c>
      <c r="E1904" s="14" t="s">
        <v>17055</v>
      </c>
      <c r="F1904" t="s">
        <v>1138</v>
      </c>
      <c r="G1904" s="17" t="str">
        <f>Config!$B$3</f>
        <v>SCH/R_IEC.SchLib</v>
      </c>
      <c r="H1904" t="s">
        <v>419</v>
      </c>
      <c r="I1904" s="18" t="s">
        <v>461</v>
      </c>
      <c r="J1904" t="s">
        <v>18033</v>
      </c>
      <c r="M1904">
        <v>7.5</v>
      </c>
      <c r="N1904" t="s">
        <v>17056</v>
      </c>
      <c r="O1904" s="3" t="s">
        <v>477</v>
      </c>
      <c r="P1904" t="s">
        <v>17125</v>
      </c>
      <c r="Q1904" t="s">
        <v>25</v>
      </c>
      <c r="R1904" t="s">
        <v>17126</v>
      </c>
    </row>
    <row r="1905" spans="1:22">
      <c r="A1905" t="s">
        <v>17127</v>
      </c>
      <c r="B1905" t="s">
        <v>17127</v>
      </c>
      <c r="C1905" t="s">
        <v>17128</v>
      </c>
      <c r="D1905" t="s">
        <v>21</v>
      </c>
      <c r="E1905" s="14" t="s">
        <v>17055</v>
      </c>
      <c r="F1905" t="s">
        <v>51</v>
      </c>
      <c r="G1905" s="17" t="str">
        <f>Config!$B$3</f>
        <v>SCH/R_IEC.SchLib</v>
      </c>
      <c r="H1905" t="s">
        <v>419</v>
      </c>
      <c r="I1905" s="18" t="s">
        <v>461</v>
      </c>
      <c r="J1905" t="s">
        <v>18033</v>
      </c>
      <c r="M1905">
        <v>8.1999999999999993</v>
      </c>
      <c r="N1905" t="s">
        <v>17056</v>
      </c>
      <c r="O1905" s="3" t="s">
        <v>477</v>
      </c>
      <c r="P1905" t="s">
        <v>17129</v>
      </c>
      <c r="Q1905" t="s">
        <v>25</v>
      </c>
      <c r="R1905" t="s">
        <v>17130</v>
      </c>
    </row>
    <row r="1906" spans="1:22">
      <c r="A1906" t="s">
        <v>17131</v>
      </c>
      <c r="B1906" t="s">
        <v>17131</v>
      </c>
      <c r="C1906" t="s">
        <v>17132</v>
      </c>
      <c r="D1906" t="s">
        <v>21</v>
      </c>
      <c r="E1906" s="14" t="s">
        <v>17055</v>
      </c>
      <c r="F1906" t="s">
        <v>1148</v>
      </c>
      <c r="G1906" s="17" t="str">
        <f>Config!$B$3</f>
        <v>SCH/R_IEC.SchLib</v>
      </c>
      <c r="H1906" t="s">
        <v>419</v>
      </c>
      <c r="I1906" s="18" t="s">
        <v>461</v>
      </c>
      <c r="J1906" t="s">
        <v>18033</v>
      </c>
      <c r="M1906">
        <v>9.1</v>
      </c>
      <c r="N1906" t="s">
        <v>17056</v>
      </c>
      <c r="O1906" s="3" t="s">
        <v>477</v>
      </c>
      <c r="P1906" t="s">
        <v>17133</v>
      </c>
      <c r="Q1906" t="s">
        <v>25</v>
      </c>
      <c r="R1906" t="s">
        <v>17134</v>
      </c>
    </row>
    <row r="1907" spans="1:22">
      <c r="A1907" t="s">
        <v>17135</v>
      </c>
      <c r="B1907" t="s">
        <v>17135</v>
      </c>
      <c r="C1907" t="s">
        <v>17136</v>
      </c>
      <c r="D1907" t="s">
        <v>21</v>
      </c>
      <c r="E1907" s="14" t="s">
        <v>17055</v>
      </c>
      <c r="F1907" t="s">
        <v>53</v>
      </c>
      <c r="G1907" s="17" t="str">
        <f>Config!$B$3</f>
        <v>SCH/R_IEC.SchLib</v>
      </c>
      <c r="H1907" t="s">
        <v>419</v>
      </c>
      <c r="I1907" s="18" t="s">
        <v>461</v>
      </c>
      <c r="J1907" t="s">
        <v>18033</v>
      </c>
      <c r="M1907" s="3">
        <v>10</v>
      </c>
      <c r="N1907" t="s">
        <v>17056</v>
      </c>
      <c r="O1907" s="3" t="s">
        <v>477</v>
      </c>
      <c r="P1907" t="s">
        <v>17137</v>
      </c>
      <c r="Q1907" t="s">
        <v>25</v>
      </c>
      <c r="R1907" t="s">
        <v>17138</v>
      </c>
      <c r="S1907" t="s">
        <v>477</v>
      </c>
      <c r="T1907" t="s">
        <v>17139</v>
      </c>
      <c r="U1907" t="s">
        <v>25</v>
      </c>
      <c r="V1907" t="s">
        <v>17140</v>
      </c>
    </row>
    <row r="1908" spans="1:22">
      <c r="A1908" t="s">
        <v>17141</v>
      </c>
      <c r="B1908" t="s">
        <v>17141</v>
      </c>
      <c r="C1908" t="s">
        <v>17142</v>
      </c>
      <c r="D1908" t="s">
        <v>21</v>
      </c>
      <c r="E1908" s="14" t="s">
        <v>17055</v>
      </c>
      <c r="F1908" t="s">
        <v>57</v>
      </c>
      <c r="G1908" s="17" t="str">
        <f>Config!$B$3</f>
        <v>SCH/R_IEC.SchLib</v>
      </c>
      <c r="H1908" t="s">
        <v>419</v>
      </c>
      <c r="I1908" s="18" t="s">
        <v>461</v>
      </c>
      <c r="J1908" t="s">
        <v>18033</v>
      </c>
      <c r="M1908" s="3">
        <v>11</v>
      </c>
      <c r="N1908" t="s">
        <v>17056</v>
      </c>
      <c r="O1908" s="3" t="s">
        <v>477</v>
      </c>
      <c r="P1908" t="s">
        <v>17143</v>
      </c>
      <c r="Q1908" t="s">
        <v>25</v>
      </c>
      <c r="R1908" t="s">
        <v>17144</v>
      </c>
    </row>
    <row r="1909" spans="1:22">
      <c r="A1909" t="s">
        <v>17145</v>
      </c>
      <c r="B1909" t="s">
        <v>17145</v>
      </c>
      <c r="C1909" t="s">
        <v>17146</v>
      </c>
      <c r="D1909" t="s">
        <v>21</v>
      </c>
      <c r="E1909" s="14" t="s">
        <v>17055</v>
      </c>
      <c r="F1909" t="s">
        <v>59</v>
      </c>
      <c r="G1909" s="17" t="str">
        <f>Config!$B$3</f>
        <v>SCH/R_IEC.SchLib</v>
      </c>
      <c r="H1909" t="s">
        <v>419</v>
      </c>
      <c r="I1909" s="18" t="s">
        <v>461</v>
      </c>
      <c r="J1909" t="s">
        <v>18033</v>
      </c>
      <c r="M1909" s="3">
        <v>12</v>
      </c>
      <c r="N1909" t="s">
        <v>17056</v>
      </c>
      <c r="O1909" s="3" t="s">
        <v>477</v>
      </c>
      <c r="P1909" t="s">
        <v>17147</v>
      </c>
      <c r="Q1909" t="s">
        <v>25</v>
      </c>
      <c r="R1909" t="s">
        <v>17148</v>
      </c>
    </row>
    <row r="1910" spans="1:22">
      <c r="A1910" t="s">
        <v>17149</v>
      </c>
      <c r="B1910" t="s">
        <v>17149</v>
      </c>
      <c r="C1910" t="s">
        <v>17150</v>
      </c>
      <c r="D1910" t="s">
        <v>21</v>
      </c>
      <c r="E1910" s="14" t="s">
        <v>17055</v>
      </c>
      <c r="F1910" t="s">
        <v>61</v>
      </c>
      <c r="G1910" s="17" t="str">
        <f>Config!$B$3</f>
        <v>SCH/R_IEC.SchLib</v>
      </c>
      <c r="H1910" t="s">
        <v>419</v>
      </c>
      <c r="I1910" s="18" t="s">
        <v>461</v>
      </c>
      <c r="J1910" t="s">
        <v>18033</v>
      </c>
      <c r="M1910" s="3">
        <v>13</v>
      </c>
      <c r="N1910" t="s">
        <v>17056</v>
      </c>
      <c r="O1910" s="3" t="s">
        <v>477</v>
      </c>
      <c r="P1910" t="s">
        <v>17151</v>
      </c>
      <c r="Q1910" t="s">
        <v>25</v>
      </c>
      <c r="R1910" t="s">
        <v>17152</v>
      </c>
    </row>
    <row r="1911" spans="1:22">
      <c r="A1911" t="s">
        <v>17153</v>
      </c>
      <c r="B1911" t="s">
        <v>17153</v>
      </c>
      <c r="C1911" t="s">
        <v>17154</v>
      </c>
      <c r="D1911" t="s">
        <v>21</v>
      </c>
      <c r="E1911" s="14" t="s">
        <v>17055</v>
      </c>
      <c r="F1911" t="s">
        <v>63</v>
      </c>
      <c r="G1911" s="17" t="str">
        <f>Config!$B$3</f>
        <v>SCH/R_IEC.SchLib</v>
      </c>
      <c r="H1911" t="s">
        <v>419</v>
      </c>
      <c r="I1911" s="18" t="s">
        <v>461</v>
      </c>
      <c r="J1911" t="s">
        <v>18033</v>
      </c>
      <c r="M1911" s="3">
        <v>15</v>
      </c>
      <c r="N1911" t="s">
        <v>17056</v>
      </c>
      <c r="O1911" s="3" t="s">
        <v>477</v>
      </c>
      <c r="P1911" t="s">
        <v>17155</v>
      </c>
      <c r="Q1911" t="s">
        <v>25</v>
      </c>
      <c r="R1911" t="s">
        <v>17156</v>
      </c>
    </row>
    <row r="1912" spans="1:22">
      <c r="A1912" t="s">
        <v>17157</v>
      </c>
      <c r="B1912" t="s">
        <v>17157</v>
      </c>
      <c r="C1912" t="s">
        <v>17158</v>
      </c>
      <c r="D1912" t="s">
        <v>21</v>
      </c>
      <c r="E1912" s="14" t="s">
        <v>17055</v>
      </c>
      <c r="F1912" t="s">
        <v>65</v>
      </c>
      <c r="G1912" s="17" t="str">
        <f>Config!$B$3</f>
        <v>SCH/R_IEC.SchLib</v>
      </c>
      <c r="H1912" t="s">
        <v>419</v>
      </c>
      <c r="I1912" s="18" t="s">
        <v>461</v>
      </c>
      <c r="J1912" t="s">
        <v>18033</v>
      </c>
      <c r="M1912" s="3">
        <v>16</v>
      </c>
      <c r="N1912" t="s">
        <v>17056</v>
      </c>
      <c r="O1912" s="3" t="s">
        <v>477</v>
      </c>
      <c r="P1912" t="s">
        <v>17159</v>
      </c>
      <c r="Q1912" t="s">
        <v>25</v>
      </c>
      <c r="R1912" t="s">
        <v>17160</v>
      </c>
    </row>
    <row r="1913" spans="1:22">
      <c r="A1913" t="s">
        <v>17161</v>
      </c>
      <c r="B1913" t="s">
        <v>17161</v>
      </c>
      <c r="C1913" t="s">
        <v>17162</v>
      </c>
      <c r="D1913" t="s">
        <v>21</v>
      </c>
      <c r="E1913" s="14" t="s">
        <v>17055</v>
      </c>
      <c r="F1913" t="s">
        <v>67</v>
      </c>
      <c r="G1913" s="17" t="str">
        <f>Config!$B$3</f>
        <v>SCH/R_IEC.SchLib</v>
      </c>
      <c r="H1913" t="s">
        <v>419</v>
      </c>
      <c r="I1913" s="18" t="s">
        <v>461</v>
      </c>
      <c r="J1913" t="s">
        <v>18033</v>
      </c>
      <c r="M1913" s="3">
        <v>18</v>
      </c>
      <c r="N1913" t="s">
        <v>17056</v>
      </c>
      <c r="O1913" s="3" t="s">
        <v>477</v>
      </c>
      <c r="P1913" t="s">
        <v>17163</v>
      </c>
      <c r="Q1913" t="s">
        <v>25</v>
      </c>
      <c r="R1913" t="s">
        <v>17164</v>
      </c>
    </row>
    <row r="1914" spans="1:22">
      <c r="A1914" t="s">
        <v>17165</v>
      </c>
      <c r="B1914" t="s">
        <v>17165</v>
      </c>
      <c r="C1914" t="s">
        <v>17166</v>
      </c>
      <c r="D1914" t="s">
        <v>21</v>
      </c>
      <c r="E1914" s="14" t="s">
        <v>17055</v>
      </c>
      <c r="F1914" t="s">
        <v>69</v>
      </c>
      <c r="G1914" s="17" t="str">
        <f>Config!$B$3</f>
        <v>SCH/R_IEC.SchLib</v>
      </c>
      <c r="H1914" t="s">
        <v>419</v>
      </c>
      <c r="I1914" s="18" t="s">
        <v>461</v>
      </c>
      <c r="J1914" t="s">
        <v>18033</v>
      </c>
      <c r="M1914" s="3">
        <v>20</v>
      </c>
      <c r="N1914" t="s">
        <v>17056</v>
      </c>
      <c r="O1914" s="3" t="s">
        <v>477</v>
      </c>
      <c r="P1914" t="s">
        <v>17167</v>
      </c>
      <c r="Q1914" t="s">
        <v>25</v>
      </c>
      <c r="R1914" t="s">
        <v>17168</v>
      </c>
    </row>
    <row r="1915" spans="1:22">
      <c r="A1915" t="s">
        <v>17169</v>
      </c>
      <c r="B1915" t="s">
        <v>17169</v>
      </c>
      <c r="C1915" t="s">
        <v>17170</v>
      </c>
      <c r="D1915" t="s">
        <v>21</v>
      </c>
      <c r="E1915" s="14" t="s">
        <v>17055</v>
      </c>
      <c r="F1915" t="s">
        <v>71</v>
      </c>
      <c r="G1915" s="17" t="str">
        <f>Config!$B$3</f>
        <v>SCH/R_IEC.SchLib</v>
      </c>
      <c r="H1915" t="s">
        <v>419</v>
      </c>
      <c r="I1915" s="18" t="s">
        <v>461</v>
      </c>
      <c r="J1915" t="s">
        <v>18033</v>
      </c>
      <c r="M1915" s="3">
        <v>22</v>
      </c>
      <c r="N1915" t="s">
        <v>17056</v>
      </c>
      <c r="O1915" s="3" t="s">
        <v>477</v>
      </c>
      <c r="P1915" t="s">
        <v>17171</v>
      </c>
      <c r="Q1915" t="s">
        <v>25</v>
      </c>
      <c r="R1915" t="s">
        <v>17172</v>
      </c>
      <c r="S1915" t="s">
        <v>477</v>
      </c>
      <c r="T1915" t="s">
        <v>17173</v>
      </c>
      <c r="U1915" t="s">
        <v>25</v>
      </c>
      <c r="V1915" t="s">
        <v>17174</v>
      </c>
    </row>
    <row r="1916" spans="1:22">
      <c r="A1916" t="s">
        <v>17175</v>
      </c>
      <c r="B1916" t="s">
        <v>17175</v>
      </c>
      <c r="C1916" t="s">
        <v>17176</v>
      </c>
      <c r="D1916" t="s">
        <v>21</v>
      </c>
      <c r="E1916" s="14" t="s">
        <v>17055</v>
      </c>
      <c r="F1916" t="s">
        <v>75</v>
      </c>
      <c r="G1916" s="17" t="str">
        <f>Config!$B$3</f>
        <v>SCH/R_IEC.SchLib</v>
      </c>
      <c r="H1916" t="s">
        <v>419</v>
      </c>
      <c r="I1916" s="18" t="s">
        <v>461</v>
      </c>
      <c r="J1916" t="s">
        <v>18033</v>
      </c>
      <c r="M1916" s="3">
        <v>24</v>
      </c>
      <c r="N1916" t="s">
        <v>17056</v>
      </c>
      <c r="O1916" s="3" t="s">
        <v>477</v>
      </c>
      <c r="P1916" t="s">
        <v>17177</v>
      </c>
      <c r="Q1916" t="s">
        <v>25</v>
      </c>
      <c r="R1916" t="s">
        <v>17178</v>
      </c>
    </row>
    <row r="1917" spans="1:22">
      <c r="A1917" t="s">
        <v>17179</v>
      </c>
      <c r="B1917" t="s">
        <v>17179</v>
      </c>
      <c r="C1917" t="s">
        <v>17180</v>
      </c>
      <c r="D1917" t="s">
        <v>21</v>
      </c>
      <c r="E1917" s="14" t="s">
        <v>17055</v>
      </c>
      <c r="F1917" t="s">
        <v>77</v>
      </c>
      <c r="G1917" s="17" t="str">
        <f>Config!$B$3</f>
        <v>SCH/R_IEC.SchLib</v>
      </c>
      <c r="H1917" t="s">
        <v>419</v>
      </c>
      <c r="I1917" t="s">
        <v>461</v>
      </c>
      <c r="J1917" t="s">
        <v>18033</v>
      </c>
      <c r="M1917" s="3">
        <v>27</v>
      </c>
      <c r="N1917" t="s">
        <v>17056</v>
      </c>
      <c r="O1917" t="s">
        <v>477</v>
      </c>
      <c r="P1917" t="s">
        <v>17181</v>
      </c>
      <c r="Q1917" t="s">
        <v>25</v>
      </c>
      <c r="R1917" t="s">
        <v>17182</v>
      </c>
    </row>
    <row r="1918" spans="1:22">
      <c r="A1918" t="s">
        <v>17183</v>
      </c>
      <c r="B1918" t="s">
        <v>17183</v>
      </c>
      <c r="C1918" t="s">
        <v>17184</v>
      </c>
      <c r="D1918" t="s">
        <v>21</v>
      </c>
      <c r="E1918" s="14" t="s">
        <v>17055</v>
      </c>
      <c r="F1918" t="s">
        <v>79</v>
      </c>
      <c r="G1918" s="17" t="str">
        <f>Config!$B$3</f>
        <v>SCH/R_IEC.SchLib</v>
      </c>
      <c r="H1918" t="s">
        <v>419</v>
      </c>
      <c r="I1918" t="s">
        <v>461</v>
      </c>
      <c r="J1918" t="s">
        <v>18033</v>
      </c>
      <c r="M1918" s="3">
        <v>30</v>
      </c>
      <c r="N1918" t="s">
        <v>17056</v>
      </c>
      <c r="O1918" t="s">
        <v>477</v>
      </c>
      <c r="P1918" t="s">
        <v>17185</v>
      </c>
      <c r="Q1918" t="s">
        <v>25</v>
      </c>
      <c r="R1918" t="s">
        <v>17186</v>
      </c>
      <c r="S1918" t="s">
        <v>477</v>
      </c>
      <c r="T1918" t="s">
        <v>17187</v>
      </c>
      <c r="U1918" t="s">
        <v>25</v>
      </c>
      <c r="V1918" t="s">
        <v>17188</v>
      </c>
    </row>
    <row r="1919" spans="1:22">
      <c r="A1919" t="s">
        <v>17189</v>
      </c>
      <c r="B1919" t="s">
        <v>17189</v>
      </c>
      <c r="C1919" t="s">
        <v>17190</v>
      </c>
      <c r="D1919" t="s">
        <v>21</v>
      </c>
      <c r="E1919" s="14" t="s">
        <v>17055</v>
      </c>
      <c r="F1919" t="s">
        <v>81</v>
      </c>
      <c r="G1919" s="17" t="str">
        <f>Config!$B$3</f>
        <v>SCH/R_IEC.SchLib</v>
      </c>
      <c r="H1919" t="s">
        <v>419</v>
      </c>
      <c r="I1919" t="s">
        <v>461</v>
      </c>
      <c r="J1919" t="s">
        <v>18033</v>
      </c>
      <c r="M1919" s="3">
        <v>33</v>
      </c>
      <c r="N1919" t="s">
        <v>17056</v>
      </c>
      <c r="O1919" t="s">
        <v>477</v>
      </c>
      <c r="P1919" t="s">
        <v>17191</v>
      </c>
      <c r="Q1919" t="s">
        <v>25</v>
      </c>
      <c r="R1919" t="s">
        <v>17192</v>
      </c>
      <c r="S1919" t="s">
        <v>477</v>
      </c>
      <c r="T1919" t="s">
        <v>17193</v>
      </c>
      <c r="U1919" t="s">
        <v>25</v>
      </c>
      <c r="V1919" t="s">
        <v>17194</v>
      </c>
    </row>
    <row r="1920" spans="1:22">
      <c r="A1920" t="s">
        <v>17195</v>
      </c>
      <c r="B1920" t="s">
        <v>17195</v>
      </c>
      <c r="C1920" t="s">
        <v>17196</v>
      </c>
      <c r="D1920" t="s">
        <v>21</v>
      </c>
      <c r="E1920" s="14" t="s">
        <v>17055</v>
      </c>
      <c r="F1920" t="s">
        <v>83</v>
      </c>
      <c r="G1920" s="17" t="str">
        <f>Config!$B$3</f>
        <v>SCH/R_IEC.SchLib</v>
      </c>
      <c r="H1920" t="s">
        <v>419</v>
      </c>
      <c r="I1920" t="s">
        <v>461</v>
      </c>
      <c r="J1920" t="s">
        <v>18033</v>
      </c>
      <c r="M1920" s="3">
        <v>36</v>
      </c>
      <c r="N1920" t="s">
        <v>17056</v>
      </c>
      <c r="O1920" t="s">
        <v>477</v>
      </c>
      <c r="P1920" t="s">
        <v>17197</v>
      </c>
      <c r="Q1920" t="s">
        <v>25</v>
      </c>
      <c r="R1920" t="s">
        <v>17198</v>
      </c>
    </row>
    <row r="1921" spans="1:22">
      <c r="A1921" t="s">
        <v>17199</v>
      </c>
      <c r="B1921" t="s">
        <v>17199</v>
      </c>
      <c r="C1921" t="s">
        <v>17200</v>
      </c>
      <c r="D1921" t="s">
        <v>21</v>
      </c>
      <c r="E1921" s="14" t="s">
        <v>17055</v>
      </c>
      <c r="F1921" t="s">
        <v>85</v>
      </c>
      <c r="G1921" s="17" t="str">
        <f>Config!$B$3</f>
        <v>SCH/R_IEC.SchLib</v>
      </c>
      <c r="H1921" t="s">
        <v>419</v>
      </c>
      <c r="I1921" t="s">
        <v>461</v>
      </c>
      <c r="J1921" t="s">
        <v>18033</v>
      </c>
      <c r="M1921" s="3">
        <v>39</v>
      </c>
      <c r="N1921" t="s">
        <v>17056</v>
      </c>
      <c r="O1921" t="s">
        <v>477</v>
      </c>
      <c r="P1921" t="s">
        <v>17201</v>
      </c>
      <c r="Q1921" t="s">
        <v>25</v>
      </c>
      <c r="R1921" t="s">
        <v>17202</v>
      </c>
      <c r="S1921" t="s">
        <v>477</v>
      </c>
      <c r="T1921" t="s">
        <v>17203</v>
      </c>
      <c r="U1921" t="s">
        <v>25</v>
      </c>
      <c r="V1921" t="s">
        <v>17204</v>
      </c>
    </row>
    <row r="1922" spans="1:22">
      <c r="A1922" t="s">
        <v>17205</v>
      </c>
      <c r="B1922" t="s">
        <v>17205</v>
      </c>
      <c r="C1922" t="s">
        <v>17206</v>
      </c>
      <c r="D1922" t="s">
        <v>21</v>
      </c>
      <c r="E1922" s="14" t="s">
        <v>17055</v>
      </c>
      <c r="F1922" t="s">
        <v>87</v>
      </c>
      <c r="G1922" s="17" t="str">
        <f>Config!$B$3</f>
        <v>SCH/R_IEC.SchLib</v>
      </c>
      <c r="H1922" t="s">
        <v>419</v>
      </c>
      <c r="I1922" t="s">
        <v>461</v>
      </c>
      <c r="J1922" t="s">
        <v>18033</v>
      </c>
      <c r="M1922" s="3">
        <v>43</v>
      </c>
      <c r="N1922" t="s">
        <v>17056</v>
      </c>
      <c r="O1922" t="s">
        <v>477</v>
      </c>
      <c r="P1922" t="s">
        <v>17207</v>
      </c>
      <c r="Q1922" t="s">
        <v>25</v>
      </c>
      <c r="R1922" t="s">
        <v>17208</v>
      </c>
    </row>
    <row r="1923" spans="1:22">
      <c r="A1923" t="s">
        <v>17209</v>
      </c>
      <c r="B1923" t="s">
        <v>17209</v>
      </c>
      <c r="C1923" t="s">
        <v>17210</v>
      </c>
      <c r="D1923" t="s">
        <v>21</v>
      </c>
      <c r="E1923" s="14" t="s">
        <v>17055</v>
      </c>
      <c r="F1923" t="s">
        <v>89</v>
      </c>
      <c r="G1923" s="17" t="str">
        <f>Config!$B$3</f>
        <v>SCH/R_IEC.SchLib</v>
      </c>
      <c r="H1923" t="s">
        <v>419</v>
      </c>
      <c r="I1923" t="s">
        <v>461</v>
      </c>
      <c r="J1923" t="s">
        <v>18033</v>
      </c>
      <c r="M1923" s="3">
        <v>47</v>
      </c>
      <c r="N1923" t="s">
        <v>17056</v>
      </c>
      <c r="O1923" t="s">
        <v>477</v>
      </c>
      <c r="P1923" t="s">
        <v>17211</v>
      </c>
      <c r="Q1923" t="s">
        <v>25</v>
      </c>
      <c r="R1923" t="s">
        <v>17212</v>
      </c>
      <c r="S1923" t="s">
        <v>477</v>
      </c>
      <c r="T1923" t="s">
        <v>17213</v>
      </c>
      <c r="U1923" t="s">
        <v>25</v>
      </c>
      <c r="V1923" t="s">
        <v>17214</v>
      </c>
    </row>
    <row r="1924" spans="1:22">
      <c r="A1924" t="s">
        <v>17215</v>
      </c>
      <c r="B1924" t="s">
        <v>17215</v>
      </c>
      <c r="C1924" t="s">
        <v>17216</v>
      </c>
      <c r="D1924" t="s">
        <v>21</v>
      </c>
      <c r="E1924" s="14" t="s">
        <v>17055</v>
      </c>
      <c r="F1924" t="s">
        <v>91</v>
      </c>
      <c r="G1924" s="17" t="str">
        <f>Config!$B$3</f>
        <v>SCH/R_IEC.SchLib</v>
      </c>
      <c r="H1924" t="s">
        <v>419</v>
      </c>
      <c r="I1924" t="s">
        <v>461</v>
      </c>
      <c r="J1924" t="s">
        <v>18033</v>
      </c>
      <c r="M1924" s="3">
        <v>51</v>
      </c>
      <c r="N1924" t="s">
        <v>17056</v>
      </c>
      <c r="O1924" t="s">
        <v>477</v>
      </c>
      <c r="P1924" t="s">
        <v>17217</v>
      </c>
      <c r="Q1924" t="s">
        <v>25</v>
      </c>
      <c r="R1924" t="s">
        <v>17218</v>
      </c>
    </row>
    <row r="1925" spans="1:22">
      <c r="A1925" t="s">
        <v>17219</v>
      </c>
      <c r="B1925" t="s">
        <v>17219</v>
      </c>
      <c r="C1925" t="s">
        <v>17220</v>
      </c>
      <c r="D1925" t="s">
        <v>21</v>
      </c>
      <c r="E1925" s="14" t="s">
        <v>17055</v>
      </c>
      <c r="F1925" t="s">
        <v>93</v>
      </c>
      <c r="G1925" s="17" t="str">
        <f>Config!$B$3</f>
        <v>SCH/R_IEC.SchLib</v>
      </c>
      <c r="H1925" t="s">
        <v>419</v>
      </c>
      <c r="I1925" t="s">
        <v>461</v>
      </c>
      <c r="J1925" t="s">
        <v>18033</v>
      </c>
      <c r="M1925" s="3">
        <v>56</v>
      </c>
      <c r="N1925" t="s">
        <v>17056</v>
      </c>
      <c r="O1925" t="s">
        <v>477</v>
      </c>
      <c r="P1925" t="s">
        <v>17221</v>
      </c>
      <c r="Q1925" t="s">
        <v>25</v>
      </c>
      <c r="R1925" t="s">
        <v>17222</v>
      </c>
    </row>
    <row r="1926" spans="1:22">
      <c r="A1926" t="s">
        <v>17223</v>
      </c>
      <c r="B1926" t="s">
        <v>17223</v>
      </c>
      <c r="C1926" t="s">
        <v>17224</v>
      </c>
      <c r="D1926" t="s">
        <v>21</v>
      </c>
      <c r="E1926" s="14" t="s">
        <v>17055</v>
      </c>
      <c r="F1926" t="s">
        <v>95</v>
      </c>
      <c r="G1926" s="17" t="str">
        <f>Config!$B$3</f>
        <v>SCH/R_IEC.SchLib</v>
      </c>
      <c r="H1926" t="s">
        <v>419</v>
      </c>
      <c r="I1926" t="s">
        <v>461</v>
      </c>
      <c r="J1926" t="s">
        <v>18033</v>
      </c>
      <c r="M1926" s="3">
        <v>62</v>
      </c>
      <c r="N1926" t="s">
        <v>17056</v>
      </c>
      <c r="O1926" t="s">
        <v>477</v>
      </c>
      <c r="P1926" t="s">
        <v>17225</v>
      </c>
      <c r="Q1926" t="s">
        <v>25</v>
      </c>
      <c r="R1926" t="s">
        <v>17226</v>
      </c>
    </row>
    <row r="1927" spans="1:22">
      <c r="A1927" t="s">
        <v>17227</v>
      </c>
      <c r="B1927" t="s">
        <v>17227</v>
      </c>
      <c r="C1927" t="s">
        <v>17228</v>
      </c>
      <c r="D1927" t="s">
        <v>21</v>
      </c>
      <c r="E1927" s="14" t="s">
        <v>17055</v>
      </c>
      <c r="F1927" t="s">
        <v>97</v>
      </c>
      <c r="G1927" s="17" t="str">
        <f>Config!$B$3</f>
        <v>SCH/R_IEC.SchLib</v>
      </c>
      <c r="H1927" t="s">
        <v>419</v>
      </c>
      <c r="I1927" t="s">
        <v>461</v>
      </c>
      <c r="J1927" t="s">
        <v>18033</v>
      </c>
      <c r="M1927" s="3">
        <v>68</v>
      </c>
      <c r="N1927" t="s">
        <v>17056</v>
      </c>
      <c r="O1927" t="s">
        <v>477</v>
      </c>
      <c r="P1927" t="s">
        <v>17229</v>
      </c>
      <c r="Q1927" t="s">
        <v>25</v>
      </c>
      <c r="R1927" t="s">
        <v>17230</v>
      </c>
    </row>
    <row r="1928" spans="1:22">
      <c r="A1928" t="s">
        <v>17231</v>
      </c>
      <c r="B1928" t="s">
        <v>17231</v>
      </c>
      <c r="C1928" t="s">
        <v>17232</v>
      </c>
      <c r="D1928" t="s">
        <v>21</v>
      </c>
      <c r="E1928" s="14" t="s">
        <v>17055</v>
      </c>
      <c r="F1928" t="s">
        <v>99</v>
      </c>
      <c r="G1928" s="17" t="str">
        <f>Config!$B$3</f>
        <v>SCH/R_IEC.SchLib</v>
      </c>
      <c r="H1928" t="s">
        <v>419</v>
      </c>
      <c r="I1928" t="s">
        <v>461</v>
      </c>
      <c r="J1928" t="s">
        <v>18033</v>
      </c>
      <c r="M1928" s="3">
        <v>75</v>
      </c>
      <c r="N1928" t="s">
        <v>17056</v>
      </c>
      <c r="O1928" t="s">
        <v>477</v>
      </c>
      <c r="P1928" t="s">
        <v>17233</v>
      </c>
      <c r="Q1928" t="s">
        <v>25</v>
      </c>
      <c r="R1928" t="s">
        <v>17234</v>
      </c>
    </row>
    <row r="1929" spans="1:22">
      <c r="A1929" t="s">
        <v>17235</v>
      </c>
      <c r="B1929" t="s">
        <v>17235</v>
      </c>
      <c r="C1929" t="s">
        <v>17236</v>
      </c>
      <c r="D1929" t="s">
        <v>21</v>
      </c>
      <c r="E1929" s="14" t="s">
        <v>17055</v>
      </c>
      <c r="F1929" t="s">
        <v>101</v>
      </c>
      <c r="G1929" s="17" t="str">
        <f>Config!$B$3</f>
        <v>SCH/R_IEC.SchLib</v>
      </c>
      <c r="H1929" t="s">
        <v>419</v>
      </c>
      <c r="I1929" t="s">
        <v>461</v>
      </c>
      <c r="J1929" t="s">
        <v>18033</v>
      </c>
      <c r="M1929" s="3">
        <v>82</v>
      </c>
      <c r="N1929" t="s">
        <v>17056</v>
      </c>
      <c r="O1929" t="s">
        <v>477</v>
      </c>
      <c r="P1929" t="s">
        <v>17237</v>
      </c>
      <c r="Q1929" t="s">
        <v>25</v>
      </c>
      <c r="R1929" t="s">
        <v>17238</v>
      </c>
    </row>
    <row r="1930" spans="1:22">
      <c r="A1930" t="s">
        <v>17239</v>
      </c>
      <c r="B1930" t="s">
        <v>17239</v>
      </c>
      <c r="C1930" t="s">
        <v>17240</v>
      </c>
      <c r="D1930" t="s">
        <v>21</v>
      </c>
      <c r="E1930" s="14" t="s">
        <v>17055</v>
      </c>
      <c r="F1930" t="s">
        <v>103</v>
      </c>
      <c r="G1930" s="17" t="str">
        <f>Config!$B$3</f>
        <v>SCH/R_IEC.SchLib</v>
      </c>
      <c r="H1930" t="s">
        <v>419</v>
      </c>
      <c r="I1930" t="s">
        <v>461</v>
      </c>
      <c r="J1930" t="s">
        <v>18033</v>
      </c>
      <c r="M1930" s="3">
        <v>91</v>
      </c>
      <c r="N1930" t="s">
        <v>17056</v>
      </c>
      <c r="O1930" t="s">
        <v>477</v>
      </c>
      <c r="P1930" t="s">
        <v>17241</v>
      </c>
      <c r="Q1930" t="s">
        <v>25</v>
      </c>
      <c r="R1930" t="s">
        <v>17242</v>
      </c>
    </row>
    <row r="1931" spans="1:22">
      <c r="A1931" t="s">
        <v>17243</v>
      </c>
      <c r="B1931" t="s">
        <v>17243</v>
      </c>
      <c r="C1931" t="s">
        <v>17244</v>
      </c>
      <c r="D1931" t="s">
        <v>21</v>
      </c>
      <c r="E1931" s="14" t="s">
        <v>17055</v>
      </c>
      <c r="F1931" t="s">
        <v>105</v>
      </c>
      <c r="G1931" s="17" t="str">
        <f>Config!$B$3</f>
        <v>SCH/R_IEC.SchLib</v>
      </c>
      <c r="H1931" t="s">
        <v>419</v>
      </c>
      <c r="I1931" t="s">
        <v>461</v>
      </c>
      <c r="J1931" t="s">
        <v>18033</v>
      </c>
      <c r="M1931" s="3">
        <v>100</v>
      </c>
      <c r="N1931" t="s">
        <v>17056</v>
      </c>
      <c r="O1931" t="s">
        <v>477</v>
      </c>
      <c r="P1931" t="s">
        <v>17245</v>
      </c>
      <c r="Q1931" t="s">
        <v>25</v>
      </c>
      <c r="R1931" t="s">
        <v>17246</v>
      </c>
      <c r="S1931" t="s">
        <v>477</v>
      </c>
      <c r="T1931" t="s">
        <v>17247</v>
      </c>
      <c r="U1931" t="s">
        <v>25</v>
      </c>
      <c r="V1931" t="s">
        <v>17248</v>
      </c>
    </row>
    <row r="1932" spans="1:22">
      <c r="A1932" t="s">
        <v>17249</v>
      </c>
      <c r="B1932" t="s">
        <v>17249</v>
      </c>
      <c r="C1932" t="s">
        <v>17250</v>
      </c>
      <c r="D1932" t="s">
        <v>21</v>
      </c>
      <c r="E1932" s="14" t="s">
        <v>17055</v>
      </c>
      <c r="F1932" t="s">
        <v>109</v>
      </c>
      <c r="G1932" s="17" t="str">
        <f>Config!$B$3</f>
        <v>SCH/R_IEC.SchLib</v>
      </c>
      <c r="H1932" t="s">
        <v>419</v>
      </c>
      <c r="I1932" t="s">
        <v>461</v>
      </c>
      <c r="J1932" t="s">
        <v>18033</v>
      </c>
      <c r="M1932" s="3">
        <v>110</v>
      </c>
      <c r="N1932" t="s">
        <v>17056</v>
      </c>
      <c r="O1932" t="s">
        <v>477</v>
      </c>
      <c r="P1932" t="s">
        <v>17251</v>
      </c>
      <c r="Q1932" t="s">
        <v>25</v>
      </c>
      <c r="R1932" t="s">
        <v>17252</v>
      </c>
    </row>
    <row r="1933" spans="1:22">
      <c r="A1933" t="s">
        <v>17253</v>
      </c>
      <c r="B1933" t="s">
        <v>17253</v>
      </c>
      <c r="C1933" t="s">
        <v>17254</v>
      </c>
      <c r="D1933" t="s">
        <v>21</v>
      </c>
      <c r="E1933" s="14" t="s">
        <v>17055</v>
      </c>
      <c r="F1933" t="s">
        <v>111</v>
      </c>
      <c r="G1933" s="17" t="str">
        <f>Config!$B$3</f>
        <v>SCH/R_IEC.SchLib</v>
      </c>
      <c r="H1933" t="s">
        <v>419</v>
      </c>
      <c r="I1933" t="s">
        <v>461</v>
      </c>
      <c r="J1933" t="s">
        <v>18033</v>
      </c>
      <c r="M1933" s="3">
        <v>120</v>
      </c>
      <c r="N1933" t="s">
        <v>17056</v>
      </c>
      <c r="O1933" t="s">
        <v>477</v>
      </c>
      <c r="P1933" t="s">
        <v>17255</v>
      </c>
      <c r="Q1933" t="s">
        <v>25</v>
      </c>
      <c r="R1933" t="s">
        <v>17256</v>
      </c>
      <c r="S1933" t="s">
        <v>477</v>
      </c>
      <c r="T1933" t="s">
        <v>17257</v>
      </c>
      <c r="U1933" t="s">
        <v>25</v>
      </c>
      <c r="V1933" t="s">
        <v>17258</v>
      </c>
    </row>
    <row r="1934" spans="1:22">
      <c r="A1934" t="s">
        <v>17259</v>
      </c>
      <c r="B1934" t="s">
        <v>17259</v>
      </c>
      <c r="C1934" t="s">
        <v>17260</v>
      </c>
      <c r="D1934" t="s">
        <v>21</v>
      </c>
      <c r="E1934" s="14" t="s">
        <v>17055</v>
      </c>
      <c r="F1934" t="s">
        <v>113</v>
      </c>
      <c r="G1934" s="17" t="str">
        <f>Config!$B$3</f>
        <v>SCH/R_IEC.SchLib</v>
      </c>
      <c r="H1934" t="s">
        <v>419</v>
      </c>
      <c r="I1934" t="s">
        <v>461</v>
      </c>
      <c r="J1934" t="s">
        <v>18033</v>
      </c>
      <c r="M1934" s="3">
        <v>130</v>
      </c>
      <c r="N1934" t="s">
        <v>17056</v>
      </c>
      <c r="O1934" t="s">
        <v>477</v>
      </c>
      <c r="P1934" t="s">
        <v>17261</v>
      </c>
      <c r="Q1934" t="s">
        <v>25</v>
      </c>
      <c r="R1934" t="s">
        <v>17262</v>
      </c>
    </row>
    <row r="1935" spans="1:22">
      <c r="A1935" t="s">
        <v>17263</v>
      </c>
      <c r="B1935" t="s">
        <v>17263</v>
      </c>
      <c r="C1935" t="s">
        <v>17264</v>
      </c>
      <c r="D1935" t="s">
        <v>21</v>
      </c>
      <c r="E1935" s="14" t="s">
        <v>17055</v>
      </c>
      <c r="F1935" t="s">
        <v>115</v>
      </c>
      <c r="G1935" s="17" t="str">
        <f>Config!$B$3</f>
        <v>SCH/R_IEC.SchLib</v>
      </c>
      <c r="H1935" t="s">
        <v>419</v>
      </c>
      <c r="I1935" t="s">
        <v>461</v>
      </c>
      <c r="J1935" t="s">
        <v>18033</v>
      </c>
      <c r="M1935" s="3">
        <v>150</v>
      </c>
      <c r="N1935" t="s">
        <v>17056</v>
      </c>
      <c r="O1935" t="s">
        <v>477</v>
      </c>
      <c r="P1935" t="s">
        <v>17265</v>
      </c>
      <c r="Q1935" t="s">
        <v>25</v>
      </c>
      <c r="R1935" t="s">
        <v>17266</v>
      </c>
      <c r="S1935" t="s">
        <v>477</v>
      </c>
      <c r="T1935" t="s">
        <v>17267</v>
      </c>
      <c r="U1935" t="s">
        <v>25</v>
      </c>
      <c r="V1935" t="s">
        <v>17268</v>
      </c>
    </row>
    <row r="1936" spans="1:22">
      <c r="A1936" t="s">
        <v>17269</v>
      </c>
      <c r="B1936" t="s">
        <v>17269</v>
      </c>
      <c r="C1936" t="s">
        <v>17270</v>
      </c>
      <c r="D1936" t="s">
        <v>21</v>
      </c>
      <c r="E1936" s="14" t="s">
        <v>17055</v>
      </c>
      <c r="F1936" t="s">
        <v>117</v>
      </c>
      <c r="G1936" s="17" t="str">
        <f>Config!$B$3</f>
        <v>SCH/R_IEC.SchLib</v>
      </c>
      <c r="H1936" t="s">
        <v>419</v>
      </c>
      <c r="I1936" t="s">
        <v>461</v>
      </c>
      <c r="J1936" t="s">
        <v>18033</v>
      </c>
      <c r="M1936" s="3">
        <v>160</v>
      </c>
      <c r="N1936" t="s">
        <v>17056</v>
      </c>
      <c r="O1936" t="s">
        <v>477</v>
      </c>
      <c r="P1936" t="s">
        <v>17271</v>
      </c>
      <c r="Q1936" t="s">
        <v>25</v>
      </c>
      <c r="R1936" t="s">
        <v>17272</v>
      </c>
    </row>
    <row r="1937" spans="1:22">
      <c r="A1937" t="s">
        <v>17273</v>
      </c>
      <c r="B1937" t="s">
        <v>17273</v>
      </c>
      <c r="C1937" t="s">
        <v>17274</v>
      </c>
      <c r="D1937" t="s">
        <v>21</v>
      </c>
      <c r="E1937" s="14" t="s">
        <v>17055</v>
      </c>
      <c r="F1937" t="s">
        <v>119</v>
      </c>
      <c r="G1937" s="17" t="str">
        <f>Config!$B$3</f>
        <v>SCH/R_IEC.SchLib</v>
      </c>
      <c r="H1937" t="s">
        <v>419</v>
      </c>
      <c r="I1937" t="s">
        <v>461</v>
      </c>
      <c r="J1937" t="s">
        <v>18033</v>
      </c>
      <c r="M1937" s="3">
        <v>180</v>
      </c>
      <c r="N1937" t="s">
        <v>17056</v>
      </c>
      <c r="O1937" t="s">
        <v>477</v>
      </c>
      <c r="P1937" t="s">
        <v>17275</v>
      </c>
      <c r="Q1937" t="s">
        <v>25</v>
      </c>
      <c r="R1937" t="s">
        <v>17276</v>
      </c>
    </row>
    <row r="1938" spans="1:22">
      <c r="A1938" t="s">
        <v>17277</v>
      </c>
      <c r="B1938" t="s">
        <v>17277</v>
      </c>
      <c r="C1938" t="s">
        <v>17278</v>
      </c>
      <c r="D1938" t="s">
        <v>21</v>
      </c>
      <c r="E1938" s="14" t="s">
        <v>17055</v>
      </c>
      <c r="F1938" t="s">
        <v>123</v>
      </c>
      <c r="G1938" s="17" t="str">
        <f>Config!$B$3</f>
        <v>SCH/R_IEC.SchLib</v>
      </c>
      <c r="H1938" t="s">
        <v>419</v>
      </c>
      <c r="I1938" t="s">
        <v>461</v>
      </c>
      <c r="J1938" t="s">
        <v>18033</v>
      </c>
      <c r="M1938" s="3">
        <v>200</v>
      </c>
      <c r="N1938" t="s">
        <v>17056</v>
      </c>
      <c r="O1938" t="s">
        <v>477</v>
      </c>
      <c r="P1938" t="s">
        <v>17279</v>
      </c>
      <c r="Q1938" t="s">
        <v>25</v>
      </c>
      <c r="R1938" t="s">
        <v>17280</v>
      </c>
      <c r="S1938" t="s">
        <v>477</v>
      </c>
      <c r="T1938" t="s">
        <v>17281</v>
      </c>
      <c r="U1938" t="s">
        <v>25</v>
      </c>
      <c r="V1938" t="s">
        <v>17282</v>
      </c>
    </row>
    <row r="1939" spans="1:22">
      <c r="A1939" t="s">
        <v>17283</v>
      </c>
      <c r="B1939" t="s">
        <v>17283</v>
      </c>
      <c r="C1939" t="s">
        <v>17284</v>
      </c>
      <c r="D1939" t="s">
        <v>21</v>
      </c>
      <c r="E1939" s="14" t="s">
        <v>17055</v>
      </c>
      <c r="F1939" t="s">
        <v>125</v>
      </c>
      <c r="G1939" s="17" t="str">
        <f>Config!$B$3</f>
        <v>SCH/R_IEC.SchLib</v>
      </c>
      <c r="H1939" t="s">
        <v>419</v>
      </c>
      <c r="I1939" t="s">
        <v>461</v>
      </c>
      <c r="J1939" t="s">
        <v>18033</v>
      </c>
      <c r="M1939" s="3">
        <v>220</v>
      </c>
      <c r="N1939" t="s">
        <v>17056</v>
      </c>
      <c r="O1939" t="s">
        <v>477</v>
      </c>
      <c r="P1939" t="s">
        <v>17285</v>
      </c>
      <c r="Q1939" t="s">
        <v>25</v>
      </c>
      <c r="R1939" t="s">
        <v>17286</v>
      </c>
      <c r="S1939" t="s">
        <v>477</v>
      </c>
      <c r="T1939" t="s">
        <v>17287</v>
      </c>
      <c r="U1939" t="s">
        <v>25</v>
      </c>
      <c r="V1939" t="s">
        <v>17288</v>
      </c>
    </row>
    <row r="1940" spans="1:22">
      <c r="A1940" t="s">
        <v>17289</v>
      </c>
      <c r="B1940" t="s">
        <v>17289</v>
      </c>
      <c r="C1940" t="s">
        <v>17290</v>
      </c>
      <c r="D1940" t="s">
        <v>21</v>
      </c>
      <c r="E1940" s="14" t="s">
        <v>17055</v>
      </c>
      <c r="F1940" t="s">
        <v>129</v>
      </c>
      <c r="G1940" s="17" t="str">
        <f>Config!$B$3</f>
        <v>SCH/R_IEC.SchLib</v>
      </c>
      <c r="H1940" t="s">
        <v>419</v>
      </c>
      <c r="I1940" t="s">
        <v>461</v>
      </c>
      <c r="J1940" t="s">
        <v>18033</v>
      </c>
      <c r="M1940" s="3">
        <v>240</v>
      </c>
      <c r="N1940" t="s">
        <v>17056</v>
      </c>
      <c r="O1940" t="s">
        <v>477</v>
      </c>
      <c r="P1940" t="s">
        <v>17291</v>
      </c>
      <c r="Q1940" t="s">
        <v>25</v>
      </c>
      <c r="R1940" t="s">
        <v>17292</v>
      </c>
      <c r="S1940" t="s">
        <v>477</v>
      </c>
      <c r="T1940" t="s">
        <v>17293</v>
      </c>
      <c r="U1940" t="s">
        <v>25</v>
      </c>
      <c r="V1940" t="s">
        <v>17294</v>
      </c>
    </row>
    <row r="1941" spans="1:22">
      <c r="A1941" t="s">
        <v>17295</v>
      </c>
      <c r="B1941" t="s">
        <v>17295</v>
      </c>
      <c r="C1941" t="s">
        <v>17296</v>
      </c>
      <c r="D1941" t="s">
        <v>21</v>
      </c>
      <c r="E1941" s="14" t="s">
        <v>17055</v>
      </c>
      <c r="F1941" t="s">
        <v>131</v>
      </c>
      <c r="G1941" s="17" t="str">
        <f>Config!$B$3</f>
        <v>SCH/R_IEC.SchLib</v>
      </c>
      <c r="H1941" t="s">
        <v>419</v>
      </c>
      <c r="I1941" t="s">
        <v>461</v>
      </c>
      <c r="J1941" t="s">
        <v>18033</v>
      </c>
      <c r="M1941" s="3">
        <v>270</v>
      </c>
      <c r="N1941" t="s">
        <v>17056</v>
      </c>
      <c r="O1941" t="s">
        <v>477</v>
      </c>
      <c r="P1941" t="s">
        <v>17297</v>
      </c>
      <c r="Q1941" t="s">
        <v>25</v>
      </c>
      <c r="R1941" t="s">
        <v>17298</v>
      </c>
    </row>
    <row r="1942" spans="1:22">
      <c r="A1942" t="s">
        <v>17299</v>
      </c>
      <c r="B1942" t="s">
        <v>17299</v>
      </c>
      <c r="C1942" t="s">
        <v>17300</v>
      </c>
      <c r="D1942" t="s">
        <v>21</v>
      </c>
      <c r="E1942" s="14" t="s">
        <v>17055</v>
      </c>
      <c r="F1942" t="s">
        <v>133</v>
      </c>
      <c r="G1942" s="17" t="str">
        <f>Config!$B$3</f>
        <v>SCH/R_IEC.SchLib</v>
      </c>
      <c r="H1942" t="s">
        <v>419</v>
      </c>
      <c r="I1942" t="s">
        <v>461</v>
      </c>
      <c r="J1942" t="s">
        <v>18033</v>
      </c>
      <c r="M1942" s="3">
        <v>300</v>
      </c>
      <c r="N1942" t="s">
        <v>17056</v>
      </c>
      <c r="O1942" t="s">
        <v>477</v>
      </c>
      <c r="P1942" t="s">
        <v>17301</v>
      </c>
      <c r="Q1942" t="s">
        <v>25</v>
      </c>
      <c r="R1942" t="s">
        <v>17302</v>
      </c>
      <c r="S1942" t="s">
        <v>477</v>
      </c>
      <c r="T1942" t="s">
        <v>17303</v>
      </c>
      <c r="U1942" t="s">
        <v>25</v>
      </c>
      <c r="V1942" t="s">
        <v>17304</v>
      </c>
    </row>
    <row r="1943" spans="1:22">
      <c r="A1943" t="s">
        <v>17305</v>
      </c>
      <c r="B1943" t="s">
        <v>17305</v>
      </c>
      <c r="C1943" t="s">
        <v>17306</v>
      </c>
      <c r="D1943" t="s">
        <v>21</v>
      </c>
      <c r="E1943" s="14" t="s">
        <v>17055</v>
      </c>
      <c r="F1943" t="s">
        <v>137</v>
      </c>
      <c r="G1943" s="17" t="str">
        <f>Config!$B$3</f>
        <v>SCH/R_IEC.SchLib</v>
      </c>
      <c r="H1943" t="s">
        <v>419</v>
      </c>
      <c r="I1943" t="s">
        <v>461</v>
      </c>
      <c r="J1943" t="s">
        <v>18033</v>
      </c>
      <c r="M1943" s="3">
        <v>330</v>
      </c>
      <c r="N1943" t="s">
        <v>17056</v>
      </c>
      <c r="O1943" t="s">
        <v>477</v>
      </c>
      <c r="P1943" t="s">
        <v>17307</v>
      </c>
      <c r="Q1943" t="s">
        <v>25</v>
      </c>
      <c r="R1943" t="s">
        <v>17308</v>
      </c>
    </row>
    <row r="1944" spans="1:22">
      <c r="A1944" t="s">
        <v>17309</v>
      </c>
      <c r="B1944" t="s">
        <v>17309</v>
      </c>
      <c r="C1944" t="s">
        <v>17310</v>
      </c>
      <c r="D1944" t="s">
        <v>21</v>
      </c>
      <c r="E1944" s="14" t="s">
        <v>17055</v>
      </c>
      <c r="F1944" t="s">
        <v>139</v>
      </c>
      <c r="G1944" s="17" t="str">
        <f>Config!$B$3</f>
        <v>SCH/R_IEC.SchLib</v>
      </c>
      <c r="H1944" t="s">
        <v>419</v>
      </c>
      <c r="I1944" t="s">
        <v>461</v>
      </c>
      <c r="J1944" t="s">
        <v>18033</v>
      </c>
      <c r="M1944" s="3">
        <v>360</v>
      </c>
      <c r="N1944" t="s">
        <v>17056</v>
      </c>
      <c r="O1944" t="s">
        <v>477</v>
      </c>
      <c r="P1944" t="s">
        <v>17311</v>
      </c>
      <c r="Q1944" t="s">
        <v>25</v>
      </c>
      <c r="R1944" t="s">
        <v>17312</v>
      </c>
    </row>
    <row r="1945" spans="1:22">
      <c r="A1945" t="s">
        <v>17313</v>
      </c>
      <c r="B1945" t="s">
        <v>17313</v>
      </c>
      <c r="C1945" t="s">
        <v>17314</v>
      </c>
      <c r="D1945" t="s">
        <v>21</v>
      </c>
      <c r="E1945" s="14" t="s">
        <v>17055</v>
      </c>
      <c r="F1945" t="s">
        <v>141</v>
      </c>
      <c r="G1945" s="17" t="str">
        <f>Config!$B$3</f>
        <v>SCH/R_IEC.SchLib</v>
      </c>
      <c r="H1945" t="s">
        <v>419</v>
      </c>
      <c r="I1945" t="s">
        <v>461</v>
      </c>
      <c r="J1945" t="s">
        <v>18033</v>
      </c>
      <c r="M1945" s="3">
        <v>390</v>
      </c>
      <c r="N1945" t="s">
        <v>17056</v>
      </c>
      <c r="O1945" t="s">
        <v>477</v>
      </c>
      <c r="P1945" t="s">
        <v>17315</v>
      </c>
      <c r="Q1945" t="s">
        <v>25</v>
      </c>
      <c r="R1945" t="s">
        <v>17316</v>
      </c>
      <c r="S1945" t="s">
        <v>477</v>
      </c>
      <c r="T1945" t="s">
        <v>17317</v>
      </c>
      <c r="U1945" t="s">
        <v>25</v>
      </c>
      <c r="V1945" t="s">
        <v>17318</v>
      </c>
    </row>
    <row r="1946" spans="1:22">
      <c r="A1946" t="s">
        <v>17319</v>
      </c>
      <c r="B1946" t="s">
        <v>17319</v>
      </c>
      <c r="C1946" t="s">
        <v>17320</v>
      </c>
      <c r="D1946" t="s">
        <v>21</v>
      </c>
      <c r="E1946" s="14" t="s">
        <v>17055</v>
      </c>
      <c r="F1946" t="s">
        <v>143</v>
      </c>
      <c r="G1946" s="17" t="str">
        <f>Config!$B$3</f>
        <v>SCH/R_IEC.SchLib</v>
      </c>
      <c r="H1946" t="s">
        <v>419</v>
      </c>
      <c r="I1946" t="s">
        <v>461</v>
      </c>
      <c r="J1946" t="s">
        <v>18033</v>
      </c>
      <c r="M1946" s="3">
        <v>430</v>
      </c>
      <c r="N1946" t="s">
        <v>17056</v>
      </c>
      <c r="O1946" t="s">
        <v>477</v>
      </c>
      <c r="P1946" t="s">
        <v>17321</v>
      </c>
      <c r="Q1946" t="s">
        <v>25</v>
      </c>
      <c r="R1946" t="s">
        <v>17322</v>
      </c>
    </row>
    <row r="1947" spans="1:22">
      <c r="A1947" t="s">
        <v>17323</v>
      </c>
      <c r="B1947" t="s">
        <v>17323</v>
      </c>
      <c r="C1947" t="s">
        <v>17324</v>
      </c>
      <c r="D1947" t="s">
        <v>21</v>
      </c>
      <c r="E1947" s="14" t="s">
        <v>17055</v>
      </c>
      <c r="F1947" t="s">
        <v>145</v>
      </c>
      <c r="G1947" s="17" t="str">
        <f>Config!$B$3</f>
        <v>SCH/R_IEC.SchLib</v>
      </c>
      <c r="H1947" t="s">
        <v>419</v>
      </c>
      <c r="I1947" t="s">
        <v>461</v>
      </c>
      <c r="J1947" t="s">
        <v>18033</v>
      </c>
      <c r="M1947" s="3">
        <v>470</v>
      </c>
      <c r="N1947" t="s">
        <v>17056</v>
      </c>
      <c r="O1947" t="s">
        <v>477</v>
      </c>
      <c r="P1947" t="s">
        <v>17325</v>
      </c>
      <c r="Q1947" t="s">
        <v>25</v>
      </c>
      <c r="R1947" t="s">
        <v>17326</v>
      </c>
      <c r="S1947" t="s">
        <v>477</v>
      </c>
      <c r="T1947" t="s">
        <v>17327</v>
      </c>
      <c r="U1947" t="s">
        <v>25</v>
      </c>
      <c r="V1947" t="s">
        <v>17328</v>
      </c>
    </row>
    <row r="1948" spans="1:22">
      <c r="A1948" t="s">
        <v>17329</v>
      </c>
      <c r="B1948" t="s">
        <v>17329</v>
      </c>
      <c r="C1948" t="s">
        <v>17330</v>
      </c>
      <c r="D1948" t="s">
        <v>21</v>
      </c>
      <c r="E1948" s="14" t="s">
        <v>17055</v>
      </c>
      <c r="F1948" t="s">
        <v>149</v>
      </c>
      <c r="G1948" s="17" t="str">
        <f>Config!$B$3</f>
        <v>SCH/R_IEC.SchLib</v>
      </c>
      <c r="H1948" t="s">
        <v>419</v>
      </c>
      <c r="I1948" t="s">
        <v>461</v>
      </c>
      <c r="J1948" t="s">
        <v>18033</v>
      </c>
      <c r="M1948" s="3">
        <v>510</v>
      </c>
      <c r="N1948" t="s">
        <v>17056</v>
      </c>
      <c r="O1948" t="s">
        <v>477</v>
      </c>
      <c r="P1948" t="s">
        <v>17331</v>
      </c>
      <c r="Q1948" t="s">
        <v>25</v>
      </c>
      <c r="R1948" t="s">
        <v>17332</v>
      </c>
    </row>
    <row r="1949" spans="1:22">
      <c r="A1949" t="s">
        <v>17333</v>
      </c>
      <c r="B1949" t="s">
        <v>17333</v>
      </c>
      <c r="C1949" t="s">
        <v>17334</v>
      </c>
      <c r="D1949" t="s">
        <v>21</v>
      </c>
      <c r="E1949" s="14" t="s">
        <v>17055</v>
      </c>
      <c r="F1949" t="s">
        <v>151</v>
      </c>
      <c r="G1949" s="17" t="str">
        <f>Config!$B$3</f>
        <v>SCH/R_IEC.SchLib</v>
      </c>
      <c r="H1949" t="s">
        <v>419</v>
      </c>
      <c r="I1949" t="s">
        <v>461</v>
      </c>
      <c r="J1949" t="s">
        <v>18033</v>
      </c>
      <c r="M1949" s="3">
        <v>560</v>
      </c>
      <c r="N1949" t="s">
        <v>17056</v>
      </c>
      <c r="O1949" t="s">
        <v>477</v>
      </c>
      <c r="P1949" t="s">
        <v>17335</v>
      </c>
      <c r="Q1949" t="s">
        <v>25</v>
      </c>
      <c r="R1949" t="s">
        <v>17336</v>
      </c>
    </row>
    <row r="1950" spans="1:22">
      <c r="A1950" t="s">
        <v>17337</v>
      </c>
      <c r="B1950" t="s">
        <v>17337</v>
      </c>
      <c r="C1950" t="s">
        <v>17338</v>
      </c>
      <c r="D1950" t="s">
        <v>21</v>
      </c>
      <c r="E1950" s="14" t="s">
        <v>17055</v>
      </c>
      <c r="F1950" t="s">
        <v>153</v>
      </c>
      <c r="G1950" s="17" t="str">
        <f>Config!$B$3</f>
        <v>SCH/R_IEC.SchLib</v>
      </c>
      <c r="H1950" t="s">
        <v>419</v>
      </c>
      <c r="I1950" t="s">
        <v>461</v>
      </c>
      <c r="J1950" t="s">
        <v>18033</v>
      </c>
      <c r="M1950" s="3">
        <v>620</v>
      </c>
      <c r="N1950" t="s">
        <v>17056</v>
      </c>
      <c r="O1950" t="s">
        <v>477</v>
      </c>
      <c r="P1950" t="s">
        <v>17339</v>
      </c>
      <c r="Q1950" t="s">
        <v>25</v>
      </c>
      <c r="R1950" t="s">
        <v>17340</v>
      </c>
    </row>
    <row r="1951" spans="1:22">
      <c r="A1951" t="s">
        <v>17341</v>
      </c>
      <c r="B1951" t="s">
        <v>17341</v>
      </c>
      <c r="C1951" t="s">
        <v>17342</v>
      </c>
      <c r="D1951" t="s">
        <v>21</v>
      </c>
      <c r="E1951" s="14" t="s">
        <v>17055</v>
      </c>
      <c r="F1951" t="s">
        <v>155</v>
      </c>
      <c r="G1951" s="17" t="str">
        <f>Config!$B$3</f>
        <v>SCH/R_IEC.SchLib</v>
      </c>
      <c r="H1951" t="s">
        <v>419</v>
      </c>
      <c r="I1951" t="s">
        <v>461</v>
      </c>
      <c r="J1951" t="s">
        <v>18033</v>
      </c>
      <c r="M1951" s="3">
        <v>680</v>
      </c>
      <c r="N1951" t="s">
        <v>17056</v>
      </c>
      <c r="O1951" t="s">
        <v>477</v>
      </c>
      <c r="P1951" t="s">
        <v>17343</v>
      </c>
      <c r="Q1951" t="s">
        <v>25</v>
      </c>
      <c r="R1951" t="s">
        <v>17344</v>
      </c>
    </row>
    <row r="1952" spans="1:22">
      <c r="A1952" t="s">
        <v>17345</v>
      </c>
      <c r="B1952" t="s">
        <v>17345</v>
      </c>
      <c r="C1952" t="s">
        <v>17346</v>
      </c>
      <c r="D1952" t="s">
        <v>21</v>
      </c>
      <c r="E1952" s="14" t="s">
        <v>17055</v>
      </c>
      <c r="F1952" t="s">
        <v>157</v>
      </c>
      <c r="G1952" s="17" t="str">
        <f>Config!$B$3</f>
        <v>SCH/R_IEC.SchLib</v>
      </c>
      <c r="H1952" t="s">
        <v>419</v>
      </c>
      <c r="I1952" t="s">
        <v>461</v>
      </c>
      <c r="J1952" t="s">
        <v>18033</v>
      </c>
      <c r="M1952" s="3">
        <v>750</v>
      </c>
      <c r="N1952" t="s">
        <v>17056</v>
      </c>
      <c r="O1952" t="s">
        <v>477</v>
      </c>
      <c r="P1952" t="s">
        <v>17347</v>
      </c>
      <c r="Q1952" t="s">
        <v>25</v>
      </c>
      <c r="R1952" t="s">
        <v>17348</v>
      </c>
    </row>
    <row r="1953" spans="1:22">
      <c r="A1953" t="s">
        <v>17349</v>
      </c>
      <c r="B1953" t="s">
        <v>17349</v>
      </c>
      <c r="C1953" t="s">
        <v>17350</v>
      </c>
      <c r="D1953" t="s">
        <v>21</v>
      </c>
      <c r="E1953" s="14" t="s">
        <v>17055</v>
      </c>
      <c r="F1953" t="s">
        <v>159</v>
      </c>
      <c r="G1953" s="17" t="str">
        <f>Config!$B$3</f>
        <v>SCH/R_IEC.SchLib</v>
      </c>
      <c r="H1953" t="s">
        <v>419</v>
      </c>
      <c r="I1953" t="s">
        <v>461</v>
      </c>
      <c r="J1953" t="s">
        <v>18033</v>
      </c>
      <c r="M1953" s="3">
        <v>820</v>
      </c>
      <c r="N1953" t="s">
        <v>17056</v>
      </c>
      <c r="O1953" t="s">
        <v>477</v>
      </c>
      <c r="P1953" t="s">
        <v>17351</v>
      </c>
      <c r="Q1953" t="s">
        <v>25</v>
      </c>
      <c r="R1953" t="s">
        <v>17352</v>
      </c>
    </row>
    <row r="1954" spans="1:22">
      <c r="A1954" t="s">
        <v>17353</v>
      </c>
      <c r="B1954" t="s">
        <v>17353</v>
      </c>
      <c r="C1954" t="s">
        <v>17354</v>
      </c>
      <c r="D1954" t="s">
        <v>21</v>
      </c>
      <c r="E1954" s="14" t="s">
        <v>17055</v>
      </c>
      <c r="F1954" t="s">
        <v>161</v>
      </c>
      <c r="G1954" s="17" t="str">
        <f>Config!$B$3</f>
        <v>SCH/R_IEC.SchLib</v>
      </c>
      <c r="H1954" t="s">
        <v>419</v>
      </c>
      <c r="I1954" t="s">
        <v>461</v>
      </c>
      <c r="J1954" t="s">
        <v>18033</v>
      </c>
      <c r="M1954" s="3">
        <v>910</v>
      </c>
      <c r="N1954" t="s">
        <v>17056</v>
      </c>
      <c r="O1954" t="s">
        <v>477</v>
      </c>
      <c r="P1954" t="s">
        <v>17355</v>
      </c>
      <c r="Q1954" t="s">
        <v>25</v>
      </c>
      <c r="R1954" t="s">
        <v>17356</v>
      </c>
    </row>
    <row r="1955" spans="1:22">
      <c r="A1955" t="s">
        <v>17357</v>
      </c>
      <c r="B1955" t="s">
        <v>17357</v>
      </c>
      <c r="C1955" t="s">
        <v>17358</v>
      </c>
      <c r="D1955" t="s">
        <v>21</v>
      </c>
      <c r="E1955" s="14" t="s">
        <v>17055</v>
      </c>
      <c r="F1955" t="s">
        <v>163</v>
      </c>
      <c r="G1955" s="17" t="str">
        <f>Config!$B$3</f>
        <v>SCH/R_IEC.SchLib</v>
      </c>
      <c r="H1955" t="s">
        <v>419</v>
      </c>
      <c r="I1955" t="s">
        <v>461</v>
      </c>
      <c r="J1955" t="s">
        <v>18033</v>
      </c>
      <c r="M1955" s="3">
        <v>1000</v>
      </c>
      <c r="N1955" t="s">
        <v>17056</v>
      </c>
      <c r="O1955" t="s">
        <v>477</v>
      </c>
      <c r="P1955" t="s">
        <v>17359</v>
      </c>
      <c r="Q1955" t="s">
        <v>25</v>
      </c>
      <c r="R1955" t="s">
        <v>17360</v>
      </c>
      <c r="S1955" t="s">
        <v>477</v>
      </c>
      <c r="T1955" t="s">
        <v>17361</v>
      </c>
      <c r="U1955" t="s">
        <v>25</v>
      </c>
      <c r="V1955" t="s">
        <v>17362</v>
      </c>
    </row>
    <row r="1956" spans="1:22">
      <c r="A1956" t="s">
        <v>17363</v>
      </c>
      <c r="B1956" t="s">
        <v>17363</v>
      </c>
      <c r="C1956" t="s">
        <v>17364</v>
      </c>
      <c r="D1956" t="s">
        <v>21</v>
      </c>
      <c r="E1956" s="14" t="s">
        <v>17055</v>
      </c>
      <c r="F1956" t="s">
        <v>165</v>
      </c>
      <c r="G1956" s="17" t="str">
        <f>Config!$B$3</f>
        <v>SCH/R_IEC.SchLib</v>
      </c>
      <c r="H1956" t="s">
        <v>419</v>
      </c>
      <c r="I1956" t="s">
        <v>461</v>
      </c>
      <c r="J1956" t="s">
        <v>18033</v>
      </c>
      <c r="M1956" s="3">
        <v>1100</v>
      </c>
      <c r="N1956" t="s">
        <v>17056</v>
      </c>
      <c r="O1956" t="s">
        <v>477</v>
      </c>
      <c r="P1956" t="s">
        <v>17365</v>
      </c>
      <c r="Q1956" t="s">
        <v>25</v>
      </c>
      <c r="R1956" t="s">
        <v>17366</v>
      </c>
      <c r="S1956" t="s">
        <v>477</v>
      </c>
      <c r="T1956" t="s">
        <v>17367</v>
      </c>
      <c r="U1956" t="s">
        <v>25</v>
      </c>
      <c r="V1956" t="s">
        <v>17368</v>
      </c>
    </row>
    <row r="1957" spans="1:22">
      <c r="A1957" t="s">
        <v>17369</v>
      </c>
      <c r="B1957" t="s">
        <v>17369</v>
      </c>
      <c r="C1957" t="s">
        <v>17370</v>
      </c>
      <c r="D1957" t="s">
        <v>21</v>
      </c>
      <c r="E1957" s="14" t="s">
        <v>17055</v>
      </c>
      <c r="F1957" t="s">
        <v>167</v>
      </c>
      <c r="G1957" s="17" t="str">
        <f>Config!$B$3</f>
        <v>SCH/R_IEC.SchLib</v>
      </c>
      <c r="H1957" t="s">
        <v>419</v>
      </c>
      <c r="I1957" t="s">
        <v>461</v>
      </c>
      <c r="J1957" t="s">
        <v>18033</v>
      </c>
      <c r="M1957" s="3">
        <v>1200</v>
      </c>
      <c r="N1957" t="s">
        <v>17056</v>
      </c>
      <c r="O1957" t="s">
        <v>477</v>
      </c>
      <c r="P1957" t="s">
        <v>17371</v>
      </c>
      <c r="Q1957" t="s">
        <v>25</v>
      </c>
      <c r="R1957" t="s">
        <v>17372</v>
      </c>
    </row>
    <row r="1958" spans="1:22">
      <c r="A1958" t="s">
        <v>17373</v>
      </c>
      <c r="B1958" t="s">
        <v>17373</v>
      </c>
      <c r="C1958" t="s">
        <v>17374</v>
      </c>
      <c r="D1958" t="s">
        <v>21</v>
      </c>
      <c r="E1958" s="14" t="s">
        <v>17055</v>
      </c>
      <c r="F1958" t="s">
        <v>169</v>
      </c>
      <c r="G1958" s="17" t="str">
        <f>Config!$B$3</f>
        <v>SCH/R_IEC.SchLib</v>
      </c>
      <c r="H1958" t="s">
        <v>419</v>
      </c>
      <c r="I1958" t="s">
        <v>461</v>
      </c>
      <c r="J1958" t="s">
        <v>18033</v>
      </c>
      <c r="M1958" s="3">
        <v>1300</v>
      </c>
      <c r="N1958" t="s">
        <v>17056</v>
      </c>
      <c r="O1958" t="s">
        <v>477</v>
      </c>
      <c r="P1958" t="s">
        <v>17375</v>
      </c>
      <c r="Q1958" t="s">
        <v>25</v>
      </c>
      <c r="R1958" t="s">
        <v>17376</v>
      </c>
    </row>
    <row r="1959" spans="1:22">
      <c r="A1959" t="s">
        <v>17377</v>
      </c>
      <c r="B1959" t="s">
        <v>17377</v>
      </c>
      <c r="C1959" t="s">
        <v>17378</v>
      </c>
      <c r="D1959" t="s">
        <v>21</v>
      </c>
      <c r="E1959" s="14" t="s">
        <v>17055</v>
      </c>
      <c r="F1959" t="s">
        <v>171</v>
      </c>
      <c r="G1959" s="17" t="str">
        <f>Config!$B$3</f>
        <v>SCH/R_IEC.SchLib</v>
      </c>
      <c r="H1959" t="s">
        <v>419</v>
      </c>
      <c r="I1959" t="s">
        <v>461</v>
      </c>
      <c r="J1959" t="s">
        <v>18033</v>
      </c>
      <c r="M1959" s="3">
        <v>1500</v>
      </c>
      <c r="N1959" t="s">
        <v>17056</v>
      </c>
      <c r="O1959" t="s">
        <v>477</v>
      </c>
      <c r="P1959" t="s">
        <v>17379</v>
      </c>
      <c r="Q1959" t="s">
        <v>25</v>
      </c>
      <c r="R1959" t="s">
        <v>17380</v>
      </c>
      <c r="S1959" t="s">
        <v>477</v>
      </c>
      <c r="T1959" t="s">
        <v>17381</v>
      </c>
      <c r="U1959" t="s">
        <v>25</v>
      </c>
      <c r="V1959" t="s">
        <v>17382</v>
      </c>
    </row>
    <row r="1960" spans="1:22">
      <c r="A1960" t="s">
        <v>17383</v>
      </c>
      <c r="B1960" t="s">
        <v>17383</v>
      </c>
      <c r="C1960" t="s">
        <v>17384</v>
      </c>
      <c r="D1960" t="s">
        <v>21</v>
      </c>
      <c r="E1960" s="14" t="s">
        <v>17055</v>
      </c>
      <c r="F1960" t="s">
        <v>175</v>
      </c>
      <c r="G1960" s="17" t="str">
        <f>Config!$B$3</f>
        <v>SCH/R_IEC.SchLib</v>
      </c>
      <c r="H1960" t="s">
        <v>419</v>
      </c>
      <c r="I1960" t="s">
        <v>461</v>
      </c>
      <c r="J1960" t="s">
        <v>18033</v>
      </c>
      <c r="M1960" s="3">
        <v>1600</v>
      </c>
      <c r="N1960" t="s">
        <v>17056</v>
      </c>
      <c r="O1960" t="s">
        <v>477</v>
      </c>
      <c r="P1960" t="s">
        <v>17385</v>
      </c>
      <c r="Q1960" t="s">
        <v>25</v>
      </c>
      <c r="R1960" t="s">
        <v>17386</v>
      </c>
    </row>
    <row r="1961" spans="1:22">
      <c r="A1961" t="s">
        <v>17387</v>
      </c>
      <c r="B1961" t="s">
        <v>17387</v>
      </c>
      <c r="C1961" t="s">
        <v>17388</v>
      </c>
      <c r="D1961" t="s">
        <v>21</v>
      </c>
      <c r="E1961" s="14" t="s">
        <v>17055</v>
      </c>
      <c r="F1961" t="s">
        <v>181</v>
      </c>
      <c r="G1961" s="17" t="str">
        <f>Config!$B$3</f>
        <v>SCH/R_IEC.SchLib</v>
      </c>
      <c r="H1961" t="s">
        <v>419</v>
      </c>
      <c r="I1961" t="s">
        <v>461</v>
      </c>
      <c r="J1961" t="s">
        <v>18033</v>
      </c>
      <c r="M1961" s="3">
        <v>1800</v>
      </c>
      <c r="N1961" t="s">
        <v>17056</v>
      </c>
      <c r="O1961" t="s">
        <v>477</v>
      </c>
      <c r="P1961" t="s">
        <v>17389</v>
      </c>
      <c r="Q1961" t="s">
        <v>25</v>
      </c>
      <c r="R1961" t="s">
        <v>17390</v>
      </c>
    </row>
    <row r="1962" spans="1:22">
      <c r="A1962" t="s">
        <v>17391</v>
      </c>
      <c r="B1962" t="s">
        <v>17391</v>
      </c>
      <c r="C1962" t="s">
        <v>17392</v>
      </c>
      <c r="D1962" t="s">
        <v>21</v>
      </c>
      <c r="E1962" s="14" t="s">
        <v>17055</v>
      </c>
      <c r="F1962" t="s">
        <v>183</v>
      </c>
      <c r="G1962" s="17" t="str">
        <f>Config!$B$3</f>
        <v>SCH/R_IEC.SchLib</v>
      </c>
      <c r="H1962" t="s">
        <v>419</v>
      </c>
      <c r="I1962" t="s">
        <v>461</v>
      </c>
      <c r="J1962" t="s">
        <v>18033</v>
      </c>
      <c r="M1962" s="3">
        <v>2000</v>
      </c>
      <c r="N1962" t="s">
        <v>17056</v>
      </c>
      <c r="O1962" t="s">
        <v>477</v>
      </c>
      <c r="P1962" t="s">
        <v>17393</v>
      </c>
      <c r="Q1962" t="s">
        <v>25</v>
      </c>
      <c r="R1962" t="s">
        <v>17394</v>
      </c>
      <c r="S1962" t="s">
        <v>477</v>
      </c>
      <c r="T1962" t="s">
        <v>17395</v>
      </c>
      <c r="U1962" t="s">
        <v>25</v>
      </c>
      <c r="V1962" t="s">
        <v>17396</v>
      </c>
    </row>
    <row r="1963" spans="1:22">
      <c r="A1963" t="s">
        <v>17397</v>
      </c>
      <c r="B1963" t="s">
        <v>17397</v>
      </c>
      <c r="C1963" t="s">
        <v>17398</v>
      </c>
      <c r="D1963" t="s">
        <v>21</v>
      </c>
      <c r="E1963" s="14" t="s">
        <v>17055</v>
      </c>
      <c r="F1963" t="s">
        <v>187</v>
      </c>
      <c r="G1963" s="17" t="str">
        <f>Config!$B$3</f>
        <v>SCH/R_IEC.SchLib</v>
      </c>
      <c r="H1963" t="s">
        <v>419</v>
      </c>
      <c r="I1963" t="s">
        <v>461</v>
      </c>
      <c r="J1963" t="s">
        <v>18033</v>
      </c>
      <c r="M1963" s="3">
        <v>2200</v>
      </c>
      <c r="N1963" t="s">
        <v>17056</v>
      </c>
      <c r="O1963" t="s">
        <v>477</v>
      </c>
      <c r="P1963" t="s">
        <v>17399</v>
      </c>
      <c r="Q1963" t="s">
        <v>25</v>
      </c>
      <c r="R1963" t="s">
        <v>17400</v>
      </c>
      <c r="S1963" t="s">
        <v>477</v>
      </c>
      <c r="T1963" t="s">
        <v>17401</v>
      </c>
      <c r="U1963" t="s">
        <v>25</v>
      </c>
      <c r="V1963" t="s">
        <v>17402</v>
      </c>
    </row>
    <row r="1964" spans="1:22">
      <c r="A1964" t="s">
        <v>17403</v>
      </c>
      <c r="B1964" t="s">
        <v>17403</v>
      </c>
      <c r="C1964" t="s">
        <v>17404</v>
      </c>
      <c r="D1964" t="s">
        <v>21</v>
      </c>
      <c r="E1964" s="14" t="s">
        <v>17055</v>
      </c>
      <c r="F1964" t="s">
        <v>191</v>
      </c>
      <c r="G1964" s="17" t="str">
        <f>Config!$B$3</f>
        <v>SCH/R_IEC.SchLib</v>
      </c>
      <c r="H1964" t="s">
        <v>419</v>
      </c>
      <c r="I1964" t="s">
        <v>461</v>
      </c>
      <c r="J1964" t="s">
        <v>18033</v>
      </c>
      <c r="M1964" s="3">
        <v>2400</v>
      </c>
      <c r="N1964" t="s">
        <v>17056</v>
      </c>
      <c r="O1964" t="s">
        <v>477</v>
      </c>
      <c r="P1964" t="s">
        <v>17405</v>
      </c>
      <c r="Q1964" t="s">
        <v>25</v>
      </c>
      <c r="R1964" t="s">
        <v>17406</v>
      </c>
    </row>
    <row r="1965" spans="1:22">
      <c r="A1965" t="s">
        <v>17407</v>
      </c>
      <c r="B1965" t="s">
        <v>17407</v>
      </c>
      <c r="C1965" t="s">
        <v>17408</v>
      </c>
      <c r="D1965" t="s">
        <v>21</v>
      </c>
      <c r="E1965" s="14" t="s">
        <v>17055</v>
      </c>
      <c r="F1965" t="s">
        <v>193</v>
      </c>
      <c r="G1965" s="17" t="str">
        <f>Config!$B$3</f>
        <v>SCH/R_IEC.SchLib</v>
      </c>
      <c r="H1965" t="s">
        <v>419</v>
      </c>
      <c r="I1965" t="s">
        <v>461</v>
      </c>
      <c r="J1965" t="s">
        <v>18033</v>
      </c>
      <c r="M1965" s="3">
        <v>2700</v>
      </c>
      <c r="N1965" t="s">
        <v>17056</v>
      </c>
      <c r="O1965" t="s">
        <v>477</v>
      </c>
      <c r="P1965" t="s">
        <v>17409</v>
      </c>
      <c r="Q1965" t="s">
        <v>25</v>
      </c>
      <c r="R1965" t="s">
        <v>17410</v>
      </c>
    </row>
    <row r="1966" spans="1:22">
      <c r="A1966" t="s">
        <v>17411</v>
      </c>
      <c r="B1966" t="s">
        <v>17411</v>
      </c>
      <c r="C1966" t="s">
        <v>17412</v>
      </c>
      <c r="D1966" t="s">
        <v>21</v>
      </c>
      <c r="E1966" s="14" t="s">
        <v>17055</v>
      </c>
      <c r="F1966" t="s">
        <v>197</v>
      </c>
      <c r="G1966" s="17" t="str">
        <f>Config!$B$3</f>
        <v>SCH/R_IEC.SchLib</v>
      </c>
      <c r="H1966" t="s">
        <v>419</v>
      </c>
      <c r="I1966" t="s">
        <v>461</v>
      </c>
      <c r="J1966" t="s">
        <v>18033</v>
      </c>
      <c r="M1966" s="3">
        <v>3000</v>
      </c>
      <c r="N1966" t="s">
        <v>17056</v>
      </c>
      <c r="O1966" t="s">
        <v>477</v>
      </c>
      <c r="P1966" t="s">
        <v>17413</v>
      </c>
      <c r="Q1966" t="s">
        <v>25</v>
      </c>
      <c r="R1966" t="s">
        <v>17414</v>
      </c>
    </row>
    <row r="1967" spans="1:22">
      <c r="A1967" t="s">
        <v>17415</v>
      </c>
      <c r="B1967" t="s">
        <v>17415</v>
      </c>
      <c r="C1967" t="s">
        <v>17416</v>
      </c>
      <c r="D1967" t="s">
        <v>21</v>
      </c>
      <c r="E1967" s="14" t="s">
        <v>17055</v>
      </c>
      <c r="F1967" t="s">
        <v>201</v>
      </c>
      <c r="G1967" s="17" t="str">
        <f>Config!$B$3</f>
        <v>SCH/R_IEC.SchLib</v>
      </c>
      <c r="H1967" t="s">
        <v>419</v>
      </c>
      <c r="I1967" t="s">
        <v>461</v>
      </c>
      <c r="J1967" t="s">
        <v>18033</v>
      </c>
      <c r="M1967" s="3">
        <v>3300</v>
      </c>
      <c r="N1967" t="s">
        <v>17056</v>
      </c>
      <c r="O1967" t="s">
        <v>477</v>
      </c>
      <c r="P1967" t="s">
        <v>17417</v>
      </c>
      <c r="Q1967" t="s">
        <v>25</v>
      </c>
      <c r="R1967" t="s">
        <v>17418</v>
      </c>
      <c r="S1967" t="s">
        <v>477</v>
      </c>
      <c r="T1967" t="s">
        <v>17419</v>
      </c>
      <c r="U1967" t="s">
        <v>25</v>
      </c>
      <c r="V1967" t="s">
        <v>17420</v>
      </c>
    </row>
    <row r="1968" spans="1:22">
      <c r="A1968" t="s">
        <v>17421</v>
      </c>
      <c r="B1968" t="s">
        <v>17421</v>
      </c>
      <c r="C1968" t="s">
        <v>17422</v>
      </c>
      <c r="D1968" t="s">
        <v>21</v>
      </c>
      <c r="E1968" s="14" t="s">
        <v>17055</v>
      </c>
      <c r="F1968" t="s">
        <v>203</v>
      </c>
      <c r="G1968" s="17" t="str">
        <f>Config!$B$3</f>
        <v>SCH/R_IEC.SchLib</v>
      </c>
      <c r="H1968" t="s">
        <v>419</v>
      </c>
      <c r="I1968" t="s">
        <v>461</v>
      </c>
      <c r="J1968" t="s">
        <v>18033</v>
      </c>
      <c r="M1968" s="3">
        <v>3600</v>
      </c>
      <c r="N1968" t="s">
        <v>17056</v>
      </c>
      <c r="O1968" t="s">
        <v>477</v>
      </c>
      <c r="P1968" t="s">
        <v>17423</v>
      </c>
      <c r="Q1968" t="s">
        <v>25</v>
      </c>
      <c r="R1968" t="s">
        <v>17424</v>
      </c>
    </row>
    <row r="1969" spans="1:22">
      <c r="A1969" t="s">
        <v>17425</v>
      </c>
      <c r="B1969" t="s">
        <v>17425</v>
      </c>
      <c r="C1969" t="s">
        <v>17426</v>
      </c>
      <c r="D1969" t="s">
        <v>21</v>
      </c>
      <c r="E1969" s="14" t="s">
        <v>17055</v>
      </c>
      <c r="F1969" t="s">
        <v>205</v>
      </c>
      <c r="G1969" s="17" t="str">
        <f>Config!$B$3</f>
        <v>SCH/R_IEC.SchLib</v>
      </c>
      <c r="H1969" t="s">
        <v>419</v>
      </c>
      <c r="I1969" t="s">
        <v>461</v>
      </c>
      <c r="J1969" t="s">
        <v>18033</v>
      </c>
      <c r="M1969" s="3">
        <v>3900</v>
      </c>
      <c r="N1969" t="s">
        <v>17056</v>
      </c>
      <c r="O1969" t="s">
        <v>477</v>
      </c>
      <c r="P1969" t="s">
        <v>17427</v>
      </c>
      <c r="Q1969" t="s">
        <v>25</v>
      </c>
      <c r="R1969" t="s">
        <v>17428</v>
      </c>
    </row>
    <row r="1970" spans="1:22">
      <c r="A1970" t="s">
        <v>17429</v>
      </c>
      <c r="B1970" t="s">
        <v>17429</v>
      </c>
      <c r="C1970" t="s">
        <v>17430</v>
      </c>
      <c r="D1970" t="s">
        <v>21</v>
      </c>
      <c r="E1970" s="14" t="s">
        <v>17055</v>
      </c>
      <c r="F1970" t="s">
        <v>207</v>
      </c>
      <c r="G1970" s="17" t="str">
        <f>Config!$B$3</f>
        <v>SCH/R_IEC.SchLib</v>
      </c>
      <c r="H1970" t="s">
        <v>419</v>
      </c>
      <c r="I1970" t="s">
        <v>461</v>
      </c>
      <c r="J1970" t="s">
        <v>18033</v>
      </c>
      <c r="M1970" s="3">
        <v>4300</v>
      </c>
      <c r="N1970" t="s">
        <v>17056</v>
      </c>
      <c r="O1970" t="s">
        <v>477</v>
      </c>
      <c r="P1970" t="s">
        <v>17431</v>
      </c>
      <c r="Q1970" t="s">
        <v>25</v>
      </c>
      <c r="R1970" t="s">
        <v>17432</v>
      </c>
    </row>
    <row r="1971" spans="1:22">
      <c r="A1971" t="s">
        <v>17433</v>
      </c>
      <c r="B1971" t="s">
        <v>17433</v>
      </c>
      <c r="C1971" t="s">
        <v>17434</v>
      </c>
      <c r="D1971" t="s">
        <v>21</v>
      </c>
      <c r="E1971" s="14" t="s">
        <v>17055</v>
      </c>
      <c r="F1971" t="s">
        <v>209</v>
      </c>
      <c r="G1971" s="17" t="str">
        <f>Config!$B$3</f>
        <v>SCH/R_IEC.SchLib</v>
      </c>
      <c r="H1971" t="s">
        <v>419</v>
      </c>
      <c r="I1971" t="s">
        <v>461</v>
      </c>
      <c r="J1971" t="s">
        <v>18033</v>
      </c>
      <c r="M1971" s="3">
        <v>4700</v>
      </c>
      <c r="N1971" t="s">
        <v>17056</v>
      </c>
      <c r="O1971" t="s">
        <v>477</v>
      </c>
      <c r="P1971" t="s">
        <v>17435</v>
      </c>
      <c r="Q1971" t="s">
        <v>25</v>
      </c>
      <c r="R1971" t="s">
        <v>17436</v>
      </c>
      <c r="S1971" t="s">
        <v>477</v>
      </c>
      <c r="T1971" t="s">
        <v>17437</v>
      </c>
      <c r="U1971" t="s">
        <v>25</v>
      </c>
      <c r="V1971" t="s">
        <v>17438</v>
      </c>
    </row>
    <row r="1972" spans="1:22">
      <c r="A1972" t="s">
        <v>17439</v>
      </c>
      <c r="B1972" t="s">
        <v>17439</v>
      </c>
      <c r="C1972" t="s">
        <v>17440</v>
      </c>
      <c r="D1972" t="s">
        <v>21</v>
      </c>
      <c r="E1972" s="14" t="s">
        <v>17055</v>
      </c>
      <c r="F1972" t="s">
        <v>213</v>
      </c>
      <c r="G1972" s="17" t="str">
        <f>Config!$B$3</f>
        <v>SCH/R_IEC.SchLib</v>
      </c>
      <c r="H1972" t="s">
        <v>419</v>
      </c>
      <c r="I1972" t="s">
        <v>461</v>
      </c>
      <c r="J1972" t="s">
        <v>18033</v>
      </c>
      <c r="M1972" s="3">
        <v>5100</v>
      </c>
      <c r="N1972" t="s">
        <v>17056</v>
      </c>
      <c r="O1972" t="s">
        <v>477</v>
      </c>
      <c r="P1972" t="s">
        <v>17441</v>
      </c>
      <c r="Q1972" t="s">
        <v>25</v>
      </c>
      <c r="R1972" t="s">
        <v>17442</v>
      </c>
      <c r="S1972" t="s">
        <v>477</v>
      </c>
      <c r="T1972" t="s">
        <v>17443</v>
      </c>
      <c r="U1972" t="s">
        <v>25</v>
      </c>
      <c r="V1972" t="s">
        <v>17444</v>
      </c>
    </row>
    <row r="1973" spans="1:22">
      <c r="A1973" t="s">
        <v>17445</v>
      </c>
      <c r="B1973" t="s">
        <v>17445</v>
      </c>
      <c r="C1973" t="s">
        <v>17446</v>
      </c>
      <c r="D1973" t="s">
        <v>21</v>
      </c>
      <c r="E1973" s="14" t="s">
        <v>17055</v>
      </c>
      <c r="F1973" t="s">
        <v>215</v>
      </c>
      <c r="G1973" s="17" t="str">
        <f>Config!$B$3</f>
        <v>SCH/R_IEC.SchLib</v>
      </c>
      <c r="H1973" t="s">
        <v>419</v>
      </c>
      <c r="I1973" t="s">
        <v>461</v>
      </c>
      <c r="J1973" t="s">
        <v>18033</v>
      </c>
      <c r="M1973" s="3">
        <v>5600</v>
      </c>
      <c r="N1973" t="s">
        <v>17056</v>
      </c>
      <c r="O1973" t="s">
        <v>477</v>
      </c>
      <c r="P1973" t="s">
        <v>17447</v>
      </c>
      <c r="Q1973" t="s">
        <v>25</v>
      </c>
      <c r="R1973" t="s">
        <v>17448</v>
      </c>
      <c r="S1973" t="s">
        <v>477</v>
      </c>
      <c r="T1973" t="s">
        <v>17449</v>
      </c>
      <c r="U1973" t="s">
        <v>25</v>
      </c>
      <c r="V1973" t="s">
        <v>17450</v>
      </c>
    </row>
    <row r="1974" spans="1:22">
      <c r="A1974" t="s">
        <v>17451</v>
      </c>
      <c r="B1974" t="s">
        <v>17451</v>
      </c>
      <c r="C1974" t="s">
        <v>17452</v>
      </c>
      <c r="D1974" t="s">
        <v>21</v>
      </c>
      <c r="E1974" s="14" t="s">
        <v>17055</v>
      </c>
      <c r="F1974" t="s">
        <v>217</v>
      </c>
      <c r="G1974" s="17" t="str">
        <f>Config!$B$3</f>
        <v>SCH/R_IEC.SchLib</v>
      </c>
      <c r="H1974" t="s">
        <v>419</v>
      </c>
      <c r="I1974" t="s">
        <v>461</v>
      </c>
      <c r="J1974" t="s">
        <v>18033</v>
      </c>
      <c r="M1974" s="3">
        <v>6200</v>
      </c>
      <c r="N1974" t="s">
        <v>17056</v>
      </c>
      <c r="O1974" t="s">
        <v>477</v>
      </c>
      <c r="P1974" t="s">
        <v>17453</v>
      </c>
      <c r="Q1974" t="s">
        <v>25</v>
      </c>
      <c r="R1974" t="s">
        <v>17454</v>
      </c>
    </row>
    <row r="1975" spans="1:22">
      <c r="A1975" t="s">
        <v>17455</v>
      </c>
      <c r="B1975" t="s">
        <v>17455</v>
      </c>
      <c r="C1975" t="s">
        <v>17456</v>
      </c>
      <c r="D1975" t="s">
        <v>21</v>
      </c>
      <c r="E1975" s="14" t="s">
        <v>17055</v>
      </c>
      <c r="F1975" t="s">
        <v>219</v>
      </c>
      <c r="G1975" s="17" t="str">
        <f>Config!$B$3</f>
        <v>SCH/R_IEC.SchLib</v>
      </c>
      <c r="H1975" t="s">
        <v>419</v>
      </c>
      <c r="I1975" t="s">
        <v>461</v>
      </c>
      <c r="J1975" t="s">
        <v>18033</v>
      </c>
      <c r="M1975" s="3">
        <v>6800</v>
      </c>
      <c r="N1975" t="s">
        <v>17056</v>
      </c>
      <c r="O1975" t="s">
        <v>477</v>
      </c>
      <c r="P1975" t="s">
        <v>17457</v>
      </c>
      <c r="Q1975" t="s">
        <v>25</v>
      </c>
      <c r="R1975" t="s">
        <v>17458</v>
      </c>
    </row>
    <row r="1976" spans="1:22">
      <c r="A1976" t="s">
        <v>17459</v>
      </c>
      <c r="B1976" t="s">
        <v>17459</v>
      </c>
      <c r="C1976" t="s">
        <v>17460</v>
      </c>
      <c r="D1976" t="s">
        <v>21</v>
      </c>
      <c r="E1976" s="14" t="s">
        <v>17055</v>
      </c>
      <c r="F1976" t="s">
        <v>221</v>
      </c>
      <c r="G1976" s="17" t="str">
        <f>Config!$B$3</f>
        <v>SCH/R_IEC.SchLib</v>
      </c>
      <c r="H1976" t="s">
        <v>419</v>
      </c>
      <c r="I1976" t="s">
        <v>461</v>
      </c>
      <c r="J1976" t="s">
        <v>18033</v>
      </c>
      <c r="M1976" s="3">
        <v>7500</v>
      </c>
      <c r="N1976" t="s">
        <v>17056</v>
      </c>
      <c r="O1976" t="s">
        <v>477</v>
      </c>
      <c r="P1976" t="s">
        <v>17461</v>
      </c>
      <c r="Q1976" t="s">
        <v>25</v>
      </c>
      <c r="R1976" t="s">
        <v>17462</v>
      </c>
    </row>
    <row r="1977" spans="1:22">
      <c r="A1977" t="s">
        <v>17463</v>
      </c>
      <c r="B1977" t="s">
        <v>17463</v>
      </c>
      <c r="C1977" t="s">
        <v>17464</v>
      </c>
      <c r="D1977" t="s">
        <v>21</v>
      </c>
      <c r="E1977" s="14" t="s">
        <v>17055</v>
      </c>
      <c r="F1977" t="s">
        <v>223</v>
      </c>
      <c r="G1977" s="17" t="str">
        <f>Config!$B$3</f>
        <v>SCH/R_IEC.SchLib</v>
      </c>
      <c r="H1977" t="s">
        <v>419</v>
      </c>
      <c r="I1977" t="s">
        <v>461</v>
      </c>
      <c r="J1977" t="s">
        <v>18033</v>
      </c>
      <c r="M1977" s="3">
        <v>8200</v>
      </c>
      <c r="N1977" t="s">
        <v>17056</v>
      </c>
      <c r="O1977" t="s">
        <v>477</v>
      </c>
      <c r="P1977" t="s">
        <v>17465</v>
      </c>
      <c r="Q1977" t="s">
        <v>25</v>
      </c>
      <c r="R1977" t="s">
        <v>17466</v>
      </c>
    </row>
    <row r="1978" spans="1:22">
      <c r="A1978" t="s">
        <v>17467</v>
      </c>
      <c r="B1978" t="s">
        <v>17467</v>
      </c>
      <c r="C1978" t="s">
        <v>17468</v>
      </c>
      <c r="D1978" t="s">
        <v>21</v>
      </c>
      <c r="E1978" s="14" t="s">
        <v>17055</v>
      </c>
      <c r="F1978" t="s">
        <v>225</v>
      </c>
      <c r="G1978" s="17" t="str">
        <f>Config!$B$3</f>
        <v>SCH/R_IEC.SchLib</v>
      </c>
      <c r="H1978" t="s">
        <v>419</v>
      </c>
      <c r="I1978" t="s">
        <v>461</v>
      </c>
      <c r="J1978" t="s">
        <v>18033</v>
      </c>
      <c r="M1978" s="3">
        <v>9100</v>
      </c>
      <c r="N1978" t="s">
        <v>17056</v>
      </c>
      <c r="O1978" t="s">
        <v>477</v>
      </c>
      <c r="P1978" t="s">
        <v>17469</v>
      </c>
      <c r="Q1978" t="s">
        <v>25</v>
      </c>
      <c r="R1978" t="s">
        <v>17470</v>
      </c>
    </row>
    <row r="1979" spans="1:22">
      <c r="A1979" t="s">
        <v>17471</v>
      </c>
      <c r="B1979" t="s">
        <v>17471</v>
      </c>
      <c r="C1979" t="s">
        <v>17472</v>
      </c>
      <c r="D1979" t="s">
        <v>21</v>
      </c>
      <c r="E1979" s="14" t="s">
        <v>17055</v>
      </c>
      <c r="F1979" t="s">
        <v>229</v>
      </c>
      <c r="G1979" s="17" t="str">
        <f>Config!$B$3</f>
        <v>SCH/R_IEC.SchLib</v>
      </c>
      <c r="H1979" t="s">
        <v>419</v>
      </c>
      <c r="I1979" t="s">
        <v>461</v>
      </c>
      <c r="J1979" t="s">
        <v>18033</v>
      </c>
      <c r="M1979" s="3">
        <v>10000</v>
      </c>
      <c r="N1979" t="s">
        <v>17056</v>
      </c>
      <c r="O1979" t="s">
        <v>477</v>
      </c>
      <c r="P1979" t="s">
        <v>17473</v>
      </c>
      <c r="Q1979" t="s">
        <v>25</v>
      </c>
      <c r="R1979" t="s">
        <v>17474</v>
      </c>
      <c r="S1979" t="s">
        <v>477</v>
      </c>
      <c r="T1979" t="s">
        <v>17475</v>
      </c>
      <c r="U1979" t="s">
        <v>25</v>
      </c>
      <c r="V1979" t="s">
        <v>17476</v>
      </c>
    </row>
    <row r="1980" spans="1:22">
      <c r="A1980" t="s">
        <v>17477</v>
      </c>
      <c r="B1980" t="s">
        <v>17477</v>
      </c>
      <c r="C1980" t="s">
        <v>17478</v>
      </c>
      <c r="D1980" t="s">
        <v>21</v>
      </c>
      <c r="E1980" s="14" t="s">
        <v>17055</v>
      </c>
      <c r="F1980" t="s">
        <v>233</v>
      </c>
      <c r="G1980" s="17" t="str">
        <f>Config!$B$3</f>
        <v>SCH/R_IEC.SchLib</v>
      </c>
      <c r="H1980" t="s">
        <v>419</v>
      </c>
      <c r="I1980" t="s">
        <v>461</v>
      </c>
      <c r="J1980" t="s">
        <v>18033</v>
      </c>
      <c r="M1980" s="3">
        <v>11000</v>
      </c>
      <c r="N1980" t="s">
        <v>17056</v>
      </c>
      <c r="O1980" t="s">
        <v>477</v>
      </c>
      <c r="P1980" t="s">
        <v>17479</v>
      </c>
      <c r="Q1980" t="s">
        <v>25</v>
      </c>
      <c r="R1980" t="s">
        <v>17480</v>
      </c>
    </row>
    <row r="1981" spans="1:22">
      <c r="A1981" t="s">
        <v>17481</v>
      </c>
      <c r="B1981" t="s">
        <v>17481</v>
      </c>
      <c r="C1981" t="s">
        <v>17482</v>
      </c>
      <c r="D1981" t="s">
        <v>21</v>
      </c>
      <c r="E1981" s="14" t="s">
        <v>17055</v>
      </c>
      <c r="F1981" t="s">
        <v>235</v>
      </c>
      <c r="G1981" s="17" t="str">
        <f>Config!$B$3</f>
        <v>SCH/R_IEC.SchLib</v>
      </c>
      <c r="H1981" t="s">
        <v>419</v>
      </c>
      <c r="I1981" t="s">
        <v>461</v>
      </c>
      <c r="J1981" t="s">
        <v>18033</v>
      </c>
      <c r="M1981" s="3">
        <v>12000</v>
      </c>
      <c r="N1981" t="s">
        <v>17056</v>
      </c>
      <c r="O1981" t="s">
        <v>477</v>
      </c>
      <c r="P1981" t="s">
        <v>17483</v>
      </c>
      <c r="Q1981" t="s">
        <v>25</v>
      </c>
      <c r="R1981" t="s">
        <v>17484</v>
      </c>
    </row>
    <row r="1982" spans="1:22">
      <c r="A1982" t="s">
        <v>17485</v>
      </c>
      <c r="B1982" t="s">
        <v>17485</v>
      </c>
      <c r="C1982" t="s">
        <v>17486</v>
      </c>
      <c r="D1982" t="s">
        <v>21</v>
      </c>
      <c r="E1982" s="14" t="s">
        <v>17055</v>
      </c>
      <c r="F1982" t="s">
        <v>239</v>
      </c>
      <c r="G1982" s="17" t="str">
        <f>Config!$B$3</f>
        <v>SCH/R_IEC.SchLib</v>
      </c>
      <c r="H1982" t="s">
        <v>419</v>
      </c>
      <c r="I1982" t="s">
        <v>461</v>
      </c>
      <c r="J1982" t="s">
        <v>18033</v>
      </c>
      <c r="M1982" s="3">
        <v>13000</v>
      </c>
      <c r="N1982" t="s">
        <v>17056</v>
      </c>
      <c r="O1982" t="s">
        <v>477</v>
      </c>
      <c r="P1982" t="s">
        <v>17487</v>
      </c>
      <c r="Q1982" t="s">
        <v>25</v>
      </c>
      <c r="R1982" t="s">
        <v>17488</v>
      </c>
    </row>
    <row r="1983" spans="1:22">
      <c r="A1983" t="s">
        <v>17489</v>
      </c>
      <c r="B1983" t="s">
        <v>17489</v>
      </c>
      <c r="C1983" t="s">
        <v>17490</v>
      </c>
      <c r="D1983" t="s">
        <v>21</v>
      </c>
      <c r="E1983" s="14" t="s">
        <v>17055</v>
      </c>
      <c r="F1983" t="s">
        <v>243</v>
      </c>
      <c r="G1983" s="17" t="str">
        <f>Config!$B$3</f>
        <v>SCH/R_IEC.SchLib</v>
      </c>
      <c r="H1983" t="s">
        <v>419</v>
      </c>
      <c r="I1983" t="s">
        <v>461</v>
      </c>
      <c r="J1983" t="s">
        <v>18033</v>
      </c>
      <c r="M1983" s="3">
        <v>15000</v>
      </c>
      <c r="N1983" t="s">
        <v>17056</v>
      </c>
      <c r="O1983" t="s">
        <v>477</v>
      </c>
      <c r="P1983" t="s">
        <v>17491</v>
      </c>
      <c r="Q1983" t="s">
        <v>25</v>
      </c>
      <c r="R1983" t="s">
        <v>17492</v>
      </c>
      <c r="S1983" t="s">
        <v>477</v>
      </c>
      <c r="T1983" t="s">
        <v>17493</v>
      </c>
      <c r="U1983" t="s">
        <v>25</v>
      </c>
      <c r="V1983" t="s">
        <v>17494</v>
      </c>
    </row>
    <row r="1984" spans="1:22">
      <c r="A1984" t="s">
        <v>17495</v>
      </c>
      <c r="B1984" t="s">
        <v>17495</v>
      </c>
      <c r="C1984" t="s">
        <v>17496</v>
      </c>
      <c r="D1984" t="s">
        <v>21</v>
      </c>
      <c r="E1984" s="14" t="s">
        <v>17055</v>
      </c>
      <c r="F1984" t="s">
        <v>247</v>
      </c>
      <c r="G1984" s="17" t="str">
        <f>Config!$B$3</f>
        <v>SCH/R_IEC.SchLib</v>
      </c>
      <c r="H1984" t="s">
        <v>419</v>
      </c>
      <c r="I1984" t="s">
        <v>461</v>
      </c>
      <c r="J1984" t="s">
        <v>18033</v>
      </c>
      <c r="M1984" s="3">
        <v>16000</v>
      </c>
      <c r="N1984" t="s">
        <v>17056</v>
      </c>
      <c r="O1984" t="s">
        <v>477</v>
      </c>
      <c r="P1984" t="s">
        <v>17497</v>
      </c>
      <c r="Q1984" t="s">
        <v>25</v>
      </c>
      <c r="R1984" t="s">
        <v>17498</v>
      </c>
    </row>
    <row r="1985" spans="1:22">
      <c r="A1985" t="s">
        <v>17499</v>
      </c>
      <c r="B1985" t="s">
        <v>17499</v>
      </c>
      <c r="C1985" t="s">
        <v>17500</v>
      </c>
      <c r="D1985" t="s">
        <v>21</v>
      </c>
      <c r="E1985" s="14" t="s">
        <v>17055</v>
      </c>
      <c r="F1985" t="s">
        <v>251</v>
      </c>
      <c r="G1985" s="17" t="str">
        <f>Config!$B$3</f>
        <v>SCH/R_IEC.SchLib</v>
      </c>
      <c r="H1985" t="s">
        <v>419</v>
      </c>
      <c r="I1985" t="s">
        <v>461</v>
      </c>
      <c r="J1985" t="s">
        <v>18033</v>
      </c>
      <c r="M1985" s="3">
        <v>18000</v>
      </c>
      <c r="N1985" t="s">
        <v>17056</v>
      </c>
      <c r="O1985" t="s">
        <v>477</v>
      </c>
      <c r="P1985" t="s">
        <v>17501</v>
      </c>
      <c r="Q1985" t="s">
        <v>25</v>
      </c>
      <c r="R1985" t="s">
        <v>17502</v>
      </c>
    </row>
    <row r="1986" spans="1:22">
      <c r="A1986" t="s">
        <v>17503</v>
      </c>
      <c r="B1986" t="s">
        <v>17503</v>
      </c>
      <c r="C1986" t="s">
        <v>17504</v>
      </c>
      <c r="D1986" t="s">
        <v>21</v>
      </c>
      <c r="E1986" s="14" t="s">
        <v>17055</v>
      </c>
      <c r="F1986" t="s">
        <v>255</v>
      </c>
      <c r="G1986" s="17" t="str">
        <f>Config!$B$3</f>
        <v>SCH/R_IEC.SchLib</v>
      </c>
      <c r="H1986" t="s">
        <v>419</v>
      </c>
      <c r="I1986" t="s">
        <v>461</v>
      </c>
      <c r="J1986" t="s">
        <v>18033</v>
      </c>
      <c r="M1986" s="3">
        <v>20000</v>
      </c>
      <c r="N1986" t="s">
        <v>17056</v>
      </c>
      <c r="O1986" t="s">
        <v>477</v>
      </c>
      <c r="P1986" t="s">
        <v>17505</v>
      </c>
      <c r="Q1986" t="s">
        <v>25</v>
      </c>
      <c r="R1986" t="s">
        <v>17506</v>
      </c>
      <c r="S1986" t="s">
        <v>477</v>
      </c>
      <c r="T1986" t="s">
        <v>17507</v>
      </c>
      <c r="U1986" t="s">
        <v>25</v>
      </c>
      <c r="V1986" t="s">
        <v>17508</v>
      </c>
    </row>
    <row r="1987" spans="1:22">
      <c r="A1987" t="s">
        <v>17509</v>
      </c>
      <c r="B1987" t="s">
        <v>17509</v>
      </c>
      <c r="C1987" t="s">
        <v>17510</v>
      </c>
      <c r="D1987" t="s">
        <v>21</v>
      </c>
      <c r="E1987" s="14" t="s">
        <v>17055</v>
      </c>
      <c r="F1987" t="s">
        <v>257</v>
      </c>
      <c r="G1987" s="17" t="str">
        <f>Config!$B$3</f>
        <v>SCH/R_IEC.SchLib</v>
      </c>
      <c r="H1987" t="s">
        <v>419</v>
      </c>
      <c r="I1987" t="s">
        <v>461</v>
      </c>
      <c r="J1987" t="s">
        <v>18033</v>
      </c>
      <c r="M1987" s="3">
        <v>22000</v>
      </c>
      <c r="N1987" t="s">
        <v>17056</v>
      </c>
      <c r="O1987" t="s">
        <v>477</v>
      </c>
      <c r="P1987" t="s">
        <v>17511</v>
      </c>
      <c r="Q1987" t="s">
        <v>25</v>
      </c>
      <c r="R1987" t="s">
        <v>17512</v>
      </c>
      <c r="S1987" t="s">
        <v>477</v>
      </c>
      <c r="T1987" t="s">
        <v>17513</v>
      </c>
      <c r="U1987" t="s">
        <v>25</v>
      </c>
      <c r="V1987" t="s">
        <v>17514</v>
      </c>
    </row>
    <row r="1988" spans="1:22">
      <c r="A1988" t="s">
        <v>17515</v>
      </c>
      <c r="B1988" t="s">
        <v>17515</v>
      </c>
      <c r="C1988" t="s">
        <v>17516</v>
      </c>
      <c r="D1988" t="s">
        <v>21</v>
      </c>
      <c r="E1988" s="14" t="s">
        <v>17055</v>
      </c>
      <c r="F1988" t="s">
        <v>259</v>
      </c>
      <c r="G1988" s="17" t="str">
        <f>Config!$B$3</f>
        <v>SCH/R_IEC.SchLib</v>
      </c>
      <c r="H1988" t="s">
        <v>419</v>
      </c>
      <c r="I1988" t="s">
        <v>461</v>
      </c>
      <c r="J1988" t="s">
        <v>18033</v>
      </c>
      <c r="M1988" s="3">
        <v>24000</v>
      </c>
      <c r="N1988" t="s">
        <v>17056</v>
      </c>
      <c r="O1988" t="s">
        <v>477</v>
      </c>
      <c r="P1988" t="s">
        <v>17517</v>
      </c>
      <c r="Q1988" t="s">
        <v>25</v>
      </c>
      <c r="R1988" t="s">
        <v>17518</v>
      </c>
    </row>
    <row r="1989" spans="1:22">
      <c r="A1989" t="s">
        <v>17519</v>
      </c>
      <c r="B1989" t="s">
        <v>17519</v>
      </c>
      <c r="C1989" t="s">
        <v>17520</v>
      </c>
      <c r="D1989" t="s">
        <v>21</v>
      </c>
      <c r="E1989" s="14" t="s">
        <v>17055</v>
      </c>
      <c r="F1989" t="s">
        <v>263</v>
      </c>
      <c r="G1989" s="17" t="str">
        <f>Config!$B$3</f>
        <v>SCH/R_IEC.SchLib</v>
      </c>
      <c r="H1989" t="s">
        <v>419</v>
      </c>
      <c r="I1989" t="s">
        <v>461</v>
      </c>
      <c r="J1989" t="s">
        <v>18033</v>
      </c>
      <c r="M1989" s="3">
        <v>27000</v>
      </c>
      <c r="N1989" t="s">
        <v>17056</v>
      </c>
      <c r="O1989" t="s">
        <v>477</v>
      </c>
      <c r="P1989" t="s">
        <v>17521</v>
      </c>
      <c r="Q1989" t="s">
        <v>25</v>
      </c>
      <c r="R1989" t="s">
        <v>17522</v>
      </c>
      <c r="S1989" t="s">
        <v>477</v>
      </c>
      <c r="T1989" t="s">
        <v>17523</v>
      </c>
      <c r="U1989" t="s">
        <v>25</v>
      </c>
      <c r="V1989" t="s">
        <v>17524</v>
      </c>
    </row>
    <row r="1990" spans="1:22">
      <c r="A1990" t="s">
        <v>17525</v>
      </c>
      <c r="B1990" t="s">
        <v>17525</v>
      </c>
      <c r="C1990" t="s">
        <v>17526</v>
      </c>
      <c r="D1990" t="s">
        <v>21</v>
      </c>
      <c r="E1990" s="14" t="s">
        <v>17055</v>
      </c>
      <c r="F1990" t="s">
        <v>265</v>
      </c>
      <c r="G1990" s="17" t="str">
        <f>Config!$B$3</f>
        <v>SCH/R_IEC.SchLib</v>
      </c>
      <c r="H1990" t="s">
        <v>419</v>
      </c>
      <c r="I1990" t="s">
        <v>461</v>
      </c>
      <c r="J1990" t="s">
        <v>18033</v>
      </c>
      <c r="M1990" s="3">
        <v>30000</v>
      </c>
      <c r="N1990" t="s">
        <v>17056</v>
      </c>
      <c r="O1990" t="s">
        <v>477</v>
      </c>
      <c r="P1990" t="s">
        <v>17527</v>
      </c>
      <c r="Q1990" t="s">
        <v>25</v>
      </c>
      <c r="R1990" t="s">
        <v>17528</v>
      </c>
      <c r="S1990" t="s">
        <v>477</v>
      </c>
      <c r="T1990" t="s">
        <v>17529</v>
      </c>
      <c r="U1990" t="s">
        <v>25</v>
      </c>
      <c r="V1990" t="s">
        <v>17530</v>
      </c>
    </row>
    <row r="1991" spans="1:22">
      <c r="A1991" t="s">
        <v>17531</v>
      </c>
      <c r="B1991" t="s">
        <v>17531</v>
      </c>
      <c r="C1991" t="s">
        <v>17532</v>
      </c>
      <c r="D1991" t="s">
        <v>21</v>
      </c>
      <c r="E1991" s="14" t="s">
        <v>17055</v>
      </c>
      <c r="F1991" t="s">
        <v>267</v>
      </c>
      <c r="G1991" s="17" t="str">
        <f>Config!$B$3</f>
        <v>SCH/R_IEC.SchLib</v>
      </c>
      <c r="H1991" t="s">
        <v>419</v>
      </c>
      <c r="I1991" t="s">
        <v>461</v>
      </c>
      <c r="J1991" t="s">
        <v>18033</v>
      </c>
      <c r="M1991" s="3">
        <v>33000</v>
      </c>
      <c r="N1991" t="s">
        <v>17056</v>
      </c>
      <c r="O1991" t="s">
        <v>477</v>
      </c>
      <c r="P1991" t="s">
        <v>17533</v>
      </c>
      <c r="Q1991" t="s">
        <v>25</v>
      </c>
      <c r="R1991" t="s">
        <v>17534</v>
      </c>
      <c r="S1991" t="s">
        <v>477</v>
      </c>
      <c r="T1991" t="s">
        <v>17535</v>
      </c>
      <c r="U1991" t="s">
        <v>25</v>
      </c>
      <c r="V1991" t="s">
        <v>17536</v>
      </c>
    </row>
    <row r="1992" spans="1:22">
      <c r="A1992" t="s">
        <v>17537</v>
      </c>
      <c r="B1992" t="s">
        <v>17537</v>
      </c>
      <c r="C1992" t="s">
        <v>17538</v>
      </c>
      <c r="D1992" t="s">
        <v>21</v>
      </c>
      <c r="E1992" s="14" t="s">
        <v>17055</v>
      </c>
      <c r="F1992" t="s">
        <v>269</v>
      </c>
      <c r="G1992" s="17" t="str">
        <f>Config!$B$3</f>
        <v>SCH/R_IEC.SchLib</v>
      </c>
      <c r="H1992" t="s">
        <v>419</v>
      </c>
      <c r="I1992" t="s">
        <v>461</v>
      </c>
      <c r="J1992" t="s">
        <v>18033</v>
      </c>
      <c r="M1992" s="3">
        <v>36000</v>
      </c>
      <c r="N1992" t="s">
        <v>17056</v>
      </c>
      <c r="O1992" t="s">
        <v>477</v>
      </c>
      <c r="P1992" t="s">
        <v>17539</v>
      </c>
      <c r="Q1992" t="s">
        <v>25</v>
      </c>
      <c r="R1992" t="s">
        <v>17540</v>
      </c>
    </row>
    <row r="1993" spans="1:22">
      <c r="A1993" t="s">
        <v>17541</v>
      </c>
      <c r="B1993" t="s">
        <v>17541</v>
      </c>
      <c r="C1993" t="s">
        <v>17542</v>
      </c>
      <c r="D1993" t="s">
        <v>21</v>
      </c>
      <c r="E1993" s="14" t="s">
        <v>17055</v>
      </c>
      <c r="F1993" t="s">
        <v>273</v>
      </c>
      <c r="G1993" s="17" t="str">
        <f>Config!$B$3</f>
        <v>SCH/R_IEC.SchLib</v>
      </c>
      <c r="H1993" t="s">
        <v>419</v>
      </c>
      <c r="I1993" t="s">
        <v>461</v>
      </c>
      <c r="J1993" t="s">
        <v>18033</v>
      </c>
      <c r="M1993" s="3">
        <v>39000</v>
      </c>
      <c r="N1993" t="s">
        <v>17056</v>
      </c>
      <c r="O1993" t="s">
        <v>477</v>
      </c>
      <c r="P1993" t="s">
        <v>17543</v>
      </c>
      <c r="Q1993" t="s">
        <v>25</v>
      </c>
      <c r="R1993" t="s">
        <v>17544</v>
      </c>
      <c r="S1993" t="s">
        <v>477</v>
      </c>
      <c r="T1993" t="s">
        <v>17545</v>
      </c>
      <c r="U1993" t="s">
        <v>25</v>
      </c>
      <c r="V1993" t="s">
        <v>17546</v>
      </c>
    </row>
    <row r="1994" spans="1:22">
      <c r="A1994" t="s">
        <v>17547</v>
      </c>
      <c r="B1994" t="s">
        <v>17547</v>
      </c>
      <c r="C1994" t="s">
        <v>17548</v>
      </c>
      <c r="D1994" t="s">
        <v>21</v>
      </c>
      <c r="E1994" s="14" t="s">
        <v>17055</v>
      </c>
      <c r="F1994" t="s">
        <v>277</v>
      </c>
      <c r="G1994" s="17" t="str">
        <f>Config!$B$3</f>
        <v>SCH/R_IEC.SchLib</v>
      </c>
      <c r="H1994" t="s">
        <v>419</v>
      </c>
      <c r="I1994" t="s">
        <v>461</v>
      </c>
      <c r="J1994" t="s">
        <v>18033</v>
      </c>
      <c r="M1994" s="3">
        <v>43000</v>
      </c>
      <c r="N1994" t="s">
        <v>17056</v>
      </c>
      <c r="O1994" t="s">
        <v>477</v>
      </c>
      <c r="P1994" t="s">
        <v>17549</v>
      </c>
      <c r="Q1994" t="s">
        <v>25</v>
      </c>
      <c r="R1994" t="s">
        <v>17550</v>
      </c>
    </row>
    <row r="1995" spans="1:22">
      <c r="A1995" t="s">
        <v>17551</v>
      </c>
      <c r="B1995" t="s">
        <v>17551</v>
      </c>
      <c r="C1995" t="s">
        <v>17552</v>
      </c>
      <c r="D1995" t="s">
        <v>21</v>
      </c>
      <c r="E1995" s="14" t="s">
        <v>17055</v>
      </c>
      <c r="F1995" t="s">
        <v>279</v>
      </c>
      <c r="G1995" s="17" t="str">
        <f>Config!$B$3</f>
        <v>SCH/R_IEC.SchLib</v>
      </c>
      <c r="H1995" t="s">
        <v>419</v>
      </c>
      <c r="I1995" t="s">
        <v>461</v>
      </c>
      <c r="J1995" t="s">
        <v>18033</v>
      </c>
      <c r="M1995" s="3">
        <v>47000</v>
      </c>
      <c r="N1995" t="s">
        <v>17056</v>
      </c>
      <c r="O1995" t="s">
        <v>477</v>
      </c>
      <c r="P1995" t="s">
        <v>17553</v>
      </c>
      <c r="Q1995" t="s">
        <v>25</v>
      </c>
      <c r="R1995" t="s">
        <v>17554</v>
      </c>
      <c r="S1995" t="s">
        <v>477</v>
      </c>
      <c r="T1995" t="s">
        <v>17555</v>
      </c>
      <c r="U1995" t="s">
        <v>25</v>
      </c>
      <c r="V1995" t="s">
        <v>17556</v>
      </c>
    </row>
    <row r="1996" spans="1:22">
      <c r="A1996" t="s">
        <v>17557</v>
      </c>
      <c r="B1996" t="s">
        <v>17557</v>
      </c>
      <c r="C1996" t="s">
        <v>17558</v>
      </c>
      <c r="D1996" t="s">
        <v>21</v>
      </c>
      <c r="E1996" s="14" t="s">
        <v>17055</v>
      </c>
      <c r="F1996" t="s">
        <v>283</v>
      </c>
      <c r="G1996" s="17" t="str">
        <f>Config!$B$3</f>
        <v>SCH/R_IEC.SchLib</v>
      </c>
      <c r="H1996" t="s">
        <v>419</v>
      </c>
      <c r="I1996" t="s">
        <v>461</v>
      </c>
      <c r="J1996" t="s">
        <v>18033</v>
      </c>
      <c r="M1996" s="3">
        <v>51000</v>
      </c>
      <c r="N1996" t="s">
        <v>17056</v>
      </c>
      <c r="O1996" t="s">
        <v>477</v>
      </c>
      <c r="P1996" t="s">
        <v>17559</v>
      </c>
      <c r="Q1996" t="s">
        <v>25</v>
      </c>
      <c r="R1996" t="s">
        <v>17560</v>
      </c>
      <c r="S1996" t="s">
        <v>477</v>
      </c>
      <c r="T1996" t="s">
        <v>17561</v>
      </c>
      <c r="U1996" t="s">
        <v>25</v>
      </c>
      <c r="V1996" t="s">
        <v>17562</v>
      </c>
    </row>
    <row r="1997" spans="1:22">
      <c r="A1997" t="s">
        <v>17563</v>
      </c>
      <c r="B1997" t="s">
        <v>17563</v>
      </c>
      <c r="C1997" t="s">
        <v>17564</v>
      </c>
      <c r="D1997" t="s">
        <v>21</v>
      </c>
      <c r="E1997" s="14" t="s">
        <v>17055</v>
      </c>
      <c r="F1997" t="s">
        <v>287</v>
      </c>
      <c r="G1997" s="17" t="str">
        <f>Config!$B$3</f>
        <v>SCH/R_IEC.SchLib</v>
      </c>
      <c r="H1997" t="s">
        <v>419</v>
      </c>
      <c r="I1997" t="s">
        <v>461</v>
      </c>
      <c r="J1997" t="s">
        <v>18033</v>
      </c>
      <c r="M1997" s="3">
        <v>56000</v>
      </c>
      <c r="N1997" t="s">
        <v>17056</v>
      </c>
      <c r="O1997" t="s">
        <v>477</v>
      </c>
      <c r="P1997" t="s">
        <v>17565</v>
      </c>
      <c r="Q1997" t="s">
        <v>25</v>
      </c>
      <c r="R1997" t="s">
        <v>17566</v>
      </c>
      <c r="S1997" t="s">
        <v>477</v>
      </c>
      <c r="T1997" t="s">
        <v>17567</v>
      </c>
      <c r="U1997" t="s">
        <v>25</v>
      </c>
      <c r="V1997" t="s">
        <v>17568</v>
      </c>
    </row>
    <row r="1998" spans="1:22">
      <c r="A1998" t="s">
        <v>17569</v>
      </c>
      <c r="B1998" t="s">
        <v>17569</v>
      </c>
      <c r="C1998" t="s">
        <v>17570</v>
      </c>
      <c r="D1998" t="s">
        <v>21</v>
      </c>
      <c r="E1998" s="14" t="s">
        <v>17055</v>
      </c>
      <c r="F1998" t="s">
        <v>291</v>
      </c>
      <c r="G1998" s="17" t="str">
        <f>Config!$B$3</f>
        <v>SCH/R_IEC.SchLib</v>
      </c>
      <c r="H1998" t="s">
        <v>419</v>
      </c>
      <c r="I1998" t="s">
        <v>461</v>
      </c>
      <c r="J1998" t="s">
        <v>18033</v>
      </c>
      <c r="M1998" s="3">
        <v>62000</v>
      </c>
      <c r="N1998" t="s">
        <v>17056</v>
      </c>
      <c r="O1998" t="s">
        <v>477</v>
      </c>
      <c r="P1998" t="s">
        <v>17571</v>
      </c>
      <c r="Q1998" t="s">
        <v>25</v>
      </c>
      <c r="R1998" t="s">
        <v>17572</v>
      </c>
    </row>
    <row r="1999" spans="1:22">
      <c r="A1999" t="s">
        <v>17573</v>
      </c>
      <c r="B1999" t="s">
        <v>17573</v>
      </c>
      <c r="C1999" t="s">
        <v>17574</v>
      </c>
      <c r="D1999" t="s">
        <v>21</v>
      </c>
      <c r="E1999" s="14" t="s">
        <v>17055</v>
      </c>
      <c r="F1999" t="s">
        <v>295</v>
      </c>
      <c r="G1999" s="17" t="str">
        <f>Config!$B$3</f>
        <v>SCH/R_IEC.SchLib</v>
      </c>
      <c r="H1999" t="s">
        <v>419</v>
      </c>
      <c r="I1999" t="s">
        <v>461</v>
      </c>
      <c r="J1999" t="s">
        <v>18033</v>
      </c>
      <c r="M1999" s="3">
        <v>68000</v>
      </c>
      <c r="N1999" t="s">
        <v>17056</v>
      </c>
      <c r="O1999" t="s">
        <v>477</v>
      </c>
      <c r="P1999" t="s">
        <v>17575</v>
      </c>
      <c r="Q1999" t="s">
        <v>25</v>
      </c>
      <c r="R1999" t="s">
        <v>17576</v>
      </c>
      <c r="S1999" t="s">
        <v>477</v>
      </c>
      <c r="T1999" t="s">
        <v>17577</v>
      </c>
      <c r="U1999" t="s">
        <v>25</v>
      </c>
      <c r="V1999" t="s">
        <v>17578</v>
      </c>
    </row>
    <row r="2000" spans="1:22">
      <c r="A2000" t="s">
        <v>17579</v>
      </c>
      <c r="B2000" t="s">
        <v>17579</v>
      </c>
      <c r="C2000" t="s">
        <v>17580</v>
      </c>
      <c r="D2000" t="s">
        <v>21</v>
      </c>
      <c r="E2000" s="14" t="s">
        <v>17055</v>
      </c>
      <c r="F2000" t="s">
        <v>299</v>
      </c>
      <c r="G2000" s="17" t="str">
        <f>Config!$B$3</f>
        <v>SCH/R_IEC.SchLib</v>
      </c>
      <c r="H2000" t="s">
        <v>419</v>
      </c>
      <c r="I2000" t="s">
        <v>461</v>
      </c>
      <c r="J2000" t="s">
        <v>18033</v>
      </c>
      <c r="M2000" s="3">
        <v>75000</v>
      </c>
      <c r="N2000" t="s">
        <v>17056</v>
      </c>
      <c r="O2000" t="s">
        <v>477</v>
      </c>
      <c r="P2000" t="s">
        <v>17581</v>
      </c>
      <c r="Q2000" t="s">
        <v>25</v>
      </c>
      <c r="R2000" t="s">
        <v>17582</v>
      </c>
      <c r="S2000" t="s">
        <v>477</v>
      </c>
      <c r="T2000" t="s">
        <v>17583</v>
      </c>
      <c r="U2000" t="s">
        <v>25</v>
      </c>
      <c r="V2000" t="s">
        <v>17584</v>
      </c>
    </row>
    <row r="2001" spans="1:22">
      <c r="A2001" t="s">
        <v>17585</v>
      </c>
      <c r="B2001" t="s">
        <v>17585</v>
      </c>
      <c r="C2001" t="s">
        <v>17586</v>
      </c>
      <c r="D2001" t="s">
        <v>21</v>
      </c>
      <c r="E2001" s="14" t="s">
        <v>17055</v>
      </c>
      <c r="F2001" t="s">
        <v>301</v>
      </c>
      <c r="G2001" s="17" t="str">
        <f>Config!$B$3</f>
        <v>SCH/R_IEC.SchLib</v>
      </c>
      <c r="H2001" t="s">
        <v>419</v>
      </c>
      <c r="I2001" t="s">
        <v>461</v>
      </c>
      <c r="J2001" t="s">
        <v>18033</v>
      </c>
      <c r="M2001" s="3">
        <v>82000</v>
      </c>
      <c r="N2001" t="s">
        <v>17056</v>
      </c>
      <c r="O2001" t="s">
        <v>477</v>
      </c>
      <c r="P2001" t="s">
        <v>17587</v>
      </c>
      <c r="Q2001" t="s">
        <v>25</v>
      </c>
      <c r="R2001" t="s">
        <v>17588</v>
      </c>
    </row>
    <row r="2002" spans="1:22">
      <c r="A2002" t="s">
        <v>17589</v>
      </c>
      <c r="B2002" t="s">
        <v>17589</v>
      </c>
      <c r="C2002" t="s">
        <v>17590</v>
      </c>
      <c r="D2002" t="s">
        <v>21</v>
      </c>
      <c r="E2002" s="14" t="s">
        <v>17055</v>
      </c>
      <c r="F2002" t="s">
        <v>303</v>
      </c>
      <c r="G2002" s="17" t="str">
        <f>Config!$B$3</f>
        <v>SCH/R_IEC.SchLib</v>
      </c>
      <c r="H2002" t="s">
        <v>419</v>
      </c>
      <c r="I2002" t="s">
        <v>461</v>
      </c>
      <c r="J2002" t="s">
        <v>18033</v>
      </c>
      <c r="M2002" s="3">
        <v>91000</v>
      </c>
      <c r="N2002" t="s">
        <v>17056</v>
      </c>
      <c r="O2002" t="s">
        <v>477</v>
      </c>
      <c r="P2002" t="s">
        <v>17591</v>
      </c>
      <c r="Q2002" t="s">
        <v>25</v>
      </c>
      <c r="R2002" t="s">
        <v>17592</v>
      </c>
    </row>
    <row r="2003" spans="1:22">
      <c r="A2003" t="s">
        <v>17593</v>
      </c>
      <c r="B2003" t="s">
        <v>17593</v>
      </c>
      <c r="C2003" t="s">
        <v>17594</v>
      </c>
      <c r="D2003" t="s">
        <v>21</v>
      </c>
      <c r="E2003" s="14" t="s">
        <v>17055</v>
      </c>
      <c r="F2003" t="s">
        <v>305</v>
      </c>
      <c r="G2003" s="17" t="str">
        <f>Config!$B$3</f>
        <v>SCH/R_IEC.SchLib</v>
      </c>
      <c r="H2003" t="s">
        <v>419</v>
      </c>
      <c r="I2003" t="s">
        <v>461</v>
      </c>
      <c r="J2003" t="s">
        <v>18033</v>
      </c>
      <c r="M2003" s="3">
        <v>100000</v>
      </c>
      <c r="N2003" t="s">
        <v>17056</v>
      </c>
      <c r="O2003" t="s">
        <v>477</v>
      </c>
      <c r="P2003" t="s">
        <v>17595</v>
      </c>
      <c r="Q2003" t="s">
        <v>25</v>
      </c>
      <c r="R2003" t="s">
        <v>17596</v>
      </c>
      <c r="S2003" t="s">
        <v>477</v>
      </c>
      <c r="T2003" t="s">
        <v>17597</v>
      </c>
      <c r="U2003" t="s">
        <v>25</v>
      </c>
      <c r="V2003" t="s">
        <v>17598</v>
      </c>
    </row>
    <row r="2004" spans="1:22">
      <c r="A2004" t="s">
        <v>17599</v>
      </c>
      <c r="B2004" t="s">
        <v>17599</v>
      </c>
      <c r="C2004" t="s">
        <v>17600</v>
      </c>
      <c r="D2004" t="s">
        <v>21</v>
      </c>
      <c r="E2004" s="14" t="s">
        <v>17055</v>
      </c>
      <c r="F2004" t="s">
        <v>309</v>
      </c>
      <c r="G2004" s="17" t="str">
        <f>Config!$B$3</f>
        <v>SCH/R_IEC.SchLib</v>
      </c>
      <c r="H2004" t="s">
        <v>419</v>
      </c>
      <c r="I2004" t="s">
        <v>461</v>
      </c>
      <c r="J2004" t="s">
        <v>18033</v>
      </c>
      <c r="M2004" s="3">
        <v>110000</v>
      </c>
      <c r="N2004" t="s">
        <v>17056</v>
      </c>
      <c r="O2004" t="s">
        <v>477</v>
      </c>
      <c r="P2004" t="s">
        <v>17601</v>
      </c>
      <c r="Q2004" t="s">
        <v>25</v>
      </c>
      <c r="R2004" t="s">
        <v>17602</v>
      </c>
    </row>
    <row r="2005" spans="1:22">
      <c r="A2005" t="s">
        <v>17603</v>
      </c>
      <c r="B2005" t="s">
        <v>17603</v>
      </c>
      <c r="C2005" t="s">
        <v>17604</v>
      </c>
      <c r="D2005" t="s">
        <v>21</v>
      </c>
      <c r="E2005" s="14" t="s">
        <v>17055</v>
      </c>
      <c r="F2005" t="s">
        <v>313</v>
      </c>
      <c r="G2005" s="17" t="str">
        <f>Config!$B$3</f>
        <v>SCH/R_IEC.SchLib</v>
      </c>
      <c r="H2005" t="s">
        <v>419</v>
      </c>
      <c r="I2005" t="s">
        <v>461</v>
      </c>
      <c r="J2005" t="s">
        <v>18033</v>
      </c>
      <c r="M2005" s="3">
        <v>120000</v>
      </c>
      <c r="N2005" t="s">
        <v>17056</v>
      </c>
      <c r="O2005" t="s">
        <v>477</v>
      </c>
      <c r="P2005" t="s">
        <v>17605</v>
      </c>
      <c r="Q2005" t="s">
        <v>25</v>
      </c>
      <c r="R2005" t="s">
        <v>17606</v>
      </c>
      <c r="S2005" t="s">
        <v>477</v>
      </c>
      <c r="T2005" t="s">
        <v>17607</v>
      </c>
      <c r="U2005" t="s">
        <v>25</v>
      </c>
      <c r="V2005" t="s">
        <v>17608</v>
      </c>
    </row>
    <row r="2006" spans="1:22">
      <c r="A2006" t="s">
        <v>17609</v>
      </c>
      <c r="B2006" t="s">
        <v>17609</v>
      </c>
      <c r="C2006" t="s">
        <v>17610</v>
      </c>
      <c r="D2006" t="s">
        <v>21</v>
      </c>
      <c r="E2006" s="14" t="s">
        <v>17055</v>
      </c>
      <c r="F2006" t="s">
        <v>317</v>
      </c>
      <c r="G2006" s="17" t="str">
        <f>Config!$B$3</f>
        <v>SCH/R_IEC.SchLib</v>
      </c>
      <c r="H2006" t="s">
        <v>419</v>
      </c>
      <c r="I2006" t="s">
        <v>461</v>
      </c>
      <c r="J2006" t="s">
        <v>18033</v>
      </c>
      <c r="M2006" s="3">
        <v>130000</v>
      </c>
      <c r="N2006" t="s">
        <v>17056</v>
      </c>
      <c r="O2006" t="s">
        <v>477</v>
      </c>
      <c r="P2006" t="s">
        <v>17611</v>
      </c>
      <c r="Q2006" t="s">
        <v>25</v>
      </c>
      <c r="R2006" t="s">
        <v>17612</v>
      </c>
    </row>
    <row r="2007" spans="1:22">
      <c r="A2007" t="s">
        <v>17613</v>
      </c>
      <c r="B2007" t="s">
        <v>17613</v>
      </c>
      <c r="C2007" t="s">
        <v>17614</v>
      </c>
      <c r="D2007" t="s">
        <v>21</v>
      </c>
      <c r="E2007" s="14" t="s">
        <v>17055</v>
      </c>
      <c r="F2007" t="s">
        <v>321</v>
      </c>
      <c r="G2007" s="17" t="str">
        <f>Config!$B$3</f>
        <v>SCH/R_IEC.SchLib</v>
      </c>
      <c r="H2007" t="s">
        <v>419</v>
      </c>
      <c r="I2007" t="s">
        <v>461</v>
      </c>
      <c r="J2007" t="s">
        <v>18033</v>
      </c>
      <c r="M2007" s="3">
        <v>150000</v>
      </c>
      <c r="N2007" t="s">
        <v>17056</v>
      </c>
      <c r="O2007" t="s">
        <v>477</v>
      </c>
      <c r="P2007" t="s">
        <v>17615</v>
      </c>
      <c r="Q2007" t="s">
        <v>25</v>
      </c>
      <c r="R2007" t="s">
        <v>17616</v>
      </c>
      <c r="S2007" t="s">
        <v>477</v>
      </c>
      <c r="T2007" t="s">
        <v>17617</v>
      </c>
      <c r="U2007" t="s">
        <v>25</v>
      </c>
      <c r="V2007" t="s">
        <v>17618</v>
      </c>
    </row>
    <row r="2008" spans="1:22">
      <c r="A2008" t="s">
        <v>17619</v>
      </c>
      <c r="B2008" t="s">
        <v>17619</v>
      </c>
      <c r="C2008" t="s">
        <v>17620</v>
      </c>
      <c r="D2008" t="s">
        <v>21</v>
      </c>
      <c r="E2008" s="14" t="s">
        <v>17055</v>
      </c>
      <c r="F2008" t="s">
        <v>323</v>
      </c>
      <c r="G2008" s="17" t="str">
        <f>Config!$B$3</f>
        <v>SCH/R_IEC.SchLib</v>
      </c>
      <c r="H2008" t="s">
        <v>419</v>
      </c>
      <c r="I2008" t="s">
        <v>461</v>
      </c>
      <c r="J2008" t="s">
        <v>18033</v>
      </c>
      <c r="M2008" s="3">
        <v>160000</v>
      </c>
      <c r="N2008" t="s">
        <v>17056</v>
      </c>
      <c r="O2008" t="s">
        <v>477</v>
      </c>
      <c r="P2008" t="s">
        <v>17621</v>
      </c>
      <c r="Q2008" t="s">
        <v>25</v>
      </c>
      <c r="R2008" t="s">
        <v>17622</v>
      </c>
    </row>
    <row r="2009" spans="1:22">
      <c r="A2009" t="s">
        <v>17623</v>
      </c>
      <c r="B2009" t="s">
        <v>17623</v>
      </c>
      <c r="C2009" t="s">
        <v>17624</v>
      </c>
      <c r="D2009" t="s">
        <v>21</v>
      </c>
      <c r="E2009" s="14" t="s">
        <v>17055</v>
      </c>
      <c r="F2009" t="s">
        <v>327</v>
      </c>
      <c r="G2009" s="17" t="str">
        <f>Config!$B$3</f>
        <v>SCH/R_IEC.SchLib</v>
      </c>
      <c r="H2009" t="s">
        <v>419</v>
      </c>
      <c r="I2009" t="s">
        <v>461</v>
      </c>
      <c r="J2009" t="s">
        <v>18033</v>
      </c>
      <c r="M2009" s="3">
        <v>180000</v>
      </c>
      <c r="N2009" t="s">
        <v>17056</v>
      </c>
      <c r="O2009" t="s">
        <v>477</v>
      </c>
      <c r="P2009" t="s">
        <v>17625</v>
      </c>
      <c r="Q2009" t="s">
        <v>25</v>
      </c>
      <c r="R2009" t="s">
        <v>17626</v>
      </c>
    </row>
    <row r="2010" spans="1:22">
      <c r="A2010" t="s">
        <v>17627</v>
      </c>
      <c r="B2010" t="s">
        <v>17627</v>
      </c>
      <c r="C2010" t="s">
        <v>17628</v>
      </c>
      <c r="D2010" t="s">
        <v>21</v>
      </c>
      <c r="E2010" s="14" t="s">
        <v>17055</v>
      </c>
      <c r="F2010" t="s">
        <v>331</v>
      </c>
      <c r="G2010" s="17" t="str">
        <f>Config!$B$3</f>
        <v>SCH/R_IEC.SchLib</v>
      </c>
      <c r="H2010" t="s">
        <v>419</v>
      </c>
      <c r="I2010" t="s">
        <v>461</v>
      </c>
      <c r="J2010" t="s">
        <v>18033</v>
      </c>
      <c r="M2010" s="3">
        <v>200000</v>
      </c>
      <c r="N2010" t="s">
        <v>17056</v>
      </c>
      <c r="O2010" t="s">
        <v>477</v>
      </c>
      <c r="P2010" t="s">
        <v>17629</v>
      </c>
      <c r="Q2010" t="s">
        <v>25</v>
      </c>
      <c r="R2010" t="s">
        <v>17630</v>
      </c>
      <c r="S2010" t="s">
        <v>477</v>
      </c>
      <c r="T2010" t="s">
        <v>17631</v>
      </c>
      <c r="U2010" t="s">
        <v>25</v>
      </c>
      <c r="V2010" t="s">
        <v>17632</v>
      </c>
    </row>
    <row r="2011" spans="1:22">
      <c r="A2011" t="s">
        <v>17633</v>
      </c>
      <c r="B2011" t="s">
        <v>17633</v>
      </c>
      <c r="C2011" t="s">
        <v>17634</v>
      </c>
      <c r="D2011" t="s">
        <v>21</v>
      </c>
      <c r="E2011" s="14" t="s">
        <v>17055</v>
      </c>
      <c r="F2011" t="s">
        <v>333</v>
      </c>
      <c r="G2011" s="17" t="str">
        <f>Config!$B$3</f>
        <v>SCH/R_IEC.SchLib</v>
      </c>
      <c r="H2011" t="s">
        <v>419</v>
      </c>
      <c r="I2011" t="s">
        <v>461</v>
      </c>
      <c r="J2011" t="s">
        <v>18033</v>
      </c>
      <c r="M2011" s="3">
        <v>220000</v>
      </c>
      <c r="N2011" t="s">
        <v>17056</v>
      </c>
      <c r="O2011" t="s">
        <v>477</v>
      </c>
      <c r="P2011" t="s">
        <v>17635</v>
      </c>
      <c r="Q2011" t="s">
        <v>25</v>
      </c>
      <c r="R2011" t="s">
        <v>17636</v>
      </c>
    </row>
    <row r="2012" spans="1:22">
      <c r="A2012" t="s">
        <v>17637</v>
      </c>
      <c r="B2012" t="s">
        <v>17637</v>
      </c>
      <c r="C2012" t="s">
        <v>17638</v>
      </c>
      <c r="D2012" t="s">
        <v>21</v>
      </c>
      <c r="E2012" s="14" t="s">
        <v>17055</v>
      </c>
      <c r="F2012" t="s">
        <v>335</v>
      </c>
      <c r="G2012" s="17" t="str">
        <f>Config!$B$3</f>
        <v>SCH/R_IEC.SchLib</v>
      </c>
      <c r="H2012" t="s">
        <v>419</v>
      </c>
      <c r="I2012" t="s">
        <v>461</v>
      </c>
      <c r="J2012" t="s">
        <v>18033</v>
      </c>
      <c r="M2012" s="3">
        <v>240000</v>
      </c>
      <c r="N2012" t="s">
        <v>17056</v>
      </c>
      <c r="O2012" t="s">
        <v>477</v>
      </c>
      <c r="P2012" t="s">
        <v>17639</v>
      </c>
      <c r="Q2012" t="s">
        <v>25</v>
      </c>
      <c r="R2012" t="s">
        <v>17640</v>
      </c>
    </row>
    <row r="2013" spans="1:22">
      <c r="A2013" t="s">
        <v>17641</v>
      </c>
      <c r="B2013" t="s">
        <v>17641</v>
      </c>
      <c r="C2013" t="s">
        <v>17642</v>
      </c>
      <c r="D2013" t="s">
        <v>21</v>
      </c>
      <c r="E2013" s="14" t="s">
        <v>17055</v>
      </c>
      <c r="F2013" t="s">
        <v>337</v>
      </c>
      <c r="G2013" s="17" t="str">
        <f>Config!$B$3</f>
        <v>SCH/R_IEC.SchLib</v>
      </c>
      <c r="H2013" t="s">
        <v>419</v>
      </c>
      <c r="I2013" t="s">
        <v>461</v>
      </c>
      <c r="J2013" t="s">
        <v>18033</v>
      </c>
      <c r="M2013" s="3">
        <v>270000</v>
      </c>
      <c r="N2013" t="s">
        <v>17056</v>
      </c>
      <c r="O2013" t="s">
        <v>477</v>
      </c>
      <c r="P2013" t="s">
        <v>17643</v>
      </c>
      <c r="Q2013" t="s">
        <v>25</v>
      </c>
      <c r="R2013" t="s">
        <v>17644</v>
      </c>
    </row>
    <row r="2014" spans="1:22">
      <c r="A2014" t="s">
        <v>17645</v>
      </c>
      <c r="B2014" t="s">
        <v>17645</v>
      </c>
      <c r="C2014" t="s">
        <v>17646</v>
      </c>
      <c r="D2014" t="s">
        <v>21</v>
      </c>
      <c r="E2014" s="14" t="s">
        <v>17055</v>
      </c>
      <c r="F2014" t="s">
        <v>339</v>
      </c>
      <c r="G2014" s="17" t="str">
        <f>Config!$B$3</f>
        <v>SCH/R_IEC.SchLib</v>
      </c>
      <c r="H2014" t="s">
        <v>419</v>
      </c>
      <c r="I2014" t="s">
        <v>461</v>
      </c>
      <c r="J2014" t="s">
        <v>18033</v>
      </c>
      <c r="M2014" s="3">
        <v>300000</v>
      </c>
      <c r="N2014" t="s">
        <v>17056</v>
      </c>
      <c r="O2014" t="s">
        <v>477</v>
      </c>
      <c r="P2014" t="s">
        <v>17647</v>
      </c>
      <c r="Q2014" t="s">
        <v>25</v>
      </c>
      <c r="R2014" t="s">
        <v>17648</v>
      </c>
    </row>
    <row r="2015" spans="1:22">
      <c r="A2015" t="s">
        <v>17649</v>
      </c>
      <c r="B2015" t="s">
        <v>17649</v>
      </c>
      <c r="C2015" t="s">
        <v>17650</v>
      </c>
      <c r="D2015" t="s">
        <v>21</v>
      </c>
      <c r="E2015" s="14" t="s">
        <v>17055</v>
      </c>
      <c r="F2015" t="s">
        <v>341</v>
      </c>
      <c r="G2015" s="17" t="str">
        <f>Config!$B$3</f>
        <v>SCH/R_IEC.SchLib</v>
      </c>
      <c r="H2015" t="s">
        <v>419</v>
      </c>
      <c r="I2015" t="s">
        <v>461</v>
      </c>
      <c r="J2015" t="s">
        <v>18033</v>
      </c>
      <c r="M2015" s="3">
        <v>330000</v>
      </c>
      <c r="N2015" t="s">
        <v>17056</v>
      </c>
      <c r="O2015" t="s">
        <v>477</v>
      </c>
      <c r="P2015" t="s">
        <v>17651</v>
      </c>
      <c r="Q2015" t="s">
        <v>25</v>
      </c>
      <c r="R2015" t="s">
        <v>17652</v>
      </c>
    </row>
    <row r="2016" spans="1:22">
      <c r="A2016" t="s">
        <v>17653</v>
      </c>
      <c r="B2016" t="s">
        <v>17653</v>
      </c>
      <c r="C2016" t="s">
        <v>17654</v>
      </c>
      <c r="D2016" t="s">
        <v>21</v>
      </c>
      <c r="E2016" s="14" t="s">
        <v>17055</v>
      </c>
      <c r="F2016" t="s">
        <v>345</v>
      </c>
      <c r="G2016" s="17" t="str">
        <f>Config!$B$3</f>
        <v>SCH/R_IEC.SchLib</v>
      </c>
      <c r="H2016" t="s">
        <v>419</v>
      </c>
      <c r="I2016" t="s">
        <v>461</v>
      </c>
      <c r="J2016" t="s">
        <v>18033</v>
      </c>
      <c r="M2016" s="3">
        <v>360000</v>
      </c>
      <c r="N2016" t="s">
        <v>17056</v>
      </c>
      <c r="O2016" t="s">
        <v>477</v>
      </c>
      <c r="P2016" t="s">
        <v>17655</v>
      </c>
      <c r="Q2016" t="s">
        <v>25</v>
      </c>
      <c r="R2016" t="s">
        <v>17656</v>
      </c>
    </row>
    <row r="2017" spans="1:22">
      <c r="A2017" t="s">
        <v>17657</v>
      </c>
      <c r="B2017" t="s">
        <v>17657</v>
      </c>
      <c r="C2017" t="s">
        <v>17658</v>
      </c>
      <c r="D2017" t="s">
        <v>21</v>
      </c>
      <c r="E2017" s="14" t="s">
        <v>17055</v>
      </c>
      <c r="F2017" t="s">
        <v>349</v>
      </c>
      <c r="G2017" s="17" t="str">
        <f>Config!$B$3</f>
        <v>SCH/R_IEC.SchLib</v>
      </c>
      <c r="H2017" t="s">
        <v>419</v>
      </c>
      <c r="I2017" t="s">
        <v>461</v>
      </c>
      <c r="J2017" t="s">
        <v>18033</v>
      </c>
      <c r="M2017" s="3">
        <v>390000</v>
      </c>
      <c r="N2017" t="s">
        <v>17056</v>
      </c>
      <c r="O2017" t="s">
        <v>477</v>
      </c>
      <c r="P2017" t="s">
        <v>17659</v>
      </c>
      <c r="Q2017" t="s">
        <v>25</v>
      </c>
      <c r="R2017" t="s">
        <v>17660</v>
      </c>
    </row>
    <row r="2018" spans="1:22">
      <c r="A2018" t="s">
        <v>17661</v>
      </c>
      <c r="B2018" t="s">
        <v>17661</v>
      </c>
      <c r="C2018" t="s">
        <v>17662</v>
      </c>
      <c r="D2018" t="s">
        <v>21</v>
      </c>
      <c r="E2018" s="14" t="s">
        <v>17055</v>
      </c>
      <c r="F2018" t="s">
        <v>351</v>
      </c>
      <c r="G2018" s="17" t="str">
        <f>Config!$B$3</f>
        <v>SCH/R_IEC.SchLib</v>
      </c>
      <c r="H2018" t="s">
        <v>419</v>
      </c>
      <c r="I2018" t="s">
        <v>461</v>
      </c>
      <c r="J2018" t="s">
        <v>18033</v>
      </c>
      <c r="M2018" s="3">
        <v>430000</v>
      </c>
      <c r="N2018" t="s">
        <v>17056</v>
      </c>
      <c r="O2018" t="s">
        <v>477</v>
      </c>
      <c r="P2018" t="s">
        <v>17663</v>
      </c>
      <c r="Q2018" t="s">
        <v>25</v>
      </c>
      <c r="R2018" t="s">
        <v>17664</v>
      </c>
    </row>
    <row r="2019" spans="1:22">
      <c r="A2019" t="s">
        <v>17665</v>
      </c>
      <c r="B2019" t="s">
        <v>17665</v>
      </c>
      <c r="C2019" t="s">
        <v>17666</v>
      </c>
      <c r="D2019" t="s">
        <v>21</v>
      </c>
      <c r="E2019" s="14" t="s">
        <v>17055</v>
      </c>
      <c r="F2019" t="s">
        <v>353</v>
      </c>
      <c r="G2019" s="17" t="str">
        <f>Config!$B$3</f>
        <v>SCH/R_IEC.SchLib</v>
      </c>
      <c r="H2019" t="s">
        <v>419</v>
      </c>
      <c r="I2019" t="s">
        <v>461</v>
      </c>
      <c r="J2019" t="s">
        <v>18033</v>
      </c>
      <c r="M2019" s="3">
        <v>470000</v>
      </c>
      <c r="N2019" t="s">
        <v>17056</v>
      </c>
      <c r="O2019" t="s">
        <v>477</v>
      </c>
      <c r="P2019" t="s">
        <v>17667</v>
      </c>
      <c r="Q2019" t="s">
        <v>25</v>
      </c>
      <c r="R2019" t="s">
        <v>17668</v>
      </c>
      <c r="S2019" t="s">
        <v>477</v>
      </c>
      <c r="T2019" t="s">
        <v>17669</v>
      </c>
      <c r="U2019" t="s">
        <v>25</v>
      </c>
      <c r="V2019" t="s">
        <v>17670</v>
      </c>
    </row>
    <row r="2020" spans="1:22">
      <c r="A2020" t="s">
        <v>17671</v>
      </c>
      <c r="B2020" t="s">
        <v>17671</v>
      </c>
      <c r="C2020" t="s">
        <v>17672</v>
      </c>
      <c r="D2020" t="s">
        <v>21</v>
      </c>
      <c r="E2020" s="14" t="s">
        <v>17055</v>
      </c>
      <c r="F2020" t="s">
        <v>355</v>
      </c>
      <c r="G2020" s="17" t="str">
        <f>Config!$B$3</f>
        <v>SCH/R_IEC.SchLib</v>
      </c>
      <c r="H2020" t="s">
        <v>419</v>
      </c>
      <c r="I2020" t="s">
        <v>461</v>
      </c>
      <c r="J2020" t="s">
        <v>18033</v>
      </c>
      <c r="M2020" s="3">
        <v>510000</v>
      </c>
      <c r="N2020" t="s">
        <v>17056</v>
      </c>
      <c r="O2020" t="s">
        <v>477</v>
      </c>
      <c r="P2020" t="s">
        <v>17673</v>
      </c>
      <c r="Q2020" t="s">
        <v>25</v>
      </c>
      <c r="R2020" t="s">
        <v>17674</v>
      </c>
    </row>
    <row r="2021" spans="1:22">
      <c r="A2021" t="s">
        <v>17675</v>
      </c>
      <c r="B2021" t="s">
        <v>17675</v>
      </c>
      <c r="C2021" t="s">
        <v>17676</v>
      </c>
      <c r="D2021" t="s">
        <v>21</v>
      </c>
      <c r="E2021" s="14" t="s">
        <v>17055</v>
      </c>
      <c r="F2021" t="s">
        <v>357</v>
      </c>
      <c r="G2021" s="17" t="str">
        <f>Config!$B$3</f>
        <v>SCH/R_IEC.SchLib</v>
      </c>
      <c r="H2021" t="s">
        <v>419</v>
      </c>
      <c r="I2021" t="s">
        <v>461</v>
      </c>
      <c r="J2021" t="s">
        <v>18033</v>
      </c>
      <c r="M2021" s="3">
        <v>560000</v>
      </c>
      <c r="N2021" t="s">
        <v>17056</v>
      </c>
      <c r="O2021" t="s">
        <v>477</v>
      </c>
      <c r="P2021" t="s">
        <v>17677</v>
      </c>
      <c r="Q2021" t="s">
        <v>25</v>
      </c>
      <c r="R2021" t="s">
        <v>17678</v>
      </c>
    </row>
    <row r="2022" spans="1:22">
      <c r="A2022" t="s">
        <v>17679</v>
      </c>
      <c r="B2022" t="s">
        <v>17679</v>
      </c>
      <c r="C2022" t="s">
        <v>17680</v>
      </c>
      <c r="D2022" t="s">
        <v>21</v>
      </c>
      <c r="E2022" s="14" t="s">
        <v>17055</v>
      </c>
      <c r="F2022" t="s">
        <v>359</v>
      </c>
      <c r="G2022" s="17" t="str">
        <f>Config!$B$3</f>
        <v>SCH/R_IEC.SchLib</v>
      </c>
      <c r="H2022" t="s">
        <v>419</v>
      </c>
      <c r="I2022" t="s">
        <v>461</v>
      </c>
      <c r="J2022" t="s">
        <v>18033</v>
      </c>
      <c r="M2022" s="3">
        <v>620000</v>
      </c>
      <c r="N2022" t="s">
        <v>17056</v>
      </c>
      <c r="O2022" t="s">
        <v>477</v>
      </c>
      <c r="P2022" t="s">
        <v>17681</v>
      </c>
      <c r="Q2022" t="s">
        <v>25</v>
      </c>
      <c r="R2022" t="s">
        <v>17682</v>
      </c>
    </row>
    <row r="2023" spans="1:22">
      <c r="A2023" t="s">
        <v>17683</v>
      </c>
      <c r="B2023" t="s">
        <v>17683</v>
      </c>
      <c r="C2023" t="s">
        <v>17684</v>
      </c>
      <c r="D2023" t="s">
        <v>21</v>
      </c>
      <c r="E2023" s="14" t="s">
        <v>17055</v>
      </c>
      <c r="F2023" t="s">
        <v>361</v>
      </c>
      <c r="G2023" s="17" t="str">
        <f>Config!$B$3</f>
        <v>SCH/R_IEC.SchLib</v>
      </c>
      <c r="H2023" t="s">
        <v>419</v>
      </c>
      <c r="I2023" t="s">
        <v>461</v>
      </c>
      <c r="J2023" t="s">
        <v>18033</v>
      </c>
      <c r="M2023" s="3">
        <v>680000</v>
      </c>
      <c r="N2023" t="s">
        <v>17056</v>
      </c>
      <c r="O2023" t="s">
        <v>477</v>
      </c>
      <c r="P2023" t="s">
        <v>17685</v>
      </c>
      <c r="Q2023" t="s">
        <v>25</v>
      </c>
      <c r="R2023" t="s">
        <v>17686</v>
      </c>
    </row>
    <row r="2024" spans="1:22">
      <c r="A2024" t="s">
        <v>17687</v>
      </c>
      <c r="B2024" t="s">
        <v>17687</v>
      </c>
      <c r="C2024" t="s">
        <v>17688</v>
      </c>
      <c r="D2024" t="s">
        <v>21</v>
      </c>
      <c r="E2024" s="14" t="s">
        <v>17055</v>
      </c>
      <c r="F2024" t="s">
        <v>363</v>
      </c>
      <c r="G2024" s="17" t="str">
        <f>Config!$B$3</f>
        <v>SCH/R_IEC.SchLib</v>
      </c>
      <c r="H2024" t="s">
        <v>419</v>
      </c>
      <c r="I2024" t="s">
        <v>461</v>
      </c>
      <c r="J2024" t="s">
        <v>18033</v>
      </c>
      <c r="M2024" s="3">
        <v>750000</v>
      </c>
      <c r="N2024" t="s">
        <v>17056</v>
      </c>
      <c r="O2024" t="s">
        <v>477</v>
      </c>
      <c r="P2024" t="s">
        <v>17689</v>
      </c>
      <c r="Q2024" t="s">
        <v>25</v>
      </c>
      <c r="R2024" t="s">
        <v>17690</v>
      </c>
    </row>
    <row r="2025" spans="1:22">
      <c r="A2025" t="s">
        <v>17691</v>
      </c>
      <c r="B2025" t="s">
        <v>17691</v>
      </c>
      <c r="C2025" t="s">
        <v>17692</v>
      </c>
      <c r="D2025" t="s">
        <v>21</v>
      </c>
      <c r="E2025" s="14" t="s">
        <v>17055</v>
      </c>
      <c r="F2025" t="s">
        <v>365</v>
      </c>
      <c r="G2025" s="17" t="str">
        <f>Config!$B$3</f>
        <v>SCH/R_IEC.SchLib</v>
      </c>
      <c r="H2025" t="s">
        <v>419</v>
      </c>
      <c r="I2025" t="s">
        <v>461</v>
      </c>
      <c r="J2025" t="s">
        <v>18033</v>
      </c>
      <c r="M2025" s="3">
        <v>820000</v>
      </c>
      <c r="N2025" t="s">
        <v>17056</v>
      </c>
      <c r="O2025" t="s">
        <v>477</v>
      </c>
      <c r="P2025" t="s">
        <v>17693</v>
      </c>
      <c r="Q2025" t="s">
        <v>25</v>
      </c>
      <c r="R2025" t="s">
        <v>17694</v>
      </c>
    </row>
    <row r="2026" spans="1:22">
      <c r="A2026" t="s">
        <v>17695</v>
      </c>
      <c r="B2026" t="s">
        <v>17695</v>
      </c>
      <c r="C2026" t="s">
        <v>17696</v>
      </c>
      <c r="D2026" t="s">
        <v>21</v>
      </c>
      <c r="E2026" s="14" t="s">
        <v>17055</v>
      </c>
      <c r="F2026" t="s">
        <v>367</v>
      </c>
      <c r="G2026" s="17" t="str">
        <f>Config!$B$3</f>
        <v>SCH/R_IEC.SchLib</v>
      </c>
      <c r="H2026" t="s">
        <v>419</v>
      </c>
      <c r="I2026" t="s">
        <v>461</v>
      </c>
      <c r="J2026" t="s">
        <v>18033</v>
      </c>
      <c r="M2026" s="3">
        <v>910000</v>
      </c>
      <c r="N2026" t="s">
        <v>17056</v>
      </c>
      <c r="O2026" t="s">
        <v>477</v>
      </c>
      <c r="P2026" t="s">
        <v>17697</v>
      </c>
      <c r="Q2026" t="s">
        <v>25</v>
      </c>
      <c r="R2026" t="s">
        <v>17698</v>
      </c>
    </row>
    <row r="2027" spans="1:22">
      <c r="A2027" t="s">
        <v>17699</v>
      </c>
      <c r="B2027" t="s">
        <v>17699</v>
      </c>
      <c r="C2027" t="s">
        <v>17700</v>
      </c>
      <c r="D2027" t="s">
        <v>21</v>
      </c>
      <c r="E2027" s="14" t="s">
        <v>17055</v>
      </c>
      <c r="F2027" t="s">
        <v>369</v>
      </c>
      <c r="G2027" s="17" t="str">
        <f>Config!$B$3</f>
        <v>SCH/R_IEC.SchLib</v>
      </c>
      <c r="H2027" t="s">
        <v>419</v>
      </c>
      <c r="I2027" t="s">
        <v>461</v>
      </c>
      <c r="J2027" t="s">
        <v>18033</v>
      </c>
      <c r="M2027" s="3">
        <v>1000000</v>
      </c>
      <c r="N2027" t="s">
        <v>17056</v>
      </c>
      <c r="O2027" t="s">
        <v>477</v>
      </c>
      <c r="P2027" t="s">
        <v>17701</v>
      </c>
      <c r="Q2027" t="s">
        <v>25</v>
      </c>
      <c r="R2027" t="s">
        <v>17702</v>
      </c>
      <c r="S2027" t="s">
        <v>477</v>
      </c>
      <c r="T2027" t="s">
        <v>17703</v>
      </c>
      <c r="U2027" t="s">
        <v>25</v>
      </c>
      <c r="V2027" t="s">
        <v>17704</v>
      </c>
    </row>
    <row r="2028" spans="1:22">
      <c r="A2028" t="s">
        <v>17705</v>
      </c>
      <c r="B2028" t="s">
        <v>17705</v>
      </c>
      <c r="C2028" t="s">
        <v>17706</v>
      </c>
      <c r="D2028" t="s">
        <v>21</v>
      </c>
      <c r="E2028" s="14" t="s">
        <v>17055</v>
      </c>
      <c r="F2028" t="s">
        <v>371</v>
      </c>
      <c r="G2028" s="17" t="str">
        <f>Config!$B$3</f>
        <v>SCH/R_IEC.SchLib</v>
      </c>
      <c r="H2028" t="s">
        <v>419</v>
      </c>
      <c r="I2028" t="s">
        <v>461</v>
      </c>
      <c r="J2028" t="s">
        <v>18033</v>
      </c>
      <c r="M2028" s="3">
        <v>1100000</v>
      </c>
      <c r="N2028" t="s">
        <v>17056</v>
      </c>
      <c r="O2028" t="s">
        <v>477</v>
      </c>
      <c r="P2028" t="s">
        <v>17707</v>
      </c>
      <c r="Q2028" t="s">
        <v>25</v>
      </c>
      <c r="R2028" t="s">
        <v>17708</v>
      </c>
    </row>
    <row r="2029" spans="1:22">
      <c r="A2029" t="s">
        <v>17709</v>
      </c>
      <c r="B2029" t="s">
        <v>17709</v>
      </c>
      <c r="C2029" t="s">
        <v>17710</v>
      </c>
      <c r="D2029" t="s">
        <v>21</v>
      </c>
      <c r="E2029" s="14" t="s">
        <v>17055</v>
      </c>
      <c r="F2029" t="s">
        <v>373</v>
      </c>
      <c r="G2029" s="17" t="str">
        <f>Config!$B$3</f>
        <v>SCH/R_IEC.SchLib</v>
      </c>
      <c r="H2029" t="s">
        <v>419</v>
      </c>
      <c r="I2029" t="s">
        <v>461</v>
      </c>
      <c r="J2029" t="s">
        <v>18033</v>
      </c>
      <c r="M2029" s="3">
        <v>1200000</v>
      </c>
      <c r="N2029" t="s">
        <v>17056</v>
      </c>
      <c r="O2029" t="s">
        <v>477</v>
      </c>
      <c r="P2029" t="s">
        <v>17711</v>
      </c>
      <c r="Q2029" t="s">
        <v>25</v>
      </c>
      <c r="R2029" t="s">
        <v>17712</v>
      </c>
    </row>
    <row r="2030" spans="1:22">
      <c r="A2030" t="s">
        <v>17713</v>
      </c>
      <c r="B2030" t="s">
        <v>17713</v>
      </c>
      <c r="C2030" t="s">
        <v>17714</v>
      </c>
      <c r="D2030" t="s">
        <v>21</v>
      </c>
      <c r="E2030" s="14" t="s">
        <v>17055</v>
      </c>
      <c r="F2030" t="s">
        <v>375</v>
      </c>
      <c r="G2030" s="17" t="str">
        <f>Config!$B$3</f>
        <v>SCH/R_IEC.SchLib</v>
      </c>
      <c r="H2030" t="s">
        <v>419</v>
      </c>
      <c r="I2030" t="s">
        <v>461</v>
      </c>
      <c r="J2030" t="s">
        <v>18033</v>
      </c>
      <c r="M2030" s="3">
        <v>1300000</v>
      </c>
      <c r="N2030" t="s">
        <v>17056</v>
      </c>
      <c r="O2030" t="s">
        <v>477</v>
      </c>
      <c r="P2030" t="s">
        <v>17715</v>
      </c>
      <c r="Q2030" t="s">
        <v>25</v>
      </c>
      <c r="R2030" t="s">
        <v>17716</v>
      </c>
    </row>
    <row r="2031" spans="1:22">
      <c r="A2031" t="s">
        <v>17717</v>
      </c>
      <c r="B2031" t="s">
        <v>17717</v>
      </c>
      <c r="C2031" t="s">
        <v>17718</v>
      </c>
      <c r="D2031" t="s">
        <v>21</v>
      </c>
      <c r="E2031" s="14" t="s">
        <v>17055</v>
      </c>
      <c r="F2031" t="s">
        <v>377</v>
      </c>
      <c r="G2031" s="17" t="str">
        <f>Config!$B$3</f>
        <v>SCH/R_IEC.SchLib</v>
      </c>
      <c r="H2031" t="s">
        <v>419</v>
      </c>
      <c r="I2031" t="s">
        <v>461</v>
      </c>
      <c r="J2031" t="s">
        <v>18033</v>
      </c>
      <c r="M2031" s="3">
        <v>1500000</v>
      </c>
      <c r="N2031" t="s">
        <v>17056</v>
      </c>
      <c r="O2031" t="s">
        <v>477</v>
      </c>
      <c r="P2031" t="s">
        <v>17719</v>
      </c>
      <c r="Q2031" t="s">
        <v>25</v>
      </c>
      <c r="R2031" t="s">
        <v>17720</v>
      </c>
    </row>
    <row r="2032" spans="1:22">
      <c r="A2032" t="s">
        <v>17721</v>
      </c>
      <c r="B2032" t="s">
        <v>17721</v>
      </c>
      <c r="C2032" t="s">
        <v>17722</v>
      </c>
      <c r="D2032" t="s">
        <v>21</v>
      </c>
      <c r="E2032" s="14" t="s">
        <v>17055</v>
      </c>
      <c r="F2032" t="s">
        <v>381</v>
      </c>
      <c r="G2032" s="17" t="str">
        <f>Config!$B$3</f>
        <v>SCH/R_IEC.SchLib</v>
      </c>
      <c r="H2032" t="s">
        <v>419</v>
      </c>
      <c r="I2032" t="s">
        <v>461</v>
      </c>
      <c r="J2032" t="s">
        <v>18033</v>
      </c>
      <c r="M2032" s="3">
        <v>1800000</v>
      </c>
      <c r="N2032" t="s">
        <v>17056</v>
      </c>
      <c r="O2032" t="s">
        <v>477</v>
      </c>
      <c r="P2032" t="s">
        <v>17723</v>
      </c>
      <c r="Q2032" t="s">
        <v>25</v>
      </c>
      <c r="R2032" t="s">
        <v>17724</v>
      </c>
    </row>
    <row r="2033" spans="1:18">
      <c r="A2033" t="s">
        <v>17725</v>
      </c>
      <c r="B2033" t="s">
        <v>17725</v>
      </c>
      <c r="C2033" t="s">
        <v>17726</v>
      </c>
      <c r="D2033" t="s">
        <v>21</v>
      </c>
      <c r="E2033" s="14" t="s">
        <v>17055</v>
      </c>
      <c r="F2033" t="s">
        <v>383</v>
      </c>
      <c r="G2033" s="17" t="str">
        <f>Config!$B$3</f>
        <v>SCH/R_IEC.SchLib</v>
      </c>
      <c r="H2033" t="s">
        <v>419</v>
      </c>
      <c r="I2033" t="s">
        <v>461</v>
      </c>
      <c r="J2033" t="s">
        <v>18033</v>
      </c>
      <c r="M2033" s="3">
        <v>2000000</v>
      </c>
      <c r="N2033" t="s">
        <v>17056</v>
      </c>
      <c r="O2033" t="s">
        <v>477</v>
      </c>
      <c r="P2033" t="s">
        <v>17727</v>
      </c>
      <c r="Q2033" t="s">
        <v>25</v>
      </c>
      <c r="R2033" t="s">
        <v>17728</v>
      </c>
    </row>
    <row r="2034" spans="1:18">
      <c r="A2034" t="s">
        <v>17729</v>
      </c>
      <c r="B2034" t="s">
        <v>17729</v>
      </c>
      <c r="C2034" t="s">
        <v>17730</v>
      </c>
      <c r="D2034" t="s">
        <v>21</v>
      </c>
      <c r="E2034" s="14" t="s">
        <v>17055</v>
      </c>
      <c r="F2034" t="s">
        <v>385</v>
      </c>
      <c r="G2034" s="17" t="str">
        <f>Config!$B$3</f>
        <v>SCH/R_IEC.SchLib</v>
      </c>
      <c r="H2034" t="s">
        <v>419</v>
      </c>
      <c r="I2034" t="s">
        <v>461</v>
      </c>
      <c r="J2034" t="s">
        <v>18033</v>
      </c>
      <c r="M2034" s="3">
        <v>2200000</v>
      </c>
      <c r="N2034" t="s">
        <v>17056</v>
      </c>
      <c r="O2034" t="s">
        <v>477</v>
      </c>
      <c r="P2034" t="s">
        <v>17731</v>
      </c>
      <c r="Q2034" t="s">
        <v>25</v>
      </c>
      <c r="R2034" t="s">
        <v>17732</v>
      </c>
    </row>
    <row r="2035" spans="1:18">
      <c r="A2035" t="s">
        <v>17733</v>
      </c>
      <c r="B2035" t="s">
        <v>17733</v>
      </c>
      <c r="C2035" t="s">
        <v>17734</v>
      </c>
      <c r="D2035" t="s">
        <v>21</v>
      </c>
      <c r="E2035" s="14" t="s">
        <v>17055</v>
      </c>
      <c r="F2035" t="s">
        <v>387</v>
      </c>
      <c r="G2035" s="17" t="str">
        <f>Config!$B$3</f>
        <v>SCH/R_IEC.SchLib</v>
      </c>
      <c r="H2035" t="s">
        <v>419</v>
      </c>
      <c r="I2035" t="s">
        <v>461</v>
      </c>
      <c r="J2035" t="s">
        <v>18033</v>
      </c>
      <c r="M2035" s="3">
        <v>2400000</v>
      </c>
      <c r="N2035" t="s">
        <v>17056</v>
      </c>
      <c r="O2035" t="s">
        <v>477</v>
      </c>
      <c r="P2035" t="s">
        <v>17735</v>
      </c>
      <c r="Q2035" t="s">
        <v>25</v>
      </c>
      <c r="R2035" t="s">
        <v>17736</v>
      </c>
    </row>
    <row r="2036" spans="1:18">
      <c r="A2036" t="s">
        <v>17737</v>
      </c>
      <c r="B2036" t="s">
        <v>17737</v>
      </c>
      <c r="C2036" t="s">
        <v>17738</v>
      </c>
      <c r="D2036" t="s">
        <v>21</v>
      </c>
      <c r="E2036" s="14" t="s">
        <v>17055</v>
      </c>
      <c r="F2036" t="s">
        <v>389</v>
      </c>
      <c r="G2036" s="17" t="str">
        <f>Config!$B$3</f>
        <v>SCH/R_IEC.SchLib</v>
      </c>
      <c r="H2036" t="s">
        <v>419</v>
      </c>
      <c r="I2036" t="s">
        <v>461</v>
      </c>
      <c r="J2036" t="s">
        <v>18033</v>
      </c>
      <c r="M2036" s="3">
        <v>2700000</v>
      </c>
      <c r="N2036" t="s">
        <v>17056</v>
      </c>
      <c r="O2036" t="s">
        <v>477</v>
      </c>
      <c r="P2036" t="s">
        <v>17739</v>
      </c>
      <c r="Q2036" t="s">
        <v>25</v>
      </c>
      <c r="R2036" t="s">
        <v>17740</v>
      </c>
    </row>
    <row r="2037" spans="1:18">
      <c r="A2037" t="s">
        <v>17741</v>
      </c>
      <c r="B2037" t="s">
        <v>17741</v>
      </c>
      <c r="C2037" t="s">
        <v>17742</v>
      </c>
      <c r="D2037" t="s">
        <v>21</v>
      </c>
      <c r="E2037" s="14" t="s">
        <v>17055</v>
      </c>
      <c r="F2037" t="s">
        <v>391</v>
      </c>
      <c r="G2037" s="17" t="str">
        <f>Config!$B$3</f>
        <v>SCH/R_IEC.SchLib</v>
      </c>
      <c r="H2037" t="s">
        <v>419</v>
      </c>
      <c r="I2037" t="s">
        <v>461</v>
      </c>
      <c r="J2037" t="s">
        <v>18033</v>
      </c>
      <c r="M2037" s="3">
        <v>3000000</v>
      </c>
      <c r="N2037" t="s">
        <v>17056</v>
      </c>
      <c r="O2037" t="s">
        <v>477</v>
      </c>
      <c r="P2037" t="s">
        <v>17743</v>
      </c>
      <c r="Q2037" t="s">
        <v>25</v>
      </c>
      <c r="R2037" t="s">
        <v>17744</v>
      </c>
    </row>
    <row r="2038" spans="1:18">
      <c r="A2038" t="s">
        <v>17745</v>
      </c>
      <c r="B2038" t="s">
        <v>17745</v>
      </c>
      <c r="C2038" t="s">
        <v>17746</v>
      </c>
      <c r="D2038" t="s">
        <v>21</v>
      </c>
      <c r="E2038" s="14" t="s">
        <v>17055</v>
      </c>
      <c r="F2038" t="s">
        <v>393</v>
      </c>
      <c r="G2038" s="17" t="str">
        <f>Config!$B$3</f>
        <v>SCH/R_IEC.SchLib</v>
      </c>
      <c r="H2038" t="s">
        <v>419</v>
      </c>
      <c r="I2038" t="s">
        <v>461</v>
      </c>
      <c r="J2038" t="s">
        <v>18033</v>
      </c>
      <c r="M2038" s="3">
        <v>3300000</v>
      </c>
      <c r="N2038" t="s">
        <v>17056</v>
      </c>
      <c r="O2038" t="s">
        <v>477</v>
      </c>
      <c r="P2038" t="s">
        <v>17747</v>
      </c>
      <c r="Q2038" t="s">
        <v>25</v>
      </c>
      <c r="R2038" t="s">
        <v>17748</v>
      </c>
    </row>
    <row r="2039" spans="1:18">
      <c r="A2039" t="s">
        <v>17749</v>
      </c>
      <c r="B2039" t="s">
        <v>17749</v>
      </c>
      <c r="C2039" t="s">
        <v>17750</v>
      </c>
      <c r="D2039" t="s">
        <v>21</v>
      </c>
      <c r="E2039" s="14" t="s">
        <v>17055</v>
      </c>
      <c r="F2039" t="s">
        <v>395</v>
      </c>
      <c r="G2039" s="17" t="str">
        <f>Config!$B$3</f>
        <v>SCH/R_IEC.SchLib</v>
      </c>
      <c r="H2039" t="s">
        <v>419</v>
      </c>
      <c r="I2039" t="s">
        <v>461</v>
      </c>
      <c r="J2039" t="s">
        <v>18033</v>
      </c>
      <c r="M2039" s="3">
        <v>3600000</v>
      </c>
      <c r="N2039" t="s">
        <v>17056</v>
      </c>
      <c r="O2039" t="s">
        <v>477</v>
      </c>
      <c r="P2039" t="s">
        <v>17751</v>
      </c>
      <c r="Q2039" t="s">
        <v>25</v>
      </c>
      <c r="R2039" t="s">
        <v>17752</v>
      </c>
    </row>
    <row r="2040" spans="1:18">
      <c r="A2040" t="s">
        <v>17753</v>
      </c>
      <c r="B2040" t="s">
        <v>17753</v>
      </c>
      <c r="C2040" t="s">
        <v>17754</v>
      </c>
      <c r="D2040" t="s">
        <v>21</v>
      </c>
      <c r="E2040" s="14" t="s">
        <v>17055</v>
      </c>
      <c r="F2040" t="s">
        <v>397</v>
      </c>
      <c r="G2040" s="17" t="str">
        <f>Config!$B$3</f>
        <v>SCH/R_IEC.SchLib</v>
      </c>
      <c r="H2040" t="s">
        <v>419</v>
      </c>
      <c r="I2040" t="s">
        <v>461</v>
      </c>
      <c r="J2040" t="s">
        <v>18033</v>
      </c>
      <c r="M2040" s="3">
        <v>3900000</v>
      </c>
      <c r="N2040" t="s">
        <v>17056</v>
      </c>
      <c r="O2040" t="s">
        <v>477</v>
      </c>
      <c r="P2040" t="s">
        <v>17755</v>
      </c>
      <c r="Q2040" t="s">
        <v>25</v>
      </c>
      <c r="R2040" t="s">
        <v>17756</v>
      </c>
    </row>
    <row r="2041" spans="1:18">
      <c r="A2041" t="s">
        <v>17757</v>
      </c>
      <c r="B2041" t="s">
        <v>17757</v>
      </c>
      <c r="C2041" t="s">
        <v>17758</v>
      </c>
      <c r="D2041" t="s">
        <v>21</v>
      </c>
      <c r="E2041" s="14" t="s">
        <v>17055</v>
      </c>
      <c r="F2041" t="s">
        <v>399</v>
      </c>
      <c r="G2041" s="17" t="str">
        <f>Config!$B$3</f>
        <v>SCH/R_IEC.SchLib</v>
      </c>
      <c r="H2041" t="s">
        <v>419</v>
      </c>
      <c r="I2041" t="s">
        <v>461</v>
      </c>
      <c r="J2041" t="s">
        <v>18033</v>
      </c>
      <c r="M2041" s="3">
        <v>4300000</v>
      </c>
      <c r="N2041" t="s">
        <v>17056</v>
      </c>
      <c r="O2041" t="s">
        <v>477</v>
      </c>
      <c r="P2041" t="s">
        <v>17759</v>
      </c>
      <c r="Q2041" t="s">
        <v>25</v>
      </c>
      <c r="R2041" t="s">
        <v>17760</v>
      </c>
    </row>
    <row r="2042" spans="1:18">
      <c r="A2042" t="s">
        <v>17761</v>
      </c>
      <c r="B2042" t="s">
        <v>17761</v>
      </c>
      <c r="C2042" t="s">
        <v>17762</v>
      </c>
      <c r="D2042" t="s">
        <v>21</v>
      </c>
      <c r="E2042" s="14" t="s">
        <v>17055</v>
      </c>
      <c r="F2042" t="s">
        <v>401</v>
      </c>
      <c r="G2042" s="17" t="str">
        <f>Config!$B$3</f>
        <v>SCH/R_IEC.SchLib</v>
      </c>
      <c r="H2042" t="s">
        <v>419</v>
      </c>
      <c r="I2042" t="s">
        <v>461</v>
      </c>
      <c r="J2042" t="s">
        <v>18033</v>
      </c>
      <c r="M2042" s="3">
        <v>4700000</v>
      </c>
      <c r="N2042" t="s">
        <v>17056</v>
      </c>
      <c r="O2042" t="s">
        <v>477</v>
      </c>
      <c r="P2042" t="s">
        <v>17763</v>
      </c>
      <c r="Q2042" t="s">
        <v>25</v>
      </c>
      <c r="R2042" t="s">
        <v>17764</v>
      </c>
    </row>
    <row r="2043" spans="1:18">
      <c r="A2043" t="s">
        <v>17765</v>
      </c>
      <c r="B2043" t="s">
        <v>17765</v>
      </c>
      <c r="C2043" t="s">
        <v>17766</v>
      </c>
      <c r="D2043" t="s">
        <v>21</v>
      </c>
      <c r="E2043" s="14" t="s">
        <v>17055</v>
      </c>
      <c r="F2043" t="s">
        <v>403</v>
      </c>
      <c r="G2043" s="17" t="str">
        <f>Config!$B$3</f>
        <v>SCH/R_IEC.SchLib</v>
      </c>
      <c r="H2043" t="s">
        <v>419</v>
      </c>
      <c r="I2043" t="s">
        <v>461</v>
      </c>
      <c r="J2043" t="s">
        <v>18033</v>
      </c>
      <c r="M2043" s="3">
        <v>5100000</v>
      </c>
      <c r="N2043" t="s">
        <v>17056</v>
      </c>
      <c r="O2043" t="s">
        <v>477</v>
      </c>
      <c r="P2043" t="s">
        <v>17767</v>
      </c>
      <c r="Q2043" t="s">
        <v>25</v>
      </c>
      <c r="R2043" t="s">
        <v>17768</v>
      </c>
    </row>
    <row r="2044" spans="1:18">
      <c r="A2044" t="s">
        <v>17769</v>
      </c>
      <c r="B2044" t="s">
        <v>17769</v>
      </c>
      <c r="C2044" t="s">
        <v>17770</v>
      </c>
      <c r="D2044" t="s">
        <v>21</v>
      </c>
      <c r="E2044" s="14" t="s">
        <v>17055</v>
      </c>
      <c r="F2044" t="s">
        <v>405</v>
      </c>
      <c r="G2044" s="17" t="str">
        <f>Config!$B$3</f>
        <v>SCH/R_IEC.SchLib</v>
      </c>
      <c r="H2044" t="s">
        <v>419</v>
      </c>
      <c r="I2044" t="s">
        <v>461</v>
      </c>
      <c r="J2044" t="s">
        <v>18033</v>
      </c>
      <c r="M2044" s="3">
        <v>5600000</v>
      </c>
      <c r="N2044" t="s">
        <v>17056</v>
      </c>
      <c r="O2044" t="s">
        <v>477</v>
      </c>
      <c r="P2044" t="s">
        <v>17771</v>
      </c>
      <c r="Q2044" t="s">
        <v>25</v>
      </c>
      <c r="R2044" t="s">
        <v>17772</v>
      </c>
    </row>
    <row r="2045" spans="1:18">
      <c r="A2045" t="s">
        <v>17773</v>
      </c>
      <c r="B2045" t="s">
        <v>17773</v>
      </c>
      <c r="C2045" t="s">
        <v>17774</v>
      </c>
      <c r="D2045" t="s">
        <v>21</v>
      </c>
      <c r="E2045" s="14" t="s">
        <v>17055</v>
      </c>
      <c r="F2045" t="s">
        <v>415</v>
      </c>
      <c r="G2045" s="17" t="str">
        <f>Config!$B$3</f>
        <v>SCH/R_IEC.SchLib</v>
      </c>
      <c r="H2045" t="s">
        <v>419</v>
      </c>
      <c r="I2045" t="s">
        <v>461</v>
      </c>
      <c r="J2045" t="s">
        <v>18033</v>
      </c>
      <c r="M2045" s="3">
        <v>9100000</v>
      </c>
      <c r="N2045" t="s">
        <v>17056</v>
      </c>
      <c r="O2045" t="s">
        <v>477</v>
      </c>
      <c r="P2045" t="s">
        <v>17775</v>
      </c>
      <c r="Q2045" t="s">
        <v>25</v>
      </c>
      <c r="R2045" t="s">
        <v>17776</v>
      </c>
    </row>
    <row r="2046" spans="1:18">
      <c r="A2046" t="s">
        <v>17777</v>
      </c>
      <c r="B2046" t="s">
        <v>17777</v>
      </c>
      <c r="C2046" t="s">
        <v>17778</v>
      </c>
      <c r="D2046" t="s">
        <v>21</v>
      </c>
      <c r="E2046" s="14" t="s">
        <v>17055</v>
      </c>
      <c r="F2046" t="s">
        <v>417</v>
      </c>
      <c r="G2046" s="17" t="str">
        <f>Config!$B$3</f>
        <v>SCH/R_IEC.SchLib</v>
      </c>
      <c r="H2046" t="s">
        <v>419</v>
      </c>
      <c r="I2046" t="s">
        <v>461</v>
      </c>
      <c r="J2046" t="s">
        <v>18033</v>
      </c>
      <c r="M2046" s="3">
        <v>10000000</v>
      </c>
      <c r="N2046" t="s">
        <v>17056</v>
      </c>
      <c r="O2046" t="s">
        <v>477</v>
      </c>
      <c r="P2046" t="s">
        <v>17779</v>
      </c>
      <c r="Q2046" t="s">
        <v>25</v>
      </c>
      <c r="R2046" t="s">
        <v>17780</v>
      </c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2" r:id="rId1" display="https://www.lcsc.com/brand-detail/111.html" xr:uid="{D1F73D38-97E7-4193-911A-B7DA160312CB}"/>
    <hyperlink ref="N1394" r:id="rId2" xr:uid="{AC285E63-2C6B-4B42-AB35-DC4C22C3409A}"/>
    <hyperlink ref="N1402" r:id="rId3" xr:uid="{4B89F9F3-6532-44BA-832A-68A491748768}"/>
    <hyperlink ref="N1403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254"/>
  <sheetViews>
    <sheetView workbookViewId="0">
      <pane xSplit="2" ySplit="1" topLeftCell="M147" activePane="bottomRight" state="frozen"/>
      <selection pane="topRight" activeCell="C1" sqref="C1"/>
      <selection pane="bottomLeft" activeCell="A2" sqref="A2"/>
      <selection pane="bottomRight" activeCell="Z187" sqref="Z187"/>
    </sheetView>
  </sheetViews>
  <sheetFormatPr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 t="s">
        <v>1032</v>
      </c>
      <c r="V16" t="s">
        <v>1032</v>
      </c>
      <c r="W16" t="s">
        <v>4559</v>
      </c>
      <c r="X16" t="s">
        <v>16835</v>
      </c>
      <c r="Y16" t="s">
        <v>4728</v>
      </c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 t="s">
        <v>477</v>
      </c>
      <c r="V35" t="s">
        <v>698</v>
      </c>
      <c r="W35" t="s">
        <v>4559</v>
      </c>
      <c r="X35" t="s">
        <v>16843</v>
      </c>
      <c r="Y35" t="s">
        <v>4727</v>
      </c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 t="s">
        <v>16838</v>
      </c>
      <c r="V71" t="s">
        <v>16839</v>
      </c>
      <c r="W71" t="s">
        <v>4559</v>
      </c>
      <c r="X71" t="s">
        <v>16840</v>
      </c>
      <c r="Y71" t="s">
        <v>4728</v>
      </c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 ht="15.75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 t="s">
        <v>1032</v>
      </c>
      <c r="V92" t="s">
        <v>16836</v>
      </c>
      <c r="W92" t="s">
        <v>4559</v>
      </c>
      <c r="X92" t="s">
        <v>16837</v>
      </c>
      <c r="Y92" s="8" t="s">
        <v>4727</v>
      </c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16752</v>
      </c>
      <c r="B173" t="s">
        <v>16752</v>
      </c>
      <c r="C173" t="s">
        <v>16753</v>
      </c>
      <c r="D173" t="s">
        <v>21</v>
      </c>
      <c r="E173" s="14" t="s">
        <v>6449</v>
      </c>
      <c r="F173" t="s">
        <v>16754</v>
      </c>
      <c r="G173" t="str">
        <f>Config!$B$4</f>
        <v>SCH/C_IEC.SchLib</v>
      </c>
      <c r="H173" t="s">
        <v>425</v>
      </c>
      <c r="I173" t="s">
        <v>461</v>
      </c>
      <c r="J173" t="s">
        <v>16755</v>
      </c>
      <c r="K173" s="3">
        <v>1.9999999999999999E-11</v>
      </c>
      <c r="L173" t="s">
        <v>16756</v>
      </c>
      <c r="M173" t="s">
        <v>1032</v>
      </c>
      <c r="N173" t="s">
        <v>16757</v>
      </c>
      <c r="O173" t="s">
        <v>25</v>
      </c>
      <c r="P173" t="s">
        <v>16758</v>
      </c>
      <c r="U173" t="s">
        <v>1032</v>
      </c>
      <c r="V173" t="s">
        <v>16757</v>
      </c>
      <c r="W173" t="s">
        <v>4559</v>
      </c>
      <c r="X173" t="s">
        <v>16759</v>
      </c>
      <c r="Y173" t="s">
        <v>4728</v>
      </c>
    </row>
    <row r="174" spans="1:26">
      <c r="A174" t="s">
        <v>1024</v>
      </c>
      <c r="B174" t="s">
        <v>1024</v>
      </c>
      <c r="C174" t="s">
        <v>1025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1028</v>
      </c>
      <c r="M174" t="s">
        <v>1029</v>
      </c>
      <c r="N174" t="s">
        <v>1030</v>
      </c>
      <c r="O174" t="s">
        <v>25</v>
      </c>
      <c r="P174" t="s">
        <v>1031</v>
      </c>
      <c r="Q174" t="s">
        <v>1032</v>
      </c>
      <c r="R174" t="s">
        <v>1033</v>
      </c>
      <c r="S174" t="s">
        <v>25</v>
      </c>
      <c r="T174" t="s">
        <v>1034</v>
      </c>
      <c r="W174" t="s">
        <v>4559</v>
      </c>
      <c r="X174" t="s">
        <v>6602</v>
      </c>
      <c r="Y174" t="s">
        <v>4728</v>
      </c>
      <c r="Z174" t="s">
        <v>6548</v>
      </c>
    </row>
    <row r="175" spans="1:26">
      <c r="A175" t="s">
        <v>4769</v>
      </c>
      <c r="B175" t="s">
        <v>4769</v>
      </c>
      <c r="C175" t="s">
        <v>4770</v>
      </c>
      <c r="D175" t="s">
        <v>21</v>
      </c>
      <c r="E175" s="14" t="s">
        <v>6449</v>
      </c>
      <c r="F175" t="s">
        <v>1026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1.0000000000000001E-5</v>
      </c>
      <c r="L175" t="s">
        <v>6156</v>
      </c>
      <c r="M175" t="s">
        <v>4771</v>
      </c>
      <c r="N175" t="s">
        <v>6155</v>
      </c>
      <c r="O175" t="s">
        <v>25</v>
      </c>
      <c r="P175" t="s">
        <v>6154</v>
      </c>
      <c r="U175" t="s">
        <v>4771</v>
      </c>
      <c r="V175" t="s">
        <v>4772</v>
      </c>
      <c r="W175" t="s">
        <v>4559</v>
      </c>
      <c r="X175" t="s">
        <v>4773</v>
      </c>
      <c r="Y175" t="s">
        <v>4728</v>
      </c>
      <c r="Z175" t="s">
        <v>6536</v>
      </c>
    </row>
    <row r="176" spans="1:26">
      <c r="A176" t="s">
        <v>4774</v>
      </c>
      <c r="B176" t="s">
        <v>4774</v>
      </c>
      <c r="C176" t="s">
        <v>4775</v>
      </c>
      <c r="D176" t="s">
        <v>21</v>
      </c>
      <c r="E176" s="14" t="s">
        <v>6449</v>
      </c>
      <c r="F176" t="s">
        <v>4534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2.1999999999999999E-5</v>
      </c>
      <c r="L176" t="s">
        <v>6159</v>
      </c>
      <c r="M176" t="s">
        <v>1032</v>
      </c>
      <c r="N176" t="s">
        <v>6158</v>
      </c>
      <c r="O176" t="s">
        <v>25</v>
      </c>
      <c r="P176" t="s">
        <v>6157</v>
      </c>
      <c r="U176" t="s">
        <v>1032</v>
      </c>
      <c r="V176" t="s">
        <v>4776</v>
      </c>
      <c r="W176" t="s">
        <v>4559</v>
      </c>
      <c r="X176" t="s">
        <v>4777</v>
      </c>
      <c r="Y176" t="s">
        <v>4728</v>
      </c>
      <c r="Z176" t="s">
        <v>6549</v>
      </c>
    </row>
    <row r="177" spans="1:26" ht="15.75">
      <c r="A177" t="s">
        <v>18083</v>
      </c>
      <c r="B177" t="s">
        <v>18083</v>
      </c>
      <c r="C177" t="s">
        <v>18084</v>
      </c>
      <c r="D177" t="s">
        <v>21</v>
      </c>
      <c r="E177" s="14" t="s">
        <v>22</v>
      </c>
      <c r="F177" t="s">
        <v>6174</v>
      </c>
      <c r="G177" t="str">
        <f>Config!$B$4</f>
        <v>SCH/C_IEC.SchLib</v>
      </c>
      <c r="H177" t="s">
        <v>425</v>
      </c>
      <c r="I177" t="s">
        <v>461</v>
      </c>
      <c r="J177" t="s">
        <v>775</v>
      </c>
      <c r="K177" s="3">
        <v>4.6999999999999999E-6</v>
      </c>
      <c r="L177" t="s">
        <v>18087</v>
      </c>
      <c r="M177" t="s">
        <v>4298</v>
      </c>
      <c r="N177" t="s">
        <v>18085</v>
      </c>
      <c r="O177" t="s">
        <v>25</v>
      </c>
      <c r="P177" t="s">
        <v>18086</v>
      </c>
      <c r="U177" t="s">
        <v>6186</v>
      </c>
      <c r="V177" s="10" t="s">
        <v>6188</v>
      </c>
      <c r="W177" t="s">
        <v>4559</v>
      </c>
      <c r="X177" s="10" t="s">
        <v>6187</v>
      </c>
      <c r="Z177" t="s">
        <v>6550</v>
      </c>
    </row>
    <row r="178" spans="1:26" ht="16.5">
      <c r="A178" t="s">
        <v>10654</v>
      </c>
      <c r="B178" t="s">
        <v>10654</v>
      </c>
      <c r="C178" t="s">
        <v>6182</v>
      </c>
      <c r="D178" t="s">
        <v>21</v>
      </c>
      <c r="E178" s="14" t="s">
        <v>6449</v>
      </c>
      <c r="F178" t="s">
        <v>6174</v>
      </c>
      <c r="G178" t="str">
        <f>Config!$B$4</f>
        <v>SCH/C_IEC.SchLib</v>
      </c>
      <c r="H178" t="s">
        <v>425</v>
      </c>
      <c r="I178" t="s">
        <v>461</v>
      </c>
      <c r="J178" t="s">
        <v>1027</v>
      </c>
      <c r="K178" s="3">
        <v>4.6999999999999999E-6</v>
      </c>
      <c r="L178" t="s">
        <v>6185</v>
      </c>
      <c r="M178" t="s">
        <v>4298</v>
      </c>
      <c r="N178" t="s">
        <v>6184</v>
      </c>
      <c r="O178" t="s">
        <v>25</v>
      </c>
      <c r="P178" t="s">
        <v>6183</v>
      </c>
      <c r="U178" s="9" t="s">
        <v>18089</v>
      </c>
      <c r="V178" s="9" t="s">
        <v>18088</v>
      </c>
      <c r="W178" t="s">
        <v>4559</v>
      </c>
      <c r="X178" s="9" t="s">
        <v>18090</v>
      </c>
      <c r="Z178" t="s">
        <v>6550</v>
      </c>
    </row>
    <row r="179" spans="1:26">
      <c r="A179" t="s">
        <v>4536</v>
      </c>
      <c r="B179" t="s">
        <v>4536</v>
      </c>
      <c r="C179" t="s">
        <v>4535</v>
      </c>
      <c r="D179" t="s">
        <v>21</v>
      </c>
      <c r="E179" s="14" t="s">
        <v>6449</v>
      </c>
      <c r="F179" t="s">
        <v>4534</v>
      </c>
      <c r="G179" t="str">
        <f>Config!$B$4</f>
        <v>SCH/C_IEC.SchLib</v>
      </c>
      <c r="H179" t="s">
        <v>425</v>
      </c>
      <c r="I179" t="s">
        <v>461</v>
      </c>
      <c r="J179" t="s">
        <v>1027</v>
      </c>
      <c r="K179" s="3">
        <v>2.1999999999999999E-5</v>
      </c>
      <c r="L179" t="s">
        <v>4531</v>
      </c>
      <c r="M179" t="s">
        <v>4298</v>
      </c>
      <c r="N179" t="s">
        <v>4529</v>
      </c>
      <c r="O179" t="s">
        <v>25</v>
      </c>
      <c r="P179" t="s">
        <v>4530</v>
      </c>
      <c r="Q179" t="s">
        <v>4298</v>
      </c>
      <c r="R179" t="s">
        <v>4533</v>
      </c>
      <c r="S179" t="s">
        <v>25</v>
      </c>
      <c r="T179" t="s">
        <v>4532</v>
      </c>
      <c r="Z179" t="s">
        <v>6551</v>
      </c>
    </row>
    <row r="180" spans="1:26">
      <c r="A180" t="s">
        <v>14576</v>
      </c>
      <c r="B180" t="s">
        <v>14576</v>
      </c>
      <c r="C180" t="s">
        <v>14577</v>
      </c>
      <c r="D180" t="s">
        <v>21</v>
      </c>
      <c r="E180" s="14" t="s">
        <v>6767</v>
      </c>
      <c r="F180" t="s">
        <v>13350</v>
      </c>
      <c r="G180" t="str">
        <f>Config!$B$4</f>
        <v>SCH/C_IEC.SchLib</v>
      </c>
      <c r="H180" t="s">
        <v>425</v>
      </c>
      <c r="I180" t="s">
        <v>461</v>
      </c>
      <c r="J180" t="s">
        <v>12535</v>
      </c>
      <c r="K180" s="3">
        <v>2.2000000000000001E-6</v>
      </c>
      <c r="L180" t="s">
        <v>14070</v>
      </c>
      <c r="M180" t="s">
        <v>477</v>
      </c>
      <c r="N180" t="s">
        <v>14578</v>
      </c>
      <c r="O180" t="s">
        <v>25</v>
      </c>
      <c r="P180" t="s">
        <v>14579</v>
      </c>
      <c r="U180" t="s">
        <v>477</v>
      </c>
      <c r="V180" t="s">
        <v>14578</v>
      </c>
      <c r="W180" t="s">
        <v>4559</v>
      </c>
      <c r="X180" t="s">
        <v>14580</v>
      </c>
      <c r="Y180" t="s">
        <v>4727</v>
      </c>
    </row>
    <row r="181" spans="1:26">
      <c r="A181" t="s">
        <v>10655</v>
      </c>
      <c r="B181" t="s">
        <v>10655</v>
      </c>
      <c r="C181" t="s">
        <v>6179</v>
      </c>
      <c r="D181" t="s">
        <v>21</v>
      </c>
      <c r="E181" s="14">
        <v>1210</v>
      </c>
      <c r="F181" t="s">
        <v>6174</v>
      </c>
      <c r="G181" t="str">
        <f>Config!$B$4</f>
        <v>SCH/C_IEC.SchLib</v>
      </c>
      <c r="H181" t="s">
        <v>425</v>
      </c>
      <c r="I181" t="s">
        <v>461</v>
      </c>
      <c r="J181" t="s">
        <v>6178</v>
      </c>
      <c r="K181" s="3">
        <v>4.6999999999999999E-6</v>
      </c>
      <c r="L181" t="s">
        <v>6175</v>
      </c>
      <c r="M181" t="s">
        <v>4298</v>
      </c>
      <c r="N181" t="s">
        <v>6177</v>
      </c>
      <c r="O181" t="s">
        <v>25</v>
      </c>
      <c r="P181" t="s">
        <v>6176</v>
      </c>
      <c r="U181" t="s">
        <v>6173</v>
      </c>
      <c r="V181" t="s">
        <v>6181</v>
      </c>
      <c r="W181" t="s">
        <v>4559</v>
      </c>
      <c r="X181" t="s">
        <v>6180</v>
      </c>
      <c r="Z181" t="s">
        <v>6537</v>
      </c>
    </row>
    <row r="182" spans="1:26" ht="15.75">
      <c r="A182" t="s">
        <v>6189</v>
      </c>
      <c r="B182" t="s">
        <v>6189</v>
      </c>
      <c r="C182" t="s">
        <v>6190</v>
      </c>
      <c r="D182" t="s">
        <v>21</v>
      </c>
      <c r="E182" s="14">
        <v>1210</v>
      </c>
      <c r="F182" t="s">
        <v>4534</v>
      </c>
      <c r="G182" t="str">
        <f>Config!$B$4</f>
        <v>SCH/C_IEC.SchLib</v>
      </c>
      <c r="H182" t="s">
        <v>425</v>
      </c>
      <c r="I182" t="s">
        <v>461</v>
      </c>
      <c r="J182" t="s">
        <v>6178</v>
      </c>
      <c r="K182" s="3">
        <v>2.1999999999999999E-5</v>
      </c>
      <c r="L182" t="s">
        <v>6191</v>
      </c>
      <c r="M182" t="s">
        <v>1032</v>
      </c>
      <c r="N182" t="s">
        <v>6192</v>
      </c>
      <c r="O182" t="s">
        <v>25</v>
      </c>
      <c r="P182" t="s">
        <v>6193</v>
      </c>
      <c r="U182" t="s">
        <v>6196</v>
      </c>
      <c r="V182" s="10" t="s">
        <v>6194</v>
      </c>
      <c r="W182" t="s">
        <v>4559</v>
      </c>
      <c r="X182" s="10" t="s">
        <v>6195</v>
      </c>
      <c r="Z182" t="s">
        <v>6552</v>
      </c>
    </row>
    <row r="183" spans="1:26">
      <c r="A183" t="s">
        <v>6282</v>
      </c>
      <c r="B183" t="s">
        <v>6282</v>
      </c>
      <c r="C183" t="s">
        <v>6283</v>
      </c>
      <c r="D183" t="s">
        <v>21</v>
      </c>
      <c r="E183" s="14" t="s">
        <v>6284</v>
      </c>
      <c r="F183" t="s">
        <v>6285</v>
      </c>
      <c r="G183" t="str">
        <f>Config!$B$4</f>
        <v>SCH/C_IEC.SchLib</v>
      </c>
      <c r="H183" t="s">
        <v>6286</v>
      </c>
      <c r="I183" t="s">
        <v>6287</v>
      </c>
      <c r="J183" t="s">
        <v>6662</v>
      </c>
      <c r="K183" s="3">
        <v>10</v>
      </c>
      <c r="L183" t="s">
        <v>6288</v>
      </c>
      <c r="M183" t="s">
        <v>6289</v>
      </c>
      <c r="N183" t="s">
        <v>6281</v>
      </c>
      <c r="O183" t="s">
        <v>25</v>
      </c>
      <c r="P183" t="s">
        <v>6290</v>
      </c>
      <c r="U183" t="s">
        <v>4592</v>
      </c>
      <c r="V183" t="s">
        <v>6292</v>
      </c>
      <c r="W183" t="s">
        <v>4559</v>
      </c>
      <c r="X183" s="5" t="s">
        <v>6291</v>
      </c>
    </row>
    <row r="184" spans="1:26">
      <c r="A184" t="s">
        <v>6405</v>
      </c>
      <c r="B184" t="s">
        <v>6405</v>
      </c>
      <c r="C184" t="s">
        <v>6406</v>
      </c>
      <c r="D184" t="s">
        <v>21</v>
      </c>
      <c r="E184" s="14" t="s">
        <v>6284</v>
      </c>
      <c r="F184" t="s">
        <v>6407</v>
      </c>
      <c r="G184" t="str">
        <f>Config!$B$4</f>
        <v>SCH/C_IEC.SchLib</v>
      </c>
      <c r="H184" t="s">
        <v>6286</v>
      </c>
      <c r="I184" t="s">
        <v>6287</v>
      </c>
      <c r="J184" t="s">
        <v>6662</v>
      </c>
      <c r="K184" s="3">
        <v>8.2000000000000001E-5</v>
      </c>
      <c r="L184" t="s">
        <v>6408</v>
      </c>
      <c r="M184" t="s">
        <v>6409</v>
      </c>
      <c r="N184" t="s">
        <v>6411</v>
      </c>
      <c r="O184" t="s">
        <v>25</v>
      </c>
      <c r="P184" t="s">
        <v>6410</v>
      </c>
    </row>
    <row r="185" spans="1:26">
      <c r="A185" t="s">
        <v>6768</v>
      </c>
      <c r="B185" t="s">
        <v>6768</v>
      </c>
      <c r="C185" t="s">
        <v>6769</v>
      </c>
      <c r="D185" t="s">
        <v>21</v>
      </c>
      <c r="E185" s="14" t="s">
        <v>6775</v>
      </c>
      <c r="F185" t="s">
        <v>6776</v>
      </c>
      <c r="G185" t="str">
        <f>Config!$B$4</f>
        <v>SCH/C_IEC.SchLib</v>
      </c>
      <c r="H185" t="s">
        <v>425</v>
      </c>
      <c r="I185" t="s">
        <v>461</v>
      </c>
      <c r="J185" t="s">
        <v>6178</v>
      </c>
      <c r="K185" s="3">
        <v>1.0000000000000001E-9</v>
      </c>
      <c r="L185" t="s">
        <v>6822</v>
      </c>
      <c r="M185" t="s">
        <v>6814</v>
      </c>
      <c r="N185" t="s">
        <v>6813</v>
      </c>
      <c r="O185" t="s">
        <v>25</v>
      </c>
      <c r="P185" s="17" t="s">
        <v>6812</v>
      </c>
      <c r="U185" t="s">
        <v>4592</v>
      </c>
      <c r="V185" s="5" t="s">
        <v>6815</v>
      </c>
      <c r="W185" t="s">
        <v>4559</v>
      </c>
      <c r="X185" s="5" t="s">
        <v>6816</v>
      </c>
    </row>
    <row r="186" spans="1:26">
      <c r="A186" t="s">
        <v>6826</v>
      </c>
      <c r="B186" t="s">
        <v>6826</v>
      </c>
      <c r="C186" t="s">
        <v>6833</v>
      </c>
      <c r="D186" t="s">
        <v>21</v>
      </c>
      <c r="E186" s="14" t="s">
        <v>6284</v>
      </c>
      <c r="F186" t="s">
        <v>6774</v>
      </c>
      <c r="G186" t="str">
        <f>Config!$B$4</f>
        <v>SCH/C_IEC.SchLib</v>
      </c>
      <c r="H186" t="s">
        <v>6286</v>
      </c>
      <c r="I186" t="s">
        <v>6287</v>
      </c>
      <c r="J186" t="s">
        <v>6828</v>
      </c>
      <c r="K186" s="3">
        <v>4.6999999999999997E-5</v>
      </c>
      <c r="L186" t="s">
        <v>6827</v>
      </c>
      <c r="M186" t="s">
        <v>6825</v>
      </c>
      <c r="N186" t="s">
        <v>6823</v>
      </c>
      <c r="O186" t="s">
        <v>25</v>
      </c>
      <c r="P186" t="s">
        <v>6824</v>
      </c>
      <c r="U186" t="s">
        <v>6831</v>
      </c>
      <c r="V186" s="5" t="s">
        <v>6830</v>
      </c>
      <c r="W186" t="s">
        <v>4559</v>
      </c>
      <c r="X186" s="5" t="s">
        <v>6829</v>
      </c>
    </row>
    <row r="187" spans="1:26">
      <c r="A187" t="s">
        <v>6835</v>
      </c>
      <c r="B187" t="s">
        <v>6835</v>
      </c>
      <c r="C187" t="s">
        <v>6834</v>
      </c>
      <c r="D187" t="s">
        <v>21</v>
      </c>
      <c r="E187" s="14" t="s">
        <v>6284</v>
      </c>
      <c r="F187" t="s">
        <v>6773</v>
      </c>
      <c r="G187" t="str">
        <f>Config!$B$4</f>
        <v>SCH/C_IEC.SchLib</v>
      </c>
      <c r="H187" t="s">
        <v>6286</v>
      </c>
      <c r="I187" t="s">
        <v>6287</v>
      </c>
      <c r="J187" t="s">
        <v>6832</v>
      </c>
      <c r="K187" s="3">
        <v>6.7999999999999999E-5</v>
      </c>
      <c r="L187" t="s">
        <v>6836</v>
      </c>
      <c r="M187" t="s">
        <v>6223</v>
      </c>
      <c r="N187" s="14" t="s">
        <v>6838</v>
      </c>
      <c r="O187" t="s">
        <v>25</v>
      </c>
      <c r="P187" t="s">
        <v>6837</v>
      </c>
      <c r="U187" t="s">
        <v>6841</v>
      </c>
      <c r="V187" s="5" t="s">
        <v>6839</v>
      </c>
      <c r="W187" t="s">
        <v>4559</v>
      </c>
      <c r="X187" s="5" t="s">
        <v>6840</v>
      </c>
    </row>
    <row r="188" spans="1:26">
      <c r="A188" t="s">
        <v>7819</v>
      </c>
      <c r="B188" t="s">
        <v>7819</v>
      </c>
      <c r="C188" t="s">
        <v>6777</v>
      </c>
      <c r="D188" t="s">
        <v>21</v>
      </c>
      <c r="E188" s="14" t="s">
        <v>6775</v>
      </c>
      <c r="F188" t="s">
        <v>6778</v>
      </c>
      <c r="G188" t="str">
        <f>Config!$B$4</f>
        <v>SCH/C_IEC.SchLib</v>
      </c>
      <c r="H188" t="s">
        <v>425</v>
      </c>
      <c r="I188" t="s">
        <v>461</v>
      </c>
      <c r="J188" t="s">
        <v>6178</v>
      </c>
      <c r="K188" s="3">
        <v>1.0000000000000001E-5</v>
      </c>
      <c r="L188" t="s">
        <v>6821</v>
      </c>
      <c r="M188" t="s">
        <v>1032</v>
      </c>
      <c r="N188" t="s">
        <v>6817</v>
      </c>
      <c r="O188" t="s">
        <v>25</v>
      </c>
      <c r="P188" t="s">
        <v>6818</v>
      </c>
      <c r="U188" t="s">
        <v>6173</v>
      </c>
      <c r="V188" s="5" t="s">
        <v>6819</v>
      </c>
      <c r="W188" t="s">
        <v>4559</v>
      </c>
      <c r="X188" s="5" t="s">
        <v>6820</v>
      </c>
    </row>
    <row r="189" spans="1:26">
      <c r="A189" t="s">
        <v>8060</v>
      </c>
      <c r="B189" t="s">
        <v>8060</v>
      </c>
      <c r="C189" t="s">
        <v>8061</v>
      </c>
      <c r="D189" t="s">
        <v>21</v>
      </c>
      <c r="F189" t="s">
        <v>8062</v>
      </c>
      <c r="G189" t="str">
        <f>Config!$B$4</f>
        <v>SCH/C_IEC.SchLib</v>
      </c>
      <c r="H189" t="s">
        <v>425</v>
      </c>
      <c r="I189" t="s">
        <v>6287</v>
      </c>
      <c r="J189" t="s">
        <v>8079</v>
      </c>
      <c r="K189" s="3">
        <v>9.9999999999999995E-7</v>
      </c>
      <c r="L189" t="s">
        <v>8063</v>
      </c>
      <c r="M189" t="s">
        <v>7506</v>
      </c>
      <c r="N189" t="s">
        <v>8064</v>
      </c>
      <c r="O189" t="s">
        <v>25</v>
      </c>
      <c r="P189" t="s">
        <v>8065</v>
      </c>
    </row>
    <row r="190" spans="1:26">
      <c r="A190" t="s">
        <v>8066</v>
      </c>
      <c r="B190" t="s">
        <v>8066</v>
      </c>
      <c r="C190" t="s">
        <v>8067</v>
      </c>
      <c r="D190" t="s">
        <v>21</v>
      </c>
      <c r="F190" t="s">
        <v>739</v>
      </c>
      <c r="G190" t="str">
        <f>Config!$B$4</f>
        <v>SCH/C_IEC.SchLib</v>
      </c>
      <c r="H190" t="s">
        <v>425</v>
      </c>
      <c r="I190" t="s">
        <v>6287</v>
      </c>
      <c r="J190" t="s">
        <v>8078</v>
      </c>
      <c r="K190" s="3">
        <v>2.1999999999999998E-9</v>
      </c>
      <c r="L190" t="s">
        <v>8068</v>
      </c>
      <c r="M190" t="s">
        <v>7506</v>
      </c>
      <c r="N190" t="s">
        <v>8069</v>
      </c>
      <c r="O190" t="s">
        <v>25</v>
      </c>
      <c r="P190" t="s">
        <v>8070</v>
      </c>
    </row>
    <row r="191" spans="1:26">
      <c r="A191" t="s">
        <v>10834</v>
      </c>
      <c r="B191" t="s">
        <v>10834</v>
      </c>
      <c r="C191" t="s">
        <v>10835</v>
      </c>
      <c r="D191" t="s">
        <v>21</v>
      </c>
      <c r="E191" s="14" t="s">
        <v>6775</v>
      </c>
      <c r="F191" t="s">
        <v>936</v>
      </c>
      <c r="G191" t="str">
        <f>Config!$B$4</f>
        <v>SCH/C_IEC.SchLib</v>
      </c>
      <c r="H191" t="s">
        <v>425</v>
      </c>
      <c r="I191" t="s">
        <v>461</v>
      </c>
      <c r="J191" t="s">
        <v>6178</v>
      </c>
      <c r="K191" s="3">
        <v>2.1999999999999998E-8</v>
      </c>
      <c r="L191" t="s">
        <v>10838</v>
      </c>
      <c r="M191" t="s">
        <v>6162</v>
      </c>
      <c r="N191" t="s">
        <v>10839</v>
      </c>
      <c r="O191" t="s">
        <v>25</v>
      </c>
      <c r="P191" t="s">
        <v>10840</v>
      </c>
    </row>
    <row r="192" spans="1:26">
      <c r="A192" t="s">
        <v>10836</v>
      </c>
      <c r="B192" t="s">
        <v>10836</v>
      </c>
      <c r="C192" t="s">
        <v>10837</v>
      </c>
      <c r="D192" t="s">
        <v>21</v>
      </c>
      <c r="E192" s="14" t="s">
        <v>6775</v>
      </c>
      <c r="F192" t="s">
        <v>950</v>
      </c>
      <c r="G192" t="str">
        <f>Config!$B$4</f>
        <v>SCH/C_IEC.SchLib</v>
      </c>
      <c r="H192" t="s">
        <v>425</v>
      </c>
      <c r="I192" t="s">
        <v>461</v>
      </c>
      <c r="J192" t="s">
        <v>6178</v>
      </c>
      <c r="K192" s="3">
        <v>3.2999999999999998E-8</v>
      </c>
      <c r="L192" t="s">
        <v>10841</v>
      </c>
      <c r="M192" t="s">
        <v>1029</v>
      </c>
      <c r="N192" t="s">
        <v>10842</v>
      </c>
      <c r="O192" t="s">
        <v>25</v>
      </c>
      <c r="P192" t="s">
        <v>10843</v>
      </c>
    </row>
    <row r="193" spans="1:24">
      <c r="A193" t="s">
        <v>10868</v>
      </c>
      <c r="B193" t="s">
        <v>10868</v>
      </c>
      <c r="C193" t="s">
        <v>10844</v>
      </c>
      <c r="D193" t="s">
        <v>21</v>
      </c>
      <c r="E193" s="14" t="s">
        <v>6284</v>
      </c>
      <c r="F193" t="s">
        <v>10845</v>
      </c>
      <c r="G193" t="str">
        <f>Config!$B$4</f>
        <v>SCH/C_IEC.SchLib</v>
      </c>
      <c r="H193" t="s">
        <v>6286</v>
      </c>
      <c r="I193" t="s">
        <v>6287</v>
      </c>
      <c r="J193" t="s">
        <v>12536</v>
      </c>
      <c r="K193" s="3">
        <v>1.5E-5</v>
      </c>
      <c r="L193" t="s">
        <v>10846</v>
      </c>
      <c r="M193" t="s">
        <v>10847</v>
      </c>
      <c r="N193" t="s">
        <v>10848</v>
      </c>
      <c r="O193" t="s">
        <v>25</v>
      </c>
      <c r="P193" t="s">
        <v>10849</v>
      </c>
    </row>
    <row r="194" spans="1:24" ht="16.5">
      <c r="A194" t="s">
        <v>13643</v>
      </c>
      <c r="B194" t="s">
        <v>13643</v>
      </c>
      <c r="C194" t="s">
        <v>13644</v>
      </c>
      <c r="D194" t="s">
        <v>21</v>
      </c>
      <c r="E194" s="14" t="s">
        <v>6767</v>
      </c>
      <c r="F194" t="s">
        <v>8062</v>
      </c>
      <c r="G194" t="str">
        <f>Config!$B$4</f>
        <v>SCH/C_IEC.SchLib</v>
      </c>
      <c r="H194" t="s">
        <v>425</v>
      </c>
      <c r="I194" t="s">
        <v>461</v>
      </c>
      <c r="J194" t="s">
        <v>12535</v>
      </c>
      <c r="K194" s="3">
        <v>9.9999999999999995E-7</v>
      </c>
      <c r="L194" t="s">
        <v>10858</v>
      </c>
      <c r="M194" t="s">
        <v>1032</v>
      </c>
      <c r="N194" t="s">
        <v>10859</v>
      </c>
      <c r="O194" t="s">
        <v>25</v>
      </c>
      <c r="P194" t="s">
        <v>10860</v>
      </c>
      <c r="U194" s="9" t="s">
        <v>6186</v>
      </c>
      <c r="V194" s="9" t="s">
        <v>13642</v>
      </c>
      <c r="W194" t="s">
        <v>4559</v>
      </c>
      <c r="X194" s="9" t="s">
        <v>13641</v>
      </c>
    </row>
    <row r="195" spans="1:24">
      <c r="A195" t="s">
        <v>10867</v>
      </c>
      <c r="B195" t="s">
        <v>10867</v>
      </c>
      <c r="C195" t="s">
        <v>10861</v>
      </c>
      <c r="D195" t="s">
        <v>21</v>
      </c>
      <c r="E195" s="14" t="s">
        <v>6284</v>
      </c>
      <c r="F195" t="s">
        <v>10862</v>
      </c>
      <c r="G195" t="str">
        <f>Config!$B$4</f>
        <v>SCH/C_IEC.SchLib</v>
      </c>
      <c r="H195" t="s">
        <v>6286</v>
      </c>
      <c r="I195" t="s">
        <v>6287</v>
      </c>
      <c r="J195" t="s">
        <v>12537</v>
      </c>
      <c r="K195" s="3">
        <v>6.8000000000000005E-4</v>
      </c>
      <c r="L195" t="s">
        <v>10863</v>
      </c>
      <c r="M195" t="s">
        <v>6162</v>
      </c>
      <c r="N195" t="s">
        <v>10864</v>
      </c>
      <c r="O195" t="s">
        <v>25</v>
      </c>
      <c r="P195" t="s">
        <v>10865</v>
      </c>
    </row>
    <row r="196" spans="1:24" ht="16.5">
      <c r="A196" t="s">
        <v>10866</v>
      </c>
      <c r="B196" t="s">
        <v>10866</v>
      </c>
      <c r="C196" t="s">
        <v>10869</v>
      </c>
      <c r="D196" t="s">
        <v>21</v>
      </c>
      <c r="E196" s="14" t="s">
        <v>6449</v>
      </c>
      <c r="F196" t="s">
        <v>10870</v>
      </c>
      <c r="G196" t="str">
        <f>Config!$B$4</f>
        <v>SCH/C_IEC.SchLib</v>
      </c>
      <c r="H196" t="s">
        <v>425</v>
      </c>
      <c r="I196" t="s">
        <v>461</v>
      </c>
      <c r="J196" t="s">
        <v>1027</v>
      </c>
      <c r="K196" s="3">
        <v>4.6999999999999997E-5</v>
      </c>
      <c r="L196" t="s">
        <v>10871</v>
      </c>
      <c r="M196" t="s">
        <v>1032</v>
      </c>
      <c r="N196" t="s">
        <v>10872</v>
      </c>
      <c r="O196" t="s">
        <v>25</v>
      </c>
      <c r="P196" t="s">
        <v>10873</v>
      </c>
      <c r="U196" s="43" t="s">
        <v>1032</v>
      </c>
      <c r="V196" s="9" t="s">
        <v>10872</v>
      </c>
      <c r="W196" t="s">
        <v>4559</v>
      </c>
      <c r="X196" s="9" t="s">
        <v>13645</v>
      </c>
    </row>
    <row r="197" spans="1:24" ht="15.75">
      <c r="A197" t="s">
        <v>13606</v>
      </c>
      <c r="B197" t="s">
        <v>13606</v>
      </c>
      <c r="C197" t="s">
        <v>13609</v>
      </c>
      <c r="D197" t="s">
        <v>21</v>
      </c>
      <c r="E197" s="14" t="s">
        <v>6775</v>
      </c>
      <c r="F197" t="s">
        <v>770</v>
      </c>
      <c r="G197" t="str">
        <f>Config!$B$4</f>
        <v>SCH/C_IEC.SchLib</v>
      </c>
      <c r="H197" t="s">
        <v>425</v>
      </c>
      <c r="I197" t="s">
        <v>461</v>
      </c>
      <c r="J197" t="s">
        <v>6178</v>
      </c>
      <c r="K197" s="3">
        <v>1E-8</v>
      </c>
      <c r="L197" t="s">
        <v>13612</v>
      </c>
      <c r="M197" t="s">
        <v>6814</v>
      </c>
      <c r="N197" t="s">
        <v>13611</v>
      </c>
      <c r="O197" t="s">
        <v>25</v>
      </c>
      <c r="P197" t="s">
        <v>13610</v>
      </c>
      <c r="U197" s="42" t="s">
        <v>4592</v>
      </c>
      <c r="V197" s="8" t="s">
        <v>13608</v>
      </c>
      <c r="W197" t="s">
        <v>4559</v>
      </c>
      <c r="X197" s="8" t="s">
        <v>13607</v>
      </c>
    </row>
    <row r="198" spans="1:24">
      <c r="A198" t="s">
        <v>17781</v>
      </c>
      <c r="B198" t="s">
        <v>17781</v>
      </c>
      <c r="C198" t="s">
        <v>17782</v>
      </c>
      <c r="D198" t="s">
        <v>21</v>
      </c>
      <c r="E198" s="14" t="s">
        <v>17055</v>
      </c>
      <c r="F198" t="s">
        <v>474</v>
      </c>
      <c r="G198" t="str">
        <f>Config!$B$4</f>
        <v>SCH/C_IEC.SchLib</v>
      </c>
      <c r="H198" t="s">
        <v>425</v>
      </c>
      <c r="I198" t="s">
        <v>461</v>
      </c>
      <c r="J198" t="s">
        <v>17783</v>
      </c>
      <c r="K198" s="3">
        <v>9.9999999999999998E-13</v>
      </c>
      <c r="L198" t="s">
        <v>17784</v>
      </c>
      <c r="M198" t="s">
        <v>477</v>
      </c>
      <c r="N198" t="s">
        <v>17785</v>
      </c>
      <c r="O198" t="s">
        <v>25</v>
      </c>
      <c r="P198" t="s">
        <v>17786</v>
      </c>
    </row>
    <row r="199" spans="1:24">
      <c r="A199" t="s">
        <v>17787</v>
      </c>
      <c r="B199" t="s">
        <v>17787</v>
      </c>
      <c r="C199" t="s">
        <v>17788</v>
      </c>
      <c r="D199" t="s">
        <v>21</v>
      </c>
      <c r="E199" s="14" t="s">
        <v>17055</v>
      </c>
      <c r="F199" t="s">
        <v>483</v>
      </c>
      <c r="G199" t="str">
        <f>Config!$B$4</f>
        <v>SCH/C_IEC.SchLib</v>
      </c>
      <c r="H199" t="s">
        <v>425</v>
      </c>
      <c r="I199" t="s">
        <v>461</v>
      </c>
      <c r="J199" t="s">
        <v>17783</v>
      </c>
      <c r="K199" s="3">
        <v>1.1999999999999999E-12</v>
      </c>
      <c r="L199" t="s">
        <v>17789</v>
      </c>
      <c r="M199" t="s">
        <v>477</v>
      </c>
      <c r="N199" t="s">
        <v>17790</v>
      </c>
      <c r="O199" t="s">
        <v>25</v>
      </c>
      <c r="P199" t="s">
        <v>17791</v>
      </c>
    </row>
    <row r="200" spans="1:24">
      <c r="A200" t="s">
        <v>17792</v>
      </c>
      <c r="B200" t="s">
        <v>17792</v>
      </c>
      <c r="C200" t="s">
        <v>17793</v>
      </c>
      <c r="D200" t="s">
        <v>21</v>
      </c>
      <c r="E200" s="14" t="s">
        <v>17055</v>
      </c>
      <c r="F200" t="s">
        <v>489</v>
      </c>
      <c r="G200" t="str">
        <f>Config!$B$4</f>
        <v>SCH/C_IEC.SchLib</v>
      </c>
      <c r="H200" t="s">
        <v>425</v>
      </c>
      <c r="I200" t="s">
        <v>461</v>
      </c>
      <c r="J200" t="s">
        <v>17783</v>
      </c>
      <c r="K200" s="3">
        <v>1.5000000000000001E-12</v>
      </c>
      <c r="L200" t="s">
        <v>17794</v>
      </c>
      <c r="M200" t="s">
        <v>477</v>
      </c>
      <c r="N200" t="s">
        <v>17795</v>
      </c>
      <c r="O200" t="s">
        <v>25</v>
      </c>
      <c r="P200" t="s">
        <v>17796</v>
      </c>
    </row>
    <row r="201" spans="1:24">
      <c r="A201" t="s">
        <v>17797</v>
      </c>
      <c r="B201" t="s">
        <v>17797</v>
      </c>
      <c r="C201" t="s">
        <v>17798</v>
      </c>
      <c r="D201" t="s">
        <v>21</v>
      </c>
      <c r="E201" s="14" t="s">
        <v>17055</v>
      </c>
      <c r="F201" t="s">
        <v>495</v>
      </c>
      <c r="G201" t="str">
        <f>Config!$B$4</f>
        <v>SCH/C_IEC.SchLib</v>
      </c>
      <c r="H201" t="s">
        <v>425</v>
      </c>
      <c r="I201" t="s">
        <v>461</v>
      </c>
      <c r="J201" t="s">
        <v>17783</v>
      </c>
      <c r="K201" s="3">
        <v>1.8E-12</v>
      </c>
      <c r="L201" t="s">
        <v>17799</v>
      </c>
      <c r="M201" t="s">
        <v>477</v>
      </c>
      <c r="N201" t="s">
        <v>17800</v>
      </c>
      <c r="O201" t="s">
        <v>25</v>
      </c>
      <c r="P201" t="s">
        <v>17801</v>
      </c>
    </row>
    <row r="202" spans="1:24">
      <c r="A202" t="s">
        <v>17802</v>
      </c>
      <c r="B202" t="s">
        <v>17802</v>
      </c>
      <c r="C202" t="s">
        <v>17803</v>
      </c>
      <c r="D202" t="s">
        <v>21</v>
      </c>
      <c r="E202" s="14" t="s">
        <v>17055</v>
      </c>
      <c r="F202" t="s">
        <v>501</v>
      </c>
      <c r="G202" t="str">
        <f>Config!$B$4</f>
        <v>SCH/C_IEC.SchLib</v>
      </c>
      <c r="H202" t="s">
        <v>425</v>
      </c>
      <c r="I202" t="s">
        <v>461</v>
      </c>
      <c r="J202" t="s">
        <v>17783</v>
      </c>
      <c r="K202" s="3">
        <v>2.1999999999999999E-12</v>
      </c>
      <c r="L202" t="s">
        <v>17804</v>
      </c>
      <c r="M202" t="s">
        <v>477</v>
      </c>
      <c r="N202" t="s">
        <v>17805</v>
      </c>
      <c r="O202" t="s">
        <v>25</v>
      </c>
      <c r="P202" t="s">
        <v>17806</v>
      </c>
    </row>
    <row r="203" spans="1:24">
      <c r="A203" t="s">
        <v>17807</v>
      </c>
      <c r="B203" t="s">
        <v>17807</v>
      </c>
      <c r="C203" t="s">
        <v>17808</v>
      </c>
      <c r="D203" t="s">
        <v>21</v>
      </c>
      <c r="E203" s="14" t="s">
        <v>17055</v>
      </c>
      <c r="F203" t="s">
        <v>507</v>
      </c>
      <c r="G203" t="str">
        <f>Config!$B$4</f>
        <v>SCH/C_IEC.SchLib</v>
      </c>
      <c r="H203" t="s">
        <v>425</v>
      </c>
      <c r="I203" t="s">
        <v>461</v>
      </c>
      <c r="J203" t="s">
        <v>17783</v>
      </c>
      <c r="K203" s="3">
        <v>2.6999999999999998E-12</v>
      </c>
      <c r="L203" t="s">
        <v>17809</v>
      </c>
      <c r="M203" t="s">
        <v>477</v>
      </c>
      <c r="N203" t="s">
        <v>17810</v>
      </c>
      <c r="O203" t="s">
        <v>25</v>
      </c>
      <c r="P203" t="s">
        <v>17811</v>
      </c>
    </row>
    <row r="204" spans="1:24">
      <c r="A204" t="s">
        <v>17812</v>
      </c>
      <c r="B204" t="s">
        <v>17812</v>
      </c>
      <c r="C204" t="s">
        <v>17813</v>
      </c>
      <c r="D204" t="s">
        <v>21</v>
      </c>
      <c r="E204" s="14" t="s">
        <v>17055</v>
      </c>
      <c r="F204" t="s">
        <v>513</v>
      </c>
      <c r="G204" t="str">
        <f>Config!$B$4</f>
        <v>SCH/C_IEC.SchLib</v>
      </c>
      <c r="H204" t="s">
        <v>425</v>
      </c>
      <c r="I204" t="s">
        <v>461</v>
      </c>
      <c r="J204" t="s">
        <v>17783</v>
      </c>
      <c r="K204" s="3">
        <v>3.3000000000000001E-12</v>
      </c>
      <c r="L204" t="s">
        <v>17814</v>
      </c>
      <c r="M204" t="s">
        <v>477</v>
      </c>
      <c r="N204" t="s">
        <v>17815</v>
      </c>
      <c r="O204" t="s">
        <v>25</v>
      </c>
      <c r="P204" t="s">
        <v>17816</v>
      </c>
    </row>
    <row r="205" spans="1:24">
      <c r="A205" t="s">
        <v>17817</v>
      </c>
      <c r="B205" t="s">
        <v>17817</v>
      </c>
      <c r="C205" t="s">
        <v>17818</v>
      </c>
      <c r="D205" t="s">
        <v>21</v>
      </c>
      <c r="E205" s="14" t="s">
        <v>17055</v>
      </c>
      <c r="F205" t="s">
        <v>519</v>
      </c>
      <c r="G205" t="str">
        <f>Config!$B$4</f>
        <v>SCH/C_IEC.SchLib</v>
      </c>
      <c r="H205" t="s">
        <v>425</v>
      </c>
      <c r="I205" t="s">
        <v>461</v>
      </c>
      <c r="J205" t="s">
        <v>17783</v>
      </c>
      <c r="K205" s="3">
        <v>3.8999999999999999E-12</v>
      </c>
      <c r="L205" t="s">
        <v>17819</v>
      </c>
      <c r="M205" t="s">
        <v>477</v>
      </c>
      <c r="N205" t="s">
        <v>17820</v>
      </c>
      <c r="O205" t="s">
        <v>25</v>
      </c>
      <c r="P205" t="s">
        <v>17821</v>
      </c>
    </row>
    <row r="206" spans="1:24">
      <c r="A206" t="s">
        <v>17822</v>
      </c>
      <c r="B206" t="s">
        <v>17822</v>
      </c>
      <c r="C206" t="s">
        <v>17823</v>
      </c>
      <c r="D206" t="s">
        <v>21</v>
      </c>
      <c r="E206" s="14" t="s">
        <v>17055</v>
      </c>
      <c r="F206" t="s">
        <v>525</v>
      </c>
      <c r="G206" t="str">
        <f>Config!$B$4</f>
        <v>SCH/C_IEC.SchLib</v>
      </c>
      <c r="H206" t="s">
        <v>425</v>
      </c>
      <c r="I206" t="s">
        <v>461</v>
      </c>
      <c r="J206" t="s">
        <v>17783</v>
      </c>
      <c r="K206" s="3">
        <v>4.6999999999999998E-12</v>
      </c>
      <c r="L206" t="s">
        <v>17824</v>
      </c>
      <c r="M206" t="s">
        <v>477</v>
      </c>
      <c r="N206" t="s">
        <v>17825</v>
      </c>
      <c r="O206" t="s">
        <v>25</v>
      </c>
      <c r="P206" t="s">
        <v>17826</v>
      </c>
    </row>
    <row r="207" spans="1:24">
      <c r="A207" t="s">
        <v>17827</v>
      </c>
      <c r="B207" t="s">
        <v>17827</v>
      </c>
      <c r="C207" t="s">
        <v>17828</v>
      </c>
      <c r="D207" t="s">
        <v>21</v>
      </c>
      <c r="E207" s="14" t="s">
        <v>17055</v>
      </c>
      <c r="F207" t="s">
        <v>531</v>
      </c>
      <c r="G207" t="str">
        <f>Config!$B$4</f>
        <v>SCH/C_IEC.SchLib</v>
      </c>
      <c r="H207" t="s">
        <v>425</v>
      </c>
      <c r="I207" t="s">
        <v>461</v>
      </c>
      <c r="J207" t="s">
        <v>17783</v>
      </c>
      <c r="K207" s="3">
        <v>5.6000000000000004E-12</v>
      </c>
      <c r="L207" t="s">
        <v>17829</v>
      </c>
      <c r="M207" t="s">
        <v>477</v>
      </c>
      <c r="N207" t="s">
        <v>17830</v>
      </c>
      <c r="O207" t="s">
        <v>25</v>
      </c>
      <c r="P207" t="s">
        <v>17831</v>
      </c>
    </row>
    <row r="208" spans="1:24">
      <c r="A208" t="s">
        <v>17832</v>
      </c>
      <c r="B208" t="s">
        <v>17832</v>
      </c>
      <c r="C208" t="s">
        <v>17833</v>
      </c>
      <c r="D208" t="s">
        <v>21</v>
      </c>
      <c r="E208" s="14" t="s">
        <v>17055</v>
      </c>
      <c r="F208" t="s">
        <v>537</v>
      </c>
      <c r="G208" t="str">
        <f>Config!$B$4</f>
        <v>SCH/C_IEC.SchLib</v>
      </c>
      <c r="H208" t="s">
        <v>425</v>
      </c>
      <c r="I208" t="s">
        <v>461</v>
      </c>
      <c r="J208" t="s">
        <v>17783</v>
      </c>
      <c r="K208" s="3">
        <v>6.8000000000000001E-12</v>
      </c>
      <c r="L208" t="s">
        <v>17834</v>
      </c>
      <c r="M208" t="s">
        <v>477</v>
      </c>
      <c r="N208" t="s">
        <v>17835</v>
      </c>
      <c r="O208" t="s">
        <v>25</v>
      </c>
      <c r="P208" t="s">
        <v>17836</v>
      </c>
    </row>
    <row r="209" spans="1:16">
      <c r="A209" t="s">
        <v>17837</v>
      </c>
      <c r="B209" t="s">
        <v>17837</v>
      </c>
      <c r="C209" t="s">
        <v>17838</v>
      </c>
      <c r="D209" t="s">
        <v>21</v>
      </c>
      <c r="E209" s="14" t="s">
        <v>17055</v>
      </c>
      <c r="F209" t="s">
        <v>543</v>
      </c>
      <c r="G209" t="str">
        <f>Config!$B$4</f>
        <v>SCH/C_IEC.SchLib</v>
      </c>
      <c r="H209" t="s">
        <v>425</v>
      </c>
      <c r="I209" t="s">
        <v>461</v>
      </c>
      <c r="J209" t="s">
        <v>17783</v>
      </c>
      <c r="K209" s="3">
        <v>8.1999999999999998E-12</v>
      </c>
      <c r="L209" t="s">
        <v>17839</v>
      </c>
      <c r="M209" t="s">
        <v>477</v>
      </c>
      <c r="N209" t="s">
        <v>17840</v>
      </c>
      <c r="O209" t="s">
        <v>25</v>
      </c>
      <c r="P209" t="s">
        <v>17841</v>
      </c>
    </row>
    <row r="210" spans="1:16">
      <c r="A210" t="s">
        <v>17842</v>
      </c>
      <c r="B210" t="s">
        <v>17842</v>
      </c>
      <c r="C210" t="s">
        <v>17843</v>
      </c>
      <c r="D210" t="s">
        <v>21</v>
      </c>
      <c r="E210" s="14" t="s">
        <v>17055</v>
      </c>
      <c r="F210" t="s">
        <v>550</v>
      </c>
      <c r="G210" t="str">
        <f>Config!$B$4</f>
        <v>SCH/C_IEC.SchLib</v>
      </c>
      <c r="H210" t="s">
        <v>425</v>
      </c>
      <c r="I210" t="s">
        <v>461</v>
      </c>
      <c r="J210" t="s">
        <v>17783</v>
      </c>
      <c r="K210" s="3">
        <v>9.9999999999999994E-12</v>
      </c>
      <c r="L210" t="s">
        <v>17844</v>
      </c>
      <c r="M210" t="s">
        <v>477</v>
      </c>
      <c r="N210" t="s">
        <v>17845</v>
      </c>
      <c r="O210" t="s">
        <v>25</v>
      </c>
      <c r="P210" t="s">
        <v>17846</v>
      </c>
    </row>
    <row r="211" spans="1:16">
      <c r="A211" t="s">
        <v>17847</v>
      </c>
      <c r="B211" t="s">
        <v>17847</v>
      </c>
      <c r="C211" t="s">
        <v>17848</v>
      </c>
      <c r="D211" t="s">
        <v>21</v>
      </c>
      <c r="E211" s="14" t="s">
        <v>17055</v>
      </c>
      <c r="F211" t="s">
        <v>557</v>
      </c>
      <c r="G211" t="str">
        <f>Config!$B$4</f>
        <v>SCH/C_IEC.SchLib</v>
      </c>
      <c r="H211" t="s">
        <v>425</v>
      </c>
      <c r="I211" t="s">
        <v>461</v>
      </c>
      <c r="J211" t="s">
        <v>17783</v>
      </c>
      <c r="K211" s="3">
        <v>1.2000000000000001E-11</v>
      </c>
      <c r="L211" t="s">
        <v>17849</v>
      </c>
      <c r="M211" t="s">
        <v>477</v>
      </c>
      <c r="N211" t="s">
        <v>17850</v>
      </c>
      <c r="O211" t="s">
        <v>25</v>
      </c>
      <c r="P211" t="s">
        <v>17851</v>
      </c>
    </row>
    <row r="212" spans="1:16">
      <c r="A212" t="s">
        <v>17852</v>
      </c>
      <c r="B212" t="s">
        <v>17852</v>
      </c>
      <c r="C212" t="s">
        <v>17853</v>
      </c>
      <c r="D212" t="s">
        <v>21</v>
      </c>
      <c r="E212" s="14" t="s">
        <v>17055</v>
      </c>
      <c r="F212" t="s">
        <v>564</v>
      </c>
      <c r="G212" t="str">
        <f>Config!$B$4</f>
        <v>SCH/C_IEC.SchLib</v>
      </c>
      <c r="H212" t="s">
        <v>425</v>
      </c>
      <c r="I212" t="s">
        <v>461</v>
      </c>
      <c r="J212" t="s">
        <v>17783</v>
      </c>
      <c r="K212" s="3">
        <v>1.5E-11</v>
      </c>
      <c r="L212" t="s">
        <v>17854</v>
      </c>
      <c r="M212" t="s">
        <v>477</v>
      </c>
      <c r="N212" t="s">
        <v>17855</v>
      </c>
      <c r="O212" t="s">
        <v>25</v>
      </c>
      <c r="P212" t="s">
        <v>17856</v>
      </c>
    </row>
    <row r="213" spans="1:16">
      <c r="A213" t="s">
        <v>17857</v>
      </c>
      <c r="B213" t="s">
        <v>17857</v>
      </c>
      <c r="C213" t="s">
        <v>17858</v>
      </c>
      <c r="D213" t="s">
        <v>21</v>
      </c>
      <c r="E213" s="14" t="s">
        <v>17055</v>
      </c>
      <c r="F213" t="s">
        <v>571</v>
      </c>
      <c r="G213" t="str">
        <f>Config!$B$4</f>
        <v>SCH/C_IEC.SchLib</v>
      </c>
      <c r="H213" t="s">
        <v>425</v>
      </c>
      <c r="I213" t="s">
        <v>461</v>
      </c>
      <c r="J213" t="s">
        <v>17783</v>
      </c>
      <c r="K213" s="3">
        <v>1.7999999999999999E-11</v>
      </c>
      <c r="L213" t="s">
        <v>17859</v>
      </c>
      <c r="M213" t="s">
        <v>477</v>
      </c>
      <c r="N213" t="s">
        <v>17860</v>
      </c>
      <c r="O213" t="s">
        <v>25</v>
      </c>
      <c r="P213" t="s">
        <v>17861</v>
      </c>
    </row>
    <row r="214" spans="1:16">
      <c r="A214" t="s">
        <v>17862</v>
      </c>
      <c r="B214" t="s">
        <v>17862</v>
      </c>
      <c r="C214" t="s">
        <v>17863</v>
      </c>
      <c r="D214" t="s">
        <v>21</v>
      </c>
      <c r="E214" s="14" t="s">
        <v>17055</v>
      </c>
      <c r="F214" t="s">
        <v>578</v>
      </c>
      <c r="G214" t="str">
        <f>Config!$B$4</f>
        <v>SCH/C_IEC.SchLib</v>
      </c>
      <c r="H214" t="s">
        <v>425</v>
      </c>
      <c r="I214" t="s">
        <v>461</v>
      </c>
      <c r="J214" t="s">
        <v>17783</v>
      </c>
      <c r="K214" s="3">
        <v>2.2000000000000002E-11</v>
      </c>
      <c r="L214" t="s">
        <v>17864</v>
      </c>
      <c r="M214" t="s">
        <v>477</v>
      </c>
      <c r="N214" t="s">
        <v>17865</v>
      </c>
      <c r="O214" t="s">
        <v>25</v>
      </c>
      <c r="P214" t="s">
        <v>17866</v>
      </c>
    </row>
    <row r="215" spans="1:16">
      <c r="A215" t="s">
        <v>17867</v>
      </c>
      <c r="B215" t="s">
        <v>17867</v>
      </c>
      <c r="C215" t="s">
        <v>17868</v>
      </c>
      <c r="D215" t="s">
        <v>21</v>
      </c>
      <c r="E215" s="14" t="s">
        <v>17055</v>
      </c>
      <c r="F215" t="s">
        <v>585</v>
      </c>
      <c r="G215" t="str">
        <f>Config!$B$4</f>
        <v>SCH/C_IEC.SchLib</v>
      </c>
      <c r="H215" t="s">
        <v>425</v>
      </c>
      <c r="I215" t="s">
        <v>461</v>
      </c>
      <c r="J215" t="s">
        <v>17783</v>
      </c>
      <c r="K215" s="3">
        <v>2.7E-11</v>
      </c>
      <c r="L215" t="s">
        <v>17869</v>
      </c>
      <c r="M215" t="s">
        <v>477</v>
      </c>
      <c r="N215" t="s">
        <v>17870</v>
      </c>
      <c r="O215" t="s">
        <v>25</v>
      </c>
      <c r="P215" t="s">
        <v>17871</v>
      </c>
    </row>
    <row r="216" spans="1:16">
      <c r="A216" t="s">
        <v>17872</v>
      </c>
      <c r="B216" t="s">
        <v>17872</v>
      </c>
      <c r="C216" t="s">
        <v>17873</v>
      </c>
      <c r="D216" t="s">
        <v>21</v>
      </c>
      <c r="E216" s="14" t="s">
        <v>17055</v>
      </c>
      <c r="F216" t="s">
        <v>592</v>
      </c>
      <c r="G216" t="str">
        <f>Config!$B$4</f>
        <v>SCH/C_IEC.SchLib</v>
      </c>
      <c r="H216" t="s">
        <v>425</v>
      </c>
      <c r="I216" t="s">
        <v>461</v>
      </c>
      <c r="J216" t="s">
        <v>17783</v>
      </c>
      <c r="K216" s="3">
        <v>3.3000000000000002E-11</v>
      </c>
      <c r="L216" t="s">
        <v>17874</v>
      </c>
      <c r="M216" t="s">
        <v>477</v>
      </c>
      <c r="N216" t="s">
        <v>17875</v>
      </c>
      <c r="O216" t="s">
        <v>25</v>
      </c>
      <c r="P216" t="s">
        <v>17876</v>
      </c>
    </row>
    <row r="217" spans="1:16">
      <c r="A217" t="s">
        <v>17877</v>
      </c>
      <c r="B217" t="s">
        <v>17877</v>
      </c>
      <c r="C217" t="s">
        <v>17878</v>
      </c>
      <c r="D217" t="s">
        <v>21</v>
      </c>
      <c r="E217" s="14" t="s">
        <v>17055</v>
      </c>
      <c r="F217" t="s">
        <v>599</v>
      </c>
      <c r="G217" t="str">
        <f>Config!$B$4</f>
        <v>SCH/C_IEC.SchLib</v>
      </c>
      <c r="H217" t="s">
        <v>425</v>
      </c>
      <c r="I217" t="s">
        <v>461</v>
      </c>
      <c r="J217" t="s">
        <v>17783</v>
      </c>
      <c r="K217" s="3">
        <v>3.9000000000000001E-11</v>
      </c>
      <c r="L217" t="s">
        <v>17879</v>
      </c>
      <c r="M217" t="s">
        <v>477</v>
      </c>
      <c r="N217" t="s">
        <v>17880</v>
      </c>
      <c r="O217" t="s">
        <v>25</v>
      </c>
      <c r="P217" t="s">
        <v>17881</v>
      </c>
    </row>
    <row r="218" spans="1:16">
      <c r="A218" t="s">
        <v>17882</v>
      </c>
      <c r="B218" t="s">
        <v>17882</v>
      </c>
      <c r="C218" t="s">
        <v>17883</v>
      </c>
      <c r="D218" t="s">
        <v>21</v>
      </c>
      <c r="E218" s="14" t="s">
        <v>17055</v>
      </c>
      <c r="F218" t="s">
        <v>606</v>
      </c>
      <c r="G218" t="str">
        <f>Config!$B$4</f>
        <v>SCH/C_IEC.SchLib</v>
      </c>
      <c r="H218" t="s">
        <v>425</v>
      </c>
      <c r="I218" t="s">
        <v>461</v>
      </c>
      <c r="J218" t="s">
        <v>17783</v>
      </c>
      <c r="K218" s="3">
        <v>4.6999999999999999E-11</v>
      </c>
      <c r="L218" t="s">
        <v>17884</v>
      </c>
      <c r="M218" t="s">
        <v>477</v>
      </c>
      <c r="N218" t="s">
        <v>17885</v>
      </c>
      <c r="O218" t="s">
        <v>25</v>
      </c>
      <c r="P218" t="s">
        <v>17886</v>
      </c>
    </row>
    <row r="219" spans="1:16">
      <c r="A219" t="s">
        <v>17887</v>
      </c>
      <c r="B219" t="s">
        <v>17887</v>
      </c>
      <c r="C219" t="s">
        <v>17888</v>
      </c>
      <c r="D219" t="s">
        <v>21</v>
      </c>
      <c r="E219" s="14" t="s">
        <v>17055</v>
      </c>
      <c r="F219" t="s">
        <v>613</v>
      </c>
      <c r="G219" t="str">
        <f>Config!$B$4</f>
        <v>SCH/C_IEC.SchLib</v>
      </c>
      <c r="H219" t="s">
        <v>425</v>
      </c>
      <c r="I219" t="s">
        <v>461</v>
      </c>
      <c r="J219" t="s">
        <v>17783</v>
      </c>
      <c r="K219" s="3">
        <v>5.6E-11</v>
      </c>
      <c r="L219" t="s">
        <v>17889</v>
      </c>
      <c r="M219" t="s">
        <v>477</v>
      </c>
      <c r="N219" t="s">
        <v>17890</v>
      </c>
      <c r="O219" t="s">
        <v>25</v>
      </c>
      <c r="P219" t="s">
        <v>17891</v>
      </c>
    </row>
    <row r="220" spans="1:16">
      <c r="A220" t="s">
        <v>17892</v>
      </c>
      <c r="B220" t="s">
        <v>17892</v>
      </c>
      <c r="C220" t="s">
        <v>17893</v>
      </c>
      <c r="D220" t="s">
        <v>21</v>
      </c>
      <c r="E220" s="14" t="s">
        <v>17055</v>
      </c>
      <c r="F220" t="s">
        <v>620</v>
      </c>
      <c r="G220" t="str">
        <f>Config!$B$4</f>
        <v>SCH/C_IEC.SchLib</v>
      </c>
      <c r="H220" t="s">
        <v>425</v>
      </c>
      <c r="I220" t="s">
        <v>461</v>
      </c>
      <c r="J220" t="s">
        <v>17783</v>
      </c>
      <c r="K220" s="3">
        <v>6.7999999999999998E-11</v>
      </c>
      <c r="L220" t="s">
        <v>17894</v>
      </c>
      <c r="M220" t="s">
        <v>477</v>
      </c>
      <c r="N220" t="s">
        <v>17895</v>
      </c>
      <c r="O220" t="s">
        <v>25</v>
      </c>
      <c r="P220" t="s">
        <v>17896</v>
      </c>
    </row>
    <row r="221" spans="1:16">
      <c r="A221" t="s">
        <v>17897</v>
      </c>
      <c r="B221" t="s">
        <v>17897</v>
      </c>
      <c r="C221" t="s">
        <v>17898</v>
      </c>
      <c r="D221" t="s">
        <v>21</v>
      </c>
      <c r="E221" s="14" t="s">
        <v>17055</v>
      </c>
      <c r="F221" t="s">
        <v>627</v>
      </c>
      <c r="G221" t="str">
        <f>Config!$B$4</f>
        <v>SCH/C_IEC.SchLib</v>
      </c>
      <c r="H221" t="s">
        <v>425</v>
      </c>
      <c r="I221" t="s">
        <v>461</v>
      </c>
      <c r="J221" t="s">
        <v>17783</v>
      </c>
      <c r="K221" s="3">
        <v>8.2000000000000001E-11</v>
      </c>
      <c r="L221" t="s">
        <v>17899</v>
      </c>
      <c r="M221" t="s">
        <v>477</v>
      </c>
      <c r="N221" t="s">
        <v>17900</v>
      </c>
      <c r="O221" t="s">
        <v>25</v>
      </c>
      <c r="P221" t="s">
        <v>17901</v>
      </c>
    </row>
    <row r="222" spans="1:16">
      <c r="A222" t="s">
        <v>17902</v>
      </c>
      <c r="B222" t="s">
        <v>17902</v>
      </c>
      <c r="C222" t="s">
        <v>17903</v>
      </c>
      <c r="D222" t="s">
        <v>21</v>
      </c>
      <c r="E222" s="14" t="s">
        <v>17055</v>
      </c>
      <c r="F222" t="s">
        <v>634</v>
      </c>
      <c r="G222" t="str">
        <f>Config!$B$4</f>
        <v>SCH/C_IEC.SchLib</v>
      </c>
      <c r="H222" t="s">
        <v>425</v>
      </c>
      <c r="I222" t="s">
        <v>461</v>
      </c>
      <c r="J222" t="s">
        <v>17783</v>
      </c>
      <c r="K222" s="3">
        <v>1E-10</v>
      </c>
      <c r="L222" t="s">
        <v>17904</v>
      </c>
      <c r="M222" t="s">
        <v>477</v>
      </c>
      <c r="N222" t="s">
        <v>17905</v>
      </c>
      <c r="O222" t="s">
        <v>25</v>
      </c>
      <c r="P222" t="s">
        <v>17906</v>
      </c>
    </row>
    <row r="223" spans="1:16">
      <c r="A223" t="s">
        <v>17907</v>
      </c>
      <c r="B223" t="s">
        <v>17907</v>
      </c>
      <c r="C223" t="s">
        <v>17908</v>
      </c>
      <c r="D223" t="s">
        <v>21</v>
      </c>
      <c r="E223" s="14" t="s">
        <v>17055</v>
      </c>
      <c r="F223" t="s">
        <v>648</v>
      </c>
      <c r="G223" t="str">
        <f>Config!$B$4</f>
        <v>SCH/C_IEC.SchLib</v>
      </c>
      <c r="H223" t="s">
        <v>425</v>
      </c>
      <c r="I223" t="s">
        <v>461</v>
      </c>
      <c r="J223" t="s">
        <v>17783</v>
      </c>
      <c r="K223" s="3">
        <v>1.5E-10</v>
      </c>
      <c r="L223" t="s">
        <v>17909</v>
      </c>
      <c r="M223" t="s">
        <v>477</v>
      </c>
      <c r="N223" t="s">
        <v>17910</v>
      </c>
      <c r="O223" t="s">
        <v>25</v>
      </c>
      <c r="P223" t="s">
        <v>17911</v>
      </c>
    </row>
    <row r="224" spans="1:16">
      <c r="A224" t="s">
        <v>17912</v>
      </c>
      <c r="B224" t="s">
        <v>17912</v>
      </c>
      <c r="C224" t="s">
        <v>17913</v>
      </c>
      <c r="D224" t="s">
        <v>21</v>
      </c>
      <c r="E224" s="14" t="s">
        <v>17055</v>
      </c>
      <c r="F224" t="s">
        <v>655</v>
      </c>
      <c r="G224" t="str">
        <f>Config!$B$4</f>
        <v>SCH/C_IEC.SchLib</v>
      </c>
      <c r="H224" t="s">
        <v>425</v>
      </c>
      <c r="I224" t="s">
        <v>461</v>
      </c>
      <c r="J224" t="s">
        <v>17783</v>
      </c>
      <c r="K224" s="3">
        <v>1.8E-10</v>
      </c>
      <c r="L224" t="s">
        <v>17914</v>
      </c>
      <c r="M224" t="s">
        <v>477</v>
      </c>
      <c r="N224" t="s">
        <v>17915</v>
      </c>
      <c r="O224" t="s">
        <v>25</v>
      </c>
      <c r="P224" t="s">
        <v>17916</v>
      </c>
    </row>
    <row r="225" spans="1:16">
      <c r="A225" t="s">
        <v>17917</v>
      </c>
      <c r="B225" t="s">
        <v>17917</v>
      </c>
      <c r="C225" t="s">
        <v>17918</v>
      </c>
      <c r="D225" t="s">
        <v>21</v>
      </c>
      <c r="E225" s="14" t="s">
        <v>17055</v>
      </c>
      <c r="F225" t="s">
        <v>662</v>
      </c>
      <c r="G225" t="str">
        <f>Config!$B$4</f>
        <v>SCH/C_IEC.SchLib</v>
      </c>
      <c r="H225" t="s">
        <v>425</v>
      </c>
      <c r="I225" t="s">
        <v>461</v>
      </c>
      <c r="J225" t="s">
        <v>17783</v>
      </c>
      <c r="K225" s="3">
        <v>2.1999999999999999E-10</v>
      </c>
      <c r="L225" t="s">
        <v>17919</v>
      </c>
      <c r="M225" t="s">
        <v>477</v>
      </c>
      <c r="N225" t="s">
        <v>17920</v>
      </c>
      <c r="O225" t="s">
        <v>25</v>
      </c>
      <c r="P225" t="s">
        <v>17921</v>
      </c>
    </row>
    <row r="226" spans="1:16">
      <c r="A226" t="s">
        <v>17922</v>
      </c>
      <c r="B226" t="s">
        <v>17922</v>
      </c>
      <c r="C226" t="s">
        <v>17923</v>
      </c>
      <c r="D226" t="s">
        <v>21</v>
      </c>
      <c r="E226" s="14" t="s">
        <v>17055</v>
      </c>
      <c r="F226" t="s">
        <v>606</v>
      </c>
      <c r="G226" t="str">
        <f>Config!$B$4</f>
        <v>SCH/C_IEC.SchLib</v>
      </c>
      <c r="H226" t="s">
        <v>425</v>
      </c>
      <c r="I226" t="s">
        <v>461</v>
      </c>
      <c r="J226" t="s">
        <v>17924</v>
      </c>
      <c r="K226" s="3">
        <v>4.6999999999999999E-11</v>
      </c>
      <c r="L226" t="s">
        <v>17925</v>
      </c>
      <c r="M226" t="s">
        <v>477</v>
      </c>
      <c r="N226" t="s">
        <v>17926</v>
      </c>
      <c r="O226" t="s">
        <v>25</v>
      </c>
      <c r="P226" t="s">
        <v>17927</v>
      </c>
    </row>
    <row r="227" spans="1:16">
      <c r="A227" t="s">
        <v>17928</v>
      </c>
      <c r="B227" t="s">
        <v>17928</v>
      </c>
      <c r="C227" t="s">
        <v>17929</v>
      </c>
      <c r="D227" t="s">
        <v>21</v>
      </c>
      <c r="E227" s="14" t="s">
        <v>17055</v>
      </c>
      <c r="F227" t="s">
        <v>634</v>
      </c>
      <c r="G227" t="str">
        <f>Config!$B$4</f>
        <v>SCH/C_IEC.SchLib</v>
      </c>
      <c r="H227" t="s">
        <v>425</v>
      </c>
      <c r="I227" t="s">
        <v>461</v>
      </c>
      <c r="J227" t="s">
        <v>17924</v>
      </c>
      <c r="K227" s="3">
        <v>1E-10</v>
      </c>
      <c r="L227" t="s">
        <v>17925</v>
      </c>
      <c r="M227" t="s">
        <v>477</v>
      </c>
      <c r="N227" t="s">
        <v>17930</v>
      </c>
      <c r="O227" t="s">
        <v>25</v>
      </c>
      <c r="P227" t="s">
        <v>17931</v>
      </c>
    </row>
    <row r="228" spans="1:16">
      <c r="A228" t="s">
        <v>17932</v>
      </c>
      <c r="B228" t="s">
        <v>17932</v>
      </c>
      <c r="C228" t="s">
        <v>17933</v>
      </c>
      <c r="D228" t="s">
        <v>21</v>
      </c>
      <c r="E228" s="14" t="s">
        <v>17055</v>
      </c>
      <c r="F228" t="s">
        <v>641</v>
      </c>
      <c r="G228" t="str">
        <f>Config!$B$4</f>
        <v>SCH/C_IEC.SchLib</v>
      </c>
      <c r="H228" t="s">
        <v>425</v>
      </c>
      <c r="I228" t="s">
        <v>461</v>
      </c>
      <c r="J228" t="s">
        <v>17924</v>
      </c>
      <c r="K228" s="3">
        <v>1.2E-10</v>
      </c>
      <c r="L228" t="s">
        <v>17925</v>
      </c>
      <c r="M228" t="s">
        <v>477</v>
      </c>
      <c r="N228" t="s">
        <v>17934</v>
      </c>
      <c r="O228" t="s">
        <v>25</v>
      </c>
      <c r="P228" t="s">
        <v>17935</v>
      </c>
    </row>
    <row r="229" spans="1:16">
      <c r="A229" t="s">
        <v>17936</v>
      </c>
      <c r="B229" t="s">
        <v>17936</v>
      </c>
      <c r="C229" t="s">
        <v>17937</v>
      </c>
      <c r="D229" t="s">
        <v>21</v>
      </c>
      <c r="E229" s="14" t="s">
        <v>17055</v>
      </c>
      <c r="F229" t="s">
        <v>648</v>
      </c>
      <c r="G229" t="str">
        <f>Config!$B$4</f>
        <v>SCH/C_IEC.SchLib</v>
      </c>
      <c r="H229" t="s">
        <v>425</v>
      </c>
      <c r="I229" t="s">
        <v>461</v>
      </c>
      <c r="J229" t="s">
        <v>17924</v>
      </c>
      <c r="K229" s="3">
        <v>1.5E-10</v>
      </c>
      <c r="L229" t="s">
        <v>17925</v>
      </c>
      <c r="M229" t="s">
        <v>477</v>
      </c>
      <c r="N229" t="s">
        <v>17938</v>
      </c>
      <c r="O229" t="s">
        <v>25</v>
      </c>
      <c r="P229" t="s">
        <v>17939</v>
      </c>
    </row>
    <row r="230" spans="1:16">
      <c r="A230" t="s">
        <v>17940</v>
      </c>
      <c r="B230" t="s">
        <v>17940</v>
      </c>
      <c r="C230" t="s">
        <v>17941</v>
      </c>
      <c r="D230" t="s">
        <v>21</v>
      </c>
      <c r="E230" s="14" t="s">
        <v>17055</v>
      </c>
      <c r="F230" t="s">
        <v>655</v>
      </c>
      <c r="G230" t="str">
        <f>Config!$B$4</f>
        <v>SCH/C_IEC.SchLib</v>
      </c>
      <c r="H230" t="s">
        <v>425</v>
      </c>
      <c r="I230" t="s">
        <v>461</v>
      </c>
      <c r="J230" t="s">
        <v>17924</v>
      </c>
      <c r="K230" s="3">
        <v>1.8E-10</v>
      </c>
      <c r="L230" t="s">
        <v>17925</v>
      </c>
      <c r="M230" t="s">
        <v>477</v>
      </c>
      <c r="N230" t="s">
        <v>17942</v>
      </c>
      <c r="O230" t="s">
        <v>25</v>
      </c>
      <c r="P230" t="s">
        <v>17943</v>
      </c>
    </row>
    <row r="231" spans="1:16">
      <c r="A231" t="s">
        <v>17944</v>
      </c>
      <c r="B231" t="s">
        <v>17944</v>
      </c>
      <c r="C231" t="s">
        <v>17945</v>
      </c>
      <c r="D231" t="s">
        <v>21</v>
      </c>
      <c r="E231" s="14" t="s">
        <v>17055</v>
      </c>
      <c r="F231" t="s">
        <v>662</v>
      </c>
      <c r="G231" t="str">
        <f>Config!$B$4</f>
        <v>SCH/C_IEC.SchLib</v>
      </c>
      <c r="H231" t="s">
        <v>425</v>
      </c>
      <c r="I231" t="s">
        <v>461</v>
      </c>
      <c r="J231" t="s">
        <v>17924</v>
      </c>
      <c r="K231" s="3">
        <v>2.1999999999999999E-10</v>
      </c>
      <c r="L231" t="s">
        <v>17925</v>
      </c>
      <c r="M231" t="s">
        <v>477</v>
      </c>
      <c r="N231" t="s">
        <v>17946</v>
      </c>
      <c r="O231" t="s">
        <v>25</v>
      </c>
      <c r="P231" t="s">
        <v>17947</v>
      </c>
    </row>
    <row r="232" spans="1:16">
      <c r="A232" t="s">
        <v>17948</v>
      </c>
      <c r="B232" t="s">
        <v>17948</v>
      </c>
      <c r="C232" t="s">
        <v>17949</v>
      </c>
      <c r="D232" t="s">
        <v>21</v>
      </c>
      <c r="E232" s="14" t="s">
        <v>17055</v>
      </c>
      <c r="F232" t="s">
        <v>669</v>
      </c>
      <c r="G232" t="str">
        <f>Config!$B$4</f>
        <v>SCH/C_IEC.SchLib</v>
      </c>
      <c r="H232" t="s">
        <v>425</v>
      </c>
      <c r="I232" t="s">
        <v>461</v>
      </c>
      <c r="J232" t="s">
        <v>17924</v>
      </c>
      <c r="K232" s="3">
        <v>2.7E-10</v>
      </c>
      <c r="L232" t="s">
        <v>17925</v>
      </c>
      <c r="M232" t="s">
        <v>477</v>
      </c>
      <c r="N232" t="s">
        <v>17950</v>
      </c>
      <c r="O232" t="s">
        <v>25</v>
      </c>
      <c r="P232" t="s">
        <v>17951</v>
      </c>
    </row>
    <row r="233" spans="1:16">
      <c r="A233" t="s">
        <v>17952</v>
      </c>
      <c r="B233" t="s">
        <v>17952</v>
      </c>
      <c r="C233" t="s">
        <v>17953</v>
      </c>
      <c r="D233" t="s">
        <v>21</v>
      </c>
      <c r="E233" s="14" t="s">
        <v>17055</v>
      </c>
      <c r="F233" t="s">
        <v>676</v>
      </c>
      <c r="G233" t="str">
        <f>Config!$B$4</f>
        <v>SCH/C_IEC.SchLib</v>
      </c>
      <c r="H233" t="s">
        <v>425</v>
      </c>
      <c r="I233" t="s">
        <v>461</v>
      </c>
      <c r="J233" t="s">
        <v>17924</v>
      </c>
      <c r="K233" s="3">
        <v>3.3E-10</v>
      </c>
      <c r="L233" t="s">
        <v>17925</v>
      </c>
      <c r="M233" t="s">
        <v>477</v>
      </c>
      <c r="N233" t="s">
        <v>17954</v>
      </c>
      <c r="O233" t="s">
        <v>25</v>
      </c>
      <c r="P233" t="s">
        <v>17955</v>
      </c>
    </row>
    <row r="234" spans="1:16">
      <c r="A234" t="s">
        <v>17956</v>
      </c>
      <c r="B234" t="s">
        <v>17956</v>
      </c>
      <c r="C234" t="s">
        <v>17957</v>
      </c>
      <c r="D234" t="s">
        <v>21</v>
      </c>
      <c r="E234" s="14" t="s">
        <v>17055</v>
      </c>
      <c r="F234" t="s">
        <v>683</v>
      </c>
      <c r="G234" t="str">
        <f>Config!$B$4</f>
        <v>SCH/C_IEC.SchLib</v>
      </c>
      <c r="H234" t="s">
        <v>425</v>
      </c>
      <c r="I234" t="s">
        <v>461</v>
      </c>
      <c r="J234" t="s">
        <v>17924</v>
      </c>
      <c r="K234" s="3">
        <v>3.9E-10</v>
      </c>
      <c r="L234" t="s">
        <v>17925</v>
      </c>
      <c r="M234" t="s">
        <v>477</v>
      </c>
      <c r="N234" t="s">
        <v>17958</v>
      </c>
      <c r="O234" t="s">
        <v>25</v>
      </c>
      <c r="P234" t="s">
        <v>17959</v>
      </c>
    </row>
    <row r="235" spans="1:16">
      <c r="A235" t="s">
        <v>17960</v>
      </c>
      <c r="B235" t="s">
        <v>17960</v>
      </c>
      <c r="C235" t="s">
        <v>17961</v>
      </c>
      <c r="D235" t="s">
        <v>21</v>
      </c>
      <c r="E235" s="14" t="s">
        <v>17055</v>
      </c>
      <c r="F235" t="s">
        <v>690</v>
      </c>
      <c r="G235" t="str">
        <f>Config!$B$4</f>
        <v>SCH/C_IEC.SchLib</v>
      </c>
      <c r="H235" t="s">
        <v>425</v>
      </c>
      <c r="I235" t="s">
        <v>461</v>
      </c>
      <c r="J235" t="s">
        <v>17924</v>
      </c>
      <c r="K235" s="3">
        <v>4.7000000000000003E-10</v>
      </c>
      <c r="L235" t="s">
        <v>17925</v>
      </c>
      <c r="M235" t="s">
        <v>477</v>
      </c>
      <c r="N235" t="s">
        <v>17962</v>
      </c>
      <c r="O235" t="s">
        <v>25</v>
      </c>
      <c r="P235" t="s">
        <v>17963</v>
      </c>
    </row>
    <row r="236" spans="1:16">
      <c r="A236" t="s">
        <v>17964</v>
      </c>
      <c r="B236" t="s">
        <v>17964</v>
      </c>
      <c r="C236" t="s">
        <v>17965</v>
      </c>
      <c r="D236" t="s">
        <v>21</v>
      </c>
      <c r="E236" s="14" t="s">
        <v>17055</v>
      </c>
      <c r="F236" t="s">
        <v>697</v>
      </c>
      <c r="G236" t="str">
        <f>Config!$B$4</f>
        <v>SCH/C_IEC.SchLib</v>
      </c>
      <c r="H236" t="s">
        <v>425</v>
      </c>
      <c r="I236" t="s">
        <v>461</v>
      </c>
      <c r="J236" t="s">
        <v>17924</v>
      </c>
      <c r="K236" s="3">
        <v>5.6000000000000003E-10</v>
      </c>
      <c r="L236" t="s">
        <v>17925</v>
      </c>
      <c r="M236" t="s">
        <v>477</v>
      </c>
      <c r="N236" t="s">
        <v>17966</v>
      </c>
      <c r="O236" t="s">
        <v>25</v>
      </c>
      <c r="P236" t="s">
        <v>17967</v>
      </c>
    </row>
    <row r="237" spans="1:16">
      <c r="A237" t="s">
        <v>17968</v>
      </c>
      <c r="B237" t="s">
        <v>17968</v>
      </c>
      <c r="C237" t="s">
        <v>17969</v>
      </c>
      <c r="D237" t="s">
        <v>21</v>
      </c>
      <c r="E237" s="14" t="s">
        <v>17055</v>
      </c>
      <c r="F237" t="s">
        <v>704</v>
      </c>
      <c r="G237" t="str">
        <f>Config!$B$4</f>
        <v>SCH/C_IEC.SchLib</v>
      </c>
      <c r="H237" t="s">
        <v>425</v>
      </c>
      <c r="I237" t="s">
        <v>461</v>
      </c>
      <c r="J237" t="s">
        <v>17924</v>
      </c>
      <c r="K237" s="3">
        <v>6.8000000000000003E-10</v>
      </c>
      <c r="L237" t="s">
        <v>17925</v>
      </c>
      <c r="M237" t="s">
        <v>477</v>
      </c>
      <c r="N237" t="s">
        <v>17970</v>
      </c>
      <c r="O237" t="s">
        <v>25</v>
      </c>
      <c r="P237" t="s">
        <v>17971</v>
      </c>
    </row>
    <row r="238" spans="1:16">
      <c r="A238" t="s">
        <v>17972</v>
      </c>
      <c r="B238" t="s">
        <v>17972</v>
      </c>
      <c r="C238" t="s">
        <v>17973</v>
      </c>
      <c r="D238" t="s">
        <v>21</v>
      </c>
      <c r="E238" s="14" t="s">
        <v>17055</v>
      </c>
      <c r="F238" t="s">
        <v>711</v>
      </c>
      <c r="G238" t="str">
        <f>Config!$B$4</f>
        <v>SCH/C_IEC.SchLib</v>
      </c>
      <c r="H238" t="s">
        <v>425</v>
      </c>
      <c r="I238" t="s">
        <v>461</v>
      </c>
      <c r="J238" t="s">
        <v>17924</v>
      </c>
      <c r="K238" s="3">
        <v>8.1999999999999996E-10</v>
      </c>
      <c r="L238" t="s">
        <v>17974</v>
      </c>
      <c r="M238" t="s">
        <v>477</v>
      </c>
      <c r="N238" t="s">
        <v>17975</v>
      </c>
      <c r="O238" t="s">
        <v>25</v>
      </c>
      <c r="P238" t="s">
        <v>17976</v>
      </c>
    </row>
    <row r="239" spans="1:16">
      <c r="A239" t="s">
        <v>17977</v>
      </c>
      <c r="B239" t="s">
        <v>17977</v>
      </c>
      <c r="C239" t="s">
        <v>17978</v>
      </c>
      <c r="D239" t="s">
        <v>21</v>
      </c>
      <c r="E239" s="14" t="s">
        <v>17055</v>
      </c>
      <c r="F239" t="s">
        <v>717</v>
      </c>
      <c r="G239" t="str">
        <f>Config!$B$4</f>
        <v>SCH/C_IEC.SchLib</v>
      </c>
      <c r="H239" t="s">
        <v>425</v>
      </c>
      <c r="I239" t="s">
        <v>461</v>
      </c>
      <c r="J239" t="s">
        <v>17924</v>
      </c>
      <c r="K239" s="3">
        <v>1.0000000000000001E-9</v>
      </c>
      <c r="L239" t="s">
        <v>17925</v>
      </c>
      <c r="M239" t="s">
        <v>477</v>
      </c>
      <c r="N239" t="s">
        <v>17979</v>
      </c>
      <c r="O239" t="s">
        <v>25</v>
      </c>
      <c r="P239" t="s">
        <v>17980</v>
      </c>
    </row>
    <row r="240" spans="1:16">
      <c r="A240" t="s">
        <v>17981</v>
      </c>
      <c r="B240" t="s">
        <v>17981</v>
      </c>
      <c r="C240" t="s">
        <v>17982</v>
      </c>
      <c r="D240" t="s">
        <v>21</v>
      </c>
      <c r="E240" s="14" t="s">
        <v>17055</v>
      </c>
      <c r="F240" t="s">
        <v>723</v>
      </c>
      <c r="G240" t="str">
        <f>Config!$B$4</f>
        <v>SCH/C_IEC.SchLib</v>
      </c>
      <c r="H240" t="s">
        <v>425</v>
      </c>
      <c r="I240" t="s">
        <v>461</v>
      </c>
      <c r="J240" t="s">
        <v>17924</v>
      </c>
      <c r="K240" s="3">
        <v>1.2E-9</v>
      </c>
      <c r="L240" t="s">
        <v>17925</v>
      </c>
      <c r="M240" t="s">
        <v>477</v>
      </c>
      <c r="N240" t="s">
        <v>17983</v>
      </c>
      <c r="O240" t="s">
        <v>25</v>
      </c>
      <c r="P240" t="s">
        <v>17984</v>
      </c>
    </row>
    <row r="241" spans="1:16">
      <c r="A241" t="s">
        <v>17985</v>
      </c>
      <c r="B241" t="s">
        <v>17985</v>
      </c>
      <c r="C241" t="s">
        <v>17986</v>
      </c>
      <c r="D241" t="s">
        <v>21</v>
      </c>
      <c r="E241" s="14" t="s">
        <v>17055</v>
      </c>
      <c r="F241" t="s">
        <v>729</v>
      </c>
      <c r="G241" t="str">
        <f>Config!$B$4</f>
        <v>SCH/C_IEC.SchLib</v>
      </c>
      <c r="H241" t="s">
        <v>425</v>
      </c>
      <c r="I241" t="s">
        <v>461</v>
      </c>
      <c r="J241" t="s">
        <v>17924</v>
      </c>
      <c r="K241" s="3">
        <v>1.5E-9</v>
      </c>
      <c r="L241" t="s">
        <v>17925</v>
      </c>
      <c r="M241" t="s">
        <v>477</v>
      </c>
      <c r="N241" t="s">
        <v>17987</v>
      </c>
      <c r="O241" t="s">
        <v>25</v>
      </c>
      <c r="P241" t="s">
        <v>17988</v>
      </c>
    </row>
    <row r="242" spans="1:16">
      <c r="A242" t="s">
        <v>17989</v>
      </c>
      <c r="B242" t="s">
        <v>17989</v>
      </c>
      <c r="C242" t="s">
        <v>17990</v>
      </c>
      <c r="D242" t="s">
        <v>21</v>
      </c>
      <c r="E242" s="14" t="s">
        <v>17055</v>
      </c>
      <c r="F242" t="s">
        <v>735</v>
      </c>
      <c r="G242" t="str">
        <f>Config!$B$4</f>
        <v>SCH/C_IEC.SchLib</v>
      </c>
      <c r="H242" t="s">
        <v>425</v>
      </c>
      <c r="I242" t="s">
        <v>461</v>
      </c>
      <c r="J242" t="s">
        <v>17924</v>
      </c>
      <c r="K242" s="3">
        <v>1.8E-9</v>
      </c>
      <c r="L242" t="s">
        <v>17925</v>
      </c>
      <c r="M242" t="s">
        <v>477</v>
      </c>
      <c r="N242" t="s">
        <v>17991</v>
      </c>
      <c r="O242" t="s">
        <v>25</v>
      </c>
      <c r="P242" t="s">
        <v>17992</v>
      </c>
    </row>
    <row r="243" spans="1:16">
      <c r="A243" t="s">
        <v>17993</v>
      </c>
      <c r="B243" t="s">
        <v>17993</v>
      </c>
      <c r="C243" t="s">
        <v>17994</v>
      </c>
      <c r="D243" t="s">
        <v>21</v>
      </c>
      <c r="E243" s="14" t="s">
        <v>17055</v>
      </c>
      <c r="F243" t="s">
        <v>739</v>
      </c>
      <c r="G243" t="str">
        <f>Config!$B$4</f>
        <v>SCH/C_IEC.SchLib</v>
      </c>
      <c r="H243" t="s">
        <v>425</v>
      </c>
      <c r="I243" t="s">
        <v>461</v>
      </c>
      <c r="J243" t="s">
        <v>17924</v>
      </c>
      <c r="K243" s="3">
        <v>2.1999999999999998E-9</v>
      </c>
      <c r="L243" t="s">
        <v>17925</v>
      </c>
      <c r="M243" t="s">
        <v>477</v>
      </c>
      <c r="N243" t="s">
        <v>17995</v>
      </c>
      <c r="O243" t="s">
        <v>25</v>
      </c>
      <c r="P243" t="s">
        <v>17996</v>
      </c>
    </row>
    <row r="244" spans="1:16">
      <c r="A244" t="s">
        <v>17997</v>
      </c>
      <c r="B244" t="s">
        <v>17997</v>
      </c>
      <c r="C244" t="s">
        <v>17998</v>
      </c>
      <c r="D244" t="s">
        <v>21</v>
      </c>
      <c r="E244" s="14" t="s">
        <v>17055</v>
      </c>
      <c r="F244" t="s">
        <v>745</v>
      </c>
      <c r="G244" t="str">
        <f>Config!$B$4</f>
        <v>SCH/C_IEC.SchLib</v>
      </c>
      <c r="H244" t="s">
        <v>425</v>
      </c>
      <c r="I244" t="s">
        <v>461</v>
      </c>
      <c r="J244" t="s">
        <v>17924</v>
      </c>
      <c r="K244" s="3">
        <v>2.7000000000000002E-9</v>
      </c>
      <c r="L244" t="s">
        <v>17925</v>
      </c>
      <c r="M244" t="s">
        <v>477</v>
      </c>
      <c r="N244" t="s">
        <v>17999</v>
      </c>
      <c r="O244" t="s">
        <v>25</v>
      </c>
      <c r="P244" t="s">
        <v>18000</v>
      </c>
    </row>
    <row r="245" spans="1:16">
      <c r="A245" t="s">
        <v>18001</v>
      </c>
      <c r="B245" t="s">
        <v>18001</v>
      </c>
      <c r="C245" t="s">
        <v>18002</v>
      </c>
      <c r="D245" t="s">
        <v>21</v>
      </c>
      <c r="E245" s="14" t="s">
        <v>17055</v>
      </c>
      <c r="F245" t="s">
        <v>751</v>
      </c>
      <c r="G245" t="str">
        <f>Config!$B$4</f>
        <v>SCH/C_IEC.SchLib</v>
      </c>
      <c r="H245" t="s">
        <v>425</v>
      </c>
      <c r="I245" t="s">
        <v>461</v>
      </c>
      <c r="J245" t="s">
        <v>17924</v>
      </c>
      <c r="K245" s="3">
        <v>3.3000000000000002E-9</v>
      </c>
      <c r="L245" t="s">
        <v>17925</v>
      </c>
      <c r="M245" t="s">
        <v>477</v>
      </c>
      <c r="N245" t="s">
        <v>18003</v>
      </c>
      <c r="O245" t="s">
        <v>25</v>
      </c>
      <c r="P245" t="s">
        <v>18004</v>
      </c>
    </row>
    <row r="246" spans="1:16">
      <c r="A246" t="s">
        <v>18005</v>
      </c>
      <c r="B246" t="s">
        <v>18005</v>
      </c>
      <c r="C246" t="s">
        <v>18006</v>
      </c>
      <c r="D246" t="s">
        <v>21</v>
      </c>
      <c r="E246" s="14" t="s">
        <v>17055</v>
      </c>
      <c r="F246" t="s">
        <v>757</v>
      </c>
      <c r="G246" t="str">
        <f>Config!$B$4</f>
        <v>SCH/C_IEC.SchLib</v>
      </c>
      <c r="H246" t="s">
        <v>425</v>
      </c>
      <c r="I246" t="s">
        <v>461</v>
      </c>
      <c r="J246" t="s">
        <v>17924</v>
      </c>
      <c r="K246" s="3">
        <v>3.9000000000000002E-9</v>
      </c>
      <c r="L246" t="s">
        <v>17925</v>
      </c>
      <c r="M246" t="s">
        <v>477</v>
      </c>
      <c r="N246" t="s">
        <v>18007</v>
      </c>
      <c r="O246" t="s">
        <v>25</v>
      </c>
      <c r="P246" t="s">
        <v>18008</v>
      </c>
    </row>
    <row r="247" spans="1:16">
      <c r="A247" t="s">
        <v>18009</v>
      </c>
      <c r="B247" t="s">
        <v>18009</v>
      </c>
      <c r="C247" t="s">
        <v>18010</v>
      </c>
      <c r="D247" t="s">
        <v>21</v>
      </c>
      <c r="E247" s="14" t="s">
        <v>17055</v>
      </c>
      <c r="F247" t="s">
        <v>761</v>
      </c>
      <c r="G247" t="str">
        <f>Config!$B$4</f>
        <v>SCH/C_IEC.SchLib</v>
      </c>
      <c r="H247" t="s">
        <v>425</v>
      </c>
      <c r="I247" t="s">
        <v>461</v>
      </c>
      <c r="J247" t="s">
        <v>17924</v>
      </c>
      <c r="K247" s="3">
        <v>4.6999999999999999E-9</v>
      </c>
      <c r="L247" t="s">
        <v>17925</v>
      </c>
      <c r="M247" t="s">
        <v>477</v>
      </c>
      <c r="N247" t="s">
        <v>18011</v>
      </c>
      <c r="O247" t="s">
        <v>25</v>
      </c>
      <c r="P247" t="s">
        <v>18012</v>
      </c>
    </row>
    <row r="248" spans="1:16">
      <c r="A248" t="s">
        <v>18013</v>
      </c>
      <c r="B248" t="s">
        <v>18013</v>
      </c>
      <c r="C248" t="s">
        <v>18014</v>
      </c>
      <c r="D248" t="s">
        <v>21</v>
      </c>
      <c r="E248" s="14" t="s">
        <v>17055</v>
      </c>
      <c r="F248" t="s">
        <v>891</v>
      </c>
      <c r="G248" t="str">
        <f>Config!$B$4</f>
        <v>SCH/C_IEC.SchLib</v>
      </c>
      <c r="H248" t="s">
        <v>425</v>
      </c>
      <c r="I248" t="s">
        <v>461</v>
      </c>
      <c r="J248" t="s">
        <v>17924</v>
      </c>
      <c r="K248" s="3">
        <v>5.5999999999999997E-9</v>
      </c>
      <c r="L248" t="s">
        <v>17925</v>
      </c>
      <c r="M248" t="s">
        <v>477</v>
      </c>
      <c r="N248" t="s">
        <v>18015</v>
      </c>
      <c r="O248" t="s">
        <v>25</v>
      </c>
      <c r="P248" t="s">
        <v>18016</v>
      </c>
    </row>
    <row r="249" spans="1:16">
      <c r="A249" t="s">
        <v>18017</v>
      </c>
      <c r="B249" t="s">
        <v>18017</v>
      </c>
      <c r="C249" t="s">
        <v>18018</v>
      </c>
      <c r="D249" t="s">
        <v>21</v>
      </c>
      <c r="E249" s="14" t="s">
        <v>17055</v>
      </c>
      <c r="F249" t="s">
        <v>765</v>
      </c>
      <c r="G249" t="str">
        <f>Config!$B$4</f>
        <v>SCH/C_IEC.SchLib</v>
      </c>
      <c r="H249" t="s">
        <v>425</v>
      </c>
      <c r="I249" t="s">
        <v>461</v>
      </c>
      <c r="J249" t="s">
        <v>17924</v>
      </c>
      <c r="K249" s="3">
        <v>6.7999999999999997E-9</v>
      </c>
      <c r="L249" t="s">
        <v>17925</v>
      </c>
      <c r="M249" t="s">
        <v>477</v>
      </c>
      <c r="N249" t="s">
        <v>18019</v>
      </c>
      <c r="O249" t="s">
        <v>25</v>
      </c>
      <c r="P249" t="s">
        <v>18020</v>
      </c>
    </row>
    <row r="250" spans="1:16">
      <c r="A250" t="s">
        <v>18021</v>
      </c>
      <c r="B250" t="s">
        <v>18021</v>
      </c>
      <c r="C250" t="s">
        <v>18022</v>
      </c>
      <c r="D250" t="s">
        <v>21</v>
      </c>
      <c r="E250" s="14" t="s">
        <v>17055</v>
      </c>
      <c r="F250" t="s">
        <v>902</v>
      </c>
      <c r="G250" t="str">
        <f>Config!$B$4</f>
        <v>SCH/C_IEC.SchLib</v>
      </c>
      <c r="H250" t="s">
        <v>425</v>
      </c>
      <c r="I250" t="s">
        <v>461</v>
      </c>
      <c r="J250" t="s">
        <v>17924</v>
      </c>
      <c r="K250" s="3">
        <v>8.2000000000000006E-9</v>
      </c>
      <c r="L250" t="s">
        <v>17925</v>
      </c>
      <c r="M250" t="s">
        <v>477</v>
      </c>
      <c r="N250" t="s">
        <v>18023</v>
      </c>
      <c r="O250" t="s">
        <v>25</v>
      </c>
      <c r="P250" t="s">
        <v>18024</v>
      </c>
    </row>
    <row r="251" spans="1:16">
      <c r="A251" t="s">
        <v>18025</v>
      </c>
      <c r="B251" t="s">
        <v>18025</v>
      </c>
      <c r="C251" t="s">
        <v>18026</v>
      </c>
      <c r="D251" t="s">
        <v>21</v>
      </c>
      <c r="E251" s="14" t="s">
        <v>17055</v>
      </c>
      <c r="F251" t="s">
        <v>770</v>
      </c>
      <c r="G251" t="str">
        <f>Config!$B$4</f>
        <v>SCH/C_IEC.SchLib</v>
      </c>
      <c r="H251" t="s">
        <v>425</v>
      </c>
      <c r="I251" t="s">
        <v>461</v>
      </c>
      <c r="J251" t="s">
        <v>17924</v>
      </c>
      <c r="K251" s="3">
        <v>1E-8</v>
      </c>
      <c r="L251" t="s">
        <v>17925</v>
      </c>
      <c r="M251" t="s">
        <v>477</v>
      </c>
      <c r="N251" t="s">
        <v>18027</v>
      </c>
      <c r="O251" t="s">
        <v>25</v>
      </c>
      <c r="P251" t="s">
        <v>18028</v>
      </c>
    </row>
    <row r="252" spans="1:16">
      <c r="A252" t="s">
        <v>18029</v>
      </c>
      <c r="B252" t="s">
        <v>18029</v>
      </c>
      <c r="C252" t="s">
        <v>18030</v>
      </c>
      <c r="D252" t="s">
        <v>21</v>
      </c>
      <c r="E252" s="14" t="s">
        <v>17055</v>
      </c>
      <c r="F252" t="s">
        <v>991</v>
      </c>
      <c r="G252" t="str">
        <f>Config!$B$4</f>
        <v>SCH/C_IEC.SchLib</v>
      </c>
      <c r="H252" t="s">
        <v>425</v>
      </c>
      <c r="I252" t="s">
        <v>461</v>
      </c>
      <c r="J252" t="s">
        <v>17924</v>
      </c>
      <c r="K252" s="3">
        <v>9.9999999999999995E-8</v>
      </c>
      <c r="L252" t="s">
        <v>17925</v>
      </c>
      <c r="M252" t="s">
        <v>477</v>
      </c>
      <c r="N252" t="s">
        <v>18031</v>
      </c>
      <c r="O252" t="s">
        <v>25</v>
      </c>
      <c r="P252" t="s">
        <v>18032</v>
      </c>
    </row>
    <row r="253" spans="1:16">
      <c r="A253" t="s">
        <v>18039</v>
      </c>
      <c r="B253" t="s">
        <v>18039</v>
      </c>
      <c r="C253" t="s">
        <v>18034</v>
      </c>
      <c r="D253" t="s">
        <v>21</v>
      </c>
      <c r="E253" s="14" t="s">
        <v>6450</v>
      </c>
      <c r="F253" t="s">
        <v>18035</v>
      </c>
      <c r="G253" t="str">
        <f>Config!$B$4</f>
        <v>SCH/C_IEC.SchLib</v>
      </c>
      <c r="H253" t="s">
        <v>425</v>
      </c>
      <c r="I253" t="s">
        <v>461</v>
      </c>
      <c r="J253" t="s">
        <v>5956</v>
      </c>
      <c r="K253" s="3">
        <v>9.9999999999999995E-7</v>
      </c>
      <c r="L253" t="s">
        <v>18036</v>
      </c>
      <c r="M253" t="s">
        <v>4771</v>
      </c>
      <c r="N253" t="s">
        <v>18038</v>
      </c>
      <c r="O253" t="s">
        <v>25</v>
      </c>
      <c r="P253" t="s">
        <v>18037</v>
      </c>
    </row>
    <row r="254" spans="1:16">
      <c r="A254" t="s">
        <v>18040</v>
      </c>
      <c r="B254" t="s">
        <v>18040</v>
      </c>
      <c r="C254" t="s">
        <v>18041</v>
      </c>
      <c r="D254" t="s">
        <v>21</v>
      </c>
      <c r="E254" s="14" t="s">
        <v>6450</v>
      </c>
      <c r="F254" t="s">
        <v>13350</v>
      </c>
      <c r="G254" t="str">
        <f>Config!$B$4</f>
        <v>SCH/C_IEC.SchLib</v>
      </c>
      <c r="H254" t="s">
        <v>425</v>
      </c>
      <c r="I254" t="s">
        <v>461</v>
      </c>
      <c r="J254" t="s">
        <v>5956</v>
      </c>
      <c r="K254" s="3">
        <v>9.9999999999999995E-7</v>
      </c>
      <c r="L254" t="s">
        <v>18042</v>
      </c>
      <c r="M254" t="s">
        <v>4771</v>
      </c>
      <c r="N254" t="s">
        <v>18043</v>
      </c>
      <c r="O254" t="s">
        <v>25</v>
      </c>
      <c r="P254" t="s">
        <v>18044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39"/>
  <sheetViews>
    <sheetView workbookViewId="0">
      <pane xSplit="2" ySplit="1" topLeftCell="L206" activePane="bottomRight" state="frozen"/>
      <selection pane="topRight" activeCell="C1" sqref="C1"/>
      <selection pane="bottomLeft" activeCell="A2" sqref="A2"/>
      <selection pane="bottomRight" activeCell="L239" sqref="L239"/>
    </sheetView>
  </sheetViews>
  <sheetFormatPr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14921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14921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14921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14921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14921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14921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14921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14921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14921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14921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14921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14921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14921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14921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14921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14921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16833</v>
      </c>
      <c r="B238" t="s">
        <v>16833</v>
      </c>
      <c r="C238" t="s">
        <v>16834</v>
      </c>
      <c r="D238" t="s">
        <v>14911</v>
      </c>
      <c r="E238" t="s">
        <v>14910</v>
      </c>
      <c r="G238" t="str">
        <f>Config!$B$5</f>
        <v>SCH/L_ANSI.SchLib</v>
      </c>
      <c r="H238" t="s">
        <v>14913</v>
      </c>
      <c r="I238" t="s">
        <v>6538</v>
      </c>
      <c r="J238" t="s">
        <v>14920</v>
      </c>
      <c r="L238" t="s">
        <v>14919</v>
      </c>
      <c r="U238" t="s">
        <v>14911</v>
      </c>
      <c r="V238" t="s">
        <v>14914</v>
      </c>
      <c r="W238" t="s">
        <v>4559</v>
      </c>
      <c r="X238" t="s">
        <v>14915</v>
      </c>
      <c r="Y238" t="s">
        <v>4727</v>
      </c>
    </row>
    <row r="239" spans="1:25">
      <c r="A239" t="s">
        <v>14909</v>
      </c>
      <c r="B239" t="s">
        <v>14909</v>
      </c>
      <c r="C239" t="s">
        <v>14912</v>
      </c>
      <c r="D239" t="s">
        <v>14911</v>
      </c>
      <c r="E239" t="s">
        <v>14910</v>
      </c>
      <c r="G239" t="str">
        <f>Config!$B$5</f>
        <v>SCH/L_ANSI.SchLib</v>
      </c>
      <c r="H239" t="s">
        <v>14913</v>
      </c>
      <c r="I239" t="s">
        <v>6538</v>
      </c>
      <c r="J239" t="s">
        <v>14920</v>
      </c>
      <c r="L239" t="s">
        <v>14918</v>
      </c>
      <c r="U239" t="s">
        <v>14911</v>
      </c>
      <c r="V239" t="s">
        <v>14916</v>
      </c>
      <c r="W239" t="s">
        <v>4559</v>
      </c>
      <c r="X239" t="s">
        <v>14917</v>
      </c>
      <c r="Y239" t="s">
        <v>4727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H554" activePane="bottomRight" state="frozen"/>
      <selection pane="topRight" activeCell="C1" sqref="C1"/>
      <selection pane="bottomLeft" activeCell="A2" sqref="A2"/>
      <selection pane="bottomRight" activeCell="U576" sqref="U576"/>
    </sheetView>
  </sheetViews>
  <sheetFormatPr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5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5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5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5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5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5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5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5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5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5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5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5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5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5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5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  <c r="U575" t="s">
        <v>6207</v>
      </c>
      <c r="V575" t="s">
        <v>16763</v>
      </c>
      <c r="W575" t="s">
        <v>4559</v>
      </c>
      <c r="X575" t="s">
        <v>16764</v>
      </c>
      <c r="Y575" t="s">
        <v>4727</v>
      </c>
    </row>
    <row r="576" spans="1:25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75"/>
  <sheetViews>
    <sheetView zoomScale="85" zoomScaleNormal="85" workbookViewId="0">
      <pane xSplit="2" ySplit="1" topLeftCell="F237" activePane="bottomRight" state="frozen"/>
      <selection pane="topRight" activeCell="C1" sqref="C1"/>
      <selection pane="bottomLeft" activeCell="A2" sqref="A2"/>
      <selection pane="bottomRight" activeCell="C251" sqref="C251"/>
    </sheetView>
  </sheetViews>
  <sheetFormatPr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16773</v>
      </c>
      <c r="B78" t="s">
        <v>13413</v>
      </c>
      <c r="C78" t="s">
        <v>16774</v>
      </c>
      <c r="D78" t="s">
        <v>21</v>
      </c>
      <c r="G78" t="str">
        <f>Config!$B$7</f>
        <v>SCH/Connector.SchLib</v>
      </c>
      <c r="H78" t="s">
        <v>13100</v>
      </c>
      <c r="I78" t="s">
        <v>4623</v>
      </c>
      <c r="J78" t="s">
        <v>16772</v>
      </c>
      <c r="L78" s="1" t="s">
        <v>13497</v>
      </c>
      <c r="N78" t="s">
        <v>16768</v>
      </c>
      <c r="O78" t="s">
        <v>16769</v>
      </c>
      <c r="P78" t="s">
        <v>25</v>
      </c>
      <c r="Q78" t="s">
        <v>16770</v>
      </c>
    </row>
    <row r="79" spans="1:17" ht="15.75">
      <c r="A79" t="s">
        <v>16776</v>
      </c>
      <c r="B79" t="s">
        <v>16777</v>
      </c>
      <c r="C79" t="s">
        <v>16775</v>
      </c>
      <c r="D79" t="s">
        <v>21</v>
      </c>
      <c r="G79" t="str">
        <f>Config!$B$7</f>
        <v>SCH/Connector.SchLib</v>
      </c>
      <c r="H79" t="s">
        <v>13100</v>
      </c>
      <c r="I79" t="s">
        <v>4623</v>
      </c>
      <c r="J79" t="s">
        <v>16771</v>
      </c>
      <c r="L79" s="1" t="s">
        <v>13497</v>
      </c>
      <c r="N79" t="s">
        <v>16765</v>
      </c>
      <c r="O79" t="s">
        <v>16766</v>
      </c>
      <c r="P79" t="s">
        <v>25</v>
      </c>
      <c r="Q79" t="s">
        <v>16767</v>
      </c>
    </row>
    <row r="80" spans="1:17" ht="15.75">
      <c r="A80" t="s">
        <v>6361</v>
      </c>
      <c r="B80">
        <v>21033213401</v>
      </c>
      <c r="C80" t="s">
        <v>6361</v>
      </c>
      <c r="G80" t="str">
        <f>Config!$B$7</f>
        <v>SCH/Connector.SchLib</v>
      </c>
      <c r="H80" t="s">
        <v>6365</v>
      </c>
      <c r="I80" t="str">
        <f>_xlfn.CONCAT(PrivateLibraryPath,"PCB/Harting.PcbLib")</f>
        <v>../altium_lib_private/PCB/Harting.PcbLib</v>
      </c>
      <c r="J80" t="s">
        <v>6361</v>
      </c>
      <c r="L80" s="1" t="s">
        <v>13497</v>
      </c>
      <c r="M80" t="s">
        <v>6367</v>
      </c>
      <c r="N80" t="s">
        <v>6364</v>
      </c>
      <c r="O80" s="14" t="s">
        <v>6444</v>
      </c>
      <c r="P80" t="s">
        <v>25</v>
      </c>
      <c r="Q80" t="s">
        <v>6366</v>
      </c>
    </row>
    <row r="81" spans="1:25" ht="15.75">
      <c r="A81" t="s">
        <v>6362</v>
      </c>
      <c r="B81">
        <v>21033814440</v>
      </c>
      <c r="C81" t="s">
        <v>6362</v>
      </c>
      <c r="G81" t="str">
        <f>Config!$B$7</f>
        <v>SCH/Connector.SchLib</v>
      </c>
      <c r="H81" t="s">
        <v>6365</v>
      </c>
      <c r="I81" t="str">
        <f>_xlfn.CONCAT(PrivateLibraryPath,"PCB/Harting.PcbLib")</f>
        <v>../altium_lib_private/PCB/Harting.PcbLib</v>
      </c>
      <c r="J81" t="s">
        <v>6362</v>
      </c>
      <c r="L81" s="1" t="s">
        <v>13497</v>
      </c>
      <c r="M81" t="s">
        <v>6368</v>
      </c>
      <c r="N81" t="s">
        <v>6364</v>
      </c>
      <c r="O81" s="14" t="s">
        <v>6445</v>
      </c>
      <c r="P81" t="s">
        <v>25</v>
      </c>
      <c r="Q81" t="s">
        <v>6363</v>
      </c>
    </row>
    <row r="82" spans="1:25" ht="15.75">
      <c r="A82" t="s">
        <v>7936</v>
      </c>
      <c r="B82">
        <v>5600200420</v>
      </c>
      <c r="C82" t="s">
        <v>6645</v>
      </c>
      <c r="D82" t="s">
        <v>6637</v>
      </c>
      <c r="G82" t="str">
        <f>Config!$B$7</f>
        <v>SCH/Connector.SchLib</v>
      </c>
      <c r="H82" t="s">
        <v>6356</v>
      </c>
      <c r="I82" t="str">
        <f>_xlfn.CONCAT(PrivateLibraryPath,"PCB/Molex.PcbLib")</f>
        <v>../altium_lib_private/PCB/Molex.PcbLib</v>
      </c>
      <c r="J82">
        <v>5600200420</v>
      </c>
      <c r="L82" s="1" t="s">
        <v>13497</v>
      </c>
      <c r="M82" t="s">
        <v>6638</v>
      </c>
      <c r="N82" t="s">
        <v>6637</v>
      </c>
      <c r="O82" s="14" t="s">
        <v>6639</v>
      </c>
      <c r="P82" t="s">
        <v>25</v>
      </c>
      <c r="Q82" t="s">
        <v>6640</v>
      </c>
    </row>
    <row r="83" spans="1:25" ht="15.75">
      <c r="A83" t="s">
        <v>6681</v>
      </c>
      <c r="B83" t="s">
        <v>6669</v>
      </c>
      <c r="C83" t="s">
        <v>6668</v>
      </c>
      <c r="D83" t="s">
        <v>21</v>
      </c>
      <c r="G83" t="str">
        <f>Config!$B$7</f>
        <v>SCH/Connector.SchLib</v>
      </c>
      <c r="H83" t="s">
        <v>6683</v>
      </c>
      <c r="I83" t="str">
        <f>_xlfn.CONCAT(PrivateLibraryPath,"PCB/Wuerth.PcbLib")</f>
        <v>../altium_lib_private/PCB/Wuerth.PcbLib</v>
      </c>
      <c r="J83" t="s">
        <v>6684</v>
      </c>
      <c r="L83" s="1" t="s">
        <v>13497</v>
      </c>
      <c r="M83" s="26" t="s">
        <v>6672</v>
      </c>
      <c r="N83" t="s">
        <v>4279</v>
      </c>
      <c r="O83" t="s">
        <v>6669</v>
      </c>
      <c r="P83" t="s">
        <v>25</v>
      </c>
      <c r="Q83" t="s">
        <v>6674</v>
      </c>
      <c r="V83" t="s">
        <v>6676</v>
      </c>
      <c r="W83" t="s">
        <v>6679</v>
      </c>
      <c r="X83" t="s">
        <v>4559</v>
      </c>
      <c r="Y83" s="5" t="s">
        <v>6678</v>
      </c>
    </row>
    <row r="84" spans="1:25" ht="15.75">
      <c r="A84" t="s">
        <v>6682</v>
      </c>
      <c r="B84" s="14" t="s">
        <v>6670</v>
      </c>
      <c r="C84" t="s">
        <v>6671</v>
      </c>
      <c r="D84" t="s">
        <v>21</v>
      </c>
      <c r="G84" t="str">
        <f>Config!$B$7</f>
        <v>SCH/Connector.SchLib</v>
      </c>
      <c r="H84" t="s">
        <v>6683</v>
      </c>
      <c r="I84" t="str">
        <f>_xlfn.CONCAT(PrivateLibraryPath,"PCB/Wuerth.PcbLib")</f>
        <v>../altium_lib_private/PCB/Wuerth.PcbLib</v>
      </c>
      <c r="J84" t="s">
        <v>6685</v>
      </c>
      <c r="L84" s="1" t="s">
        <v>13497</v>
      </c>
      <c r="M84" s="26" t="s">
        <v>6673</v>
      </c>
      <c r="N84" t="s">
        <v>4279</v>
      </c>
      <c r="O84" s="14" t="s">
        <v>6670</v>
      </c>
      <c r="P84" t="s">
        <v>25</v>
      </c>
      <c r="Q84" t="s">
        <v>6675</v>
      </c>
      <c r="V84" t="s">
        <v>6676</v>
      </c>
      <c r="W84" t="s">
        <v>6680</v>
      </c>
      <c r="X84" t="s">
        <v>4559</v>
      </c>
      <c r="Y84" s="5" t="s">
        <v>6677</v>
      </c>
    </row>
    <row r="85" spans="1:25" ht="15.75">
      <c r="A85" t="s">
        <v>7950</v>
      </c>
      <c r="B85" s="14" t="s">
        <v>7951</v>
      </c>
      <c r="C85" t="s">
        <v>7952</v>
      </c>
      <c r="D85" t="s">
        <v>6637</v>
      </c>
      <c r="G85" t="str">
        <f>Config!$B$7</f>
        <v>SCH/Connector.SchLib</v>
      </c>
      <c r="H85" t="s">
        <v>6683</v>
      </c>
      <c r="I85" t="str">
        <f>_xlfn.CONCAT(PrivateLibraryPath,"PCB/Molex.PcbLib")</f>
        <v>../altium_lib_private/PCB/Molex.PcbLib</v>
      </c>
      <c r="J85">
        <v>855055113</v>
      </c>
      <c r="L85" s="1" t="s">
        <v>13497</v>
      </c>
      <c r="M85" s="26" t="s">
        <v>7953</v>
      </c>
      <c r="N85" t="s">
        <v>6637</v>
      </c>
      <c r="O85" s="14" t="s">
        <v>7951</v>
      </c>
      <c r="P85" t="s">
        <v>25</v>
      </c>
      <c r="Q85" t="s">
        <v>7954</v>
      </c>
      <c r="Y85" s="5"/>
    </row>
    <row r="86" spans="1:25" ht="15.75">
      <c r="A86" t="s">
        <v>6974</v>
      </c>
      <c r="B86" t="s">
        <v>6974</v>
      </c>
      <c r="C86" s="30" t="s">
        <v>6976</v>
      </c>
      <c r="D86" t="s">
        <v>6977</v>
      </c>
      <c r="G86" t="str">
        <f>Config!$B$7</f>
        <v>SCH/Connector.SchLib</v>
      </c>
      <c r="H86" t="s">
        <v>6975</v>
      </c>
      <c r="I86" t="str">
        <f>_xlfn.CONCAT(PrivateLibraryPath,"PCB/Schurter.PcbLib")</f>
        <v>../altium_lib_private/PCB/Schurter.PcbLib</v>
      </c>
      <c r="J86" t="s">
        <v>6974</v>
      </c>
      <c r="L86" s="1" t="s">
        <v>13497</v>
      </c>
      <c r="M86" s="26" t="s">
        <v>6978</v>
      </c>
      <c r="N86" t="s">
        <v>6977</v>
      </c>
      <c r="O86" t="s">
        <v>6974</v>
      </c>
      <c r="P86" t="s">
        <v>25</v>
      </c>
      <c r="Q86" t="s">
        <v>6979</v>
      </c>
    </row>
    <row r="87" spans="1:25" ht="15.75">
      <c r="A87" t="s">
        <v>6981</v>
      </c>
      <c r="B87" t="s">
        <v>6982</v>
      </c>
      <c r="C87" t="s">
        <v>6980</v>
      </c>
      <c r="D87" t="s">
        <v>21</v>
      </c>
      <c r="G87" t="str">
        <f>Config!$B$7</f>
        <v>SCH/Connector.SchLib</v>
      </c>
      <c r="H87" t="s">
        <v>6983</v>
      </c>
      <c r="I87" t="s">
        <v>6232</v>
      </c>
      <c r="J87" t="s">
        <v>6984</v>
      </c>
      <c r="L87" s="1" t="s">
        <v>13497</v>
      </c>
      <c r="M87" s="26" t="s">
        <v>6985</v>
      </c>
      <c r="N87" t="s">
        <v>6264</v>
      </c>
      <c r="O87" t="s">
        <v>6986</v>
      </c>
      <c r="P87" t="s">
        <v>25</v>
      </c>
      <c r="Q87" t="s">
        <v>6987</v>
      </c>
      <c r="V87" t="s">
        <v>6989</v>
      </c>
      <c r="W87" t="s">
        <v>6986</v>
      </c>
      <c r="X87" t="s">
        <v>4559</v>
      </c>
      <c r="Y87" t="s">
        <v>6988</v>
      </c>
    </row>
    <row r="88" spans="1:25" ht="15.75">
      <c r="A88" t="s">
        <v>6998</v>
      </c>
      <c r="B88">
        <v>430450412</v>
      </c>
      <c r="C88" t="s">
        <v>7002</v>
      </c>
      <c r="G88" t="str">
        <f>Config!$B$7</f>
        <v>SCH/Connector.SchLib</v>
      </c>
      <c r="H88" t="s">
        <v>6356</v>
      </c>
      <c r="I88" t="str">
        <f>_xlfn.CONCAT(PrivateLibraryPath,"PCB/Molex.PcbLib")</f>
        <v>../altium_lib_private/PCB/Molex.PcbLib</v>
      </c>
      <c r="J88">
        <v>430450412</v>
      </c>
      <c r="L88" s="1" t="s">
        <v>13497</v>
      </c>
      <c r="M88" s="26" t="s">
        <v>7001</v>
      </c>
      <c r="N88" t="s">
        <v>6637</v>
      </c>
      <c r="O88">
        <v>430450412</v>
      </c>
      <c r="P88" t="s">
        <v>25</v>
      </c>
      <c r="Q88" t="s">
        <v>7000</v>
      </c>
    </row>
    <row r="89" spans="1:25" ht="15.75">
      <c r="A89" t="s">
        <v>6999</v>
      </c>
      <c r="B89" s="27">
        <v>430450212</v>
      </c>
      <c r="C89" t="s">
        <v>7006</v>
      </c>
      <c r="G89" t="str">
        <f>Config!$B$7</f>
        <v>SCH/Connector.SchLib</v>
      </c>
      <c r="H89" t="s">
        <v>7005</v>
      </c>
      <c r="I89" t="str">
        <f>_xlfn.CONCAT(PrivateLibraryPath,"PCB/Molex.PcbLib")</f>
        <v>../altium_lib_private/PCB/Molex.PcbLib</v>
      </c>
      <c r="J89" s="13">
        <v>430450212</v>
      </c>
      <c r="L89" s="1" t="s">
        <v>13497</v>
      </c>
      <c r="M89" s="26" t="s">
        <v>7004</v>
      </c>
      <c r="N89" t="s">
        <v>6637</v>
      </c>
      <c r="O89" s="27">
        <v>430450212</v>
      </c>
      <c r="P89" t="s">
        <v>25</v>
      </c>
      <c r="Q89" t="s">
        <v>7003</v>
      </c>
    </row>
    <row r="90" spans="1:25" ht="15.75">
      <c r="A90" t="s">
        <v>7798</v>
      </c>
      <c r="B90">
        <v>5600200220</v>
      </c>
      <c r="C90" t="s">
        <v>7797</v>
      </c>
      <c r="D90" t="s">
        <v>6637</v>
      </c>
      <c r="G90" t="str">
        <f>Config!$B$7</f>
        <v>SCH/Connector.SchLib</v>
      </c>
      <c r="H90" t="s">
        <v>7005</v>
      </c>
      <c r="I90" t="str">
        <f>_xlfn.CONCAT(PrivateLibraryPath,"PCB/Molex.PcbLib")</f>
        <v>../altium_lib_private/PCB/Molex.PcbLib</v>
      </c>
      <c r="J90">
        <v>5600200220</v>
      </c>
      <c r="L90" s="1" t="s">
        <v>13497</v>
      </c>
      <c r="M90" s="26" t="s">
        <v>7799</v>
      </c>
      <c r="N90" t="s">
        <v>6637</v>
      </c>
      <c r="O90" s="14" t="s">
        <v>7800</v>
      </c>
      <c r="P90" t="s">
        <v>25</v>
      </c>
      <c r="Q90" t="s">
        <v>7801</v>
      </c>
    </row>
    <row r="91" spans="1:25" ht="15.75">
      <c r="A91" t="s">
        <v>7842</v>
      </c>
      <c r="B91" t="s">
        <v>7842</v>
      </c>
      <c r="C91" t="s">
        <v>7844</v>
      </c>
      <c r="D91" t="s">
        <v>7845</v>
      </c>
      <c r="G91" t="str">
        <f>Config!$B$7</f>
        <v>SCH/Connector.SchLib</v>
      </c>
      <c r="H91" t="s">
        <v>7005</v>
      </c>
      <c r="I91" t="s">
        <v>7846</v>
      </c>
      <c r="J91" t="s">
        <v>7842</v>
      </c>
      <c r="L91" s="1" t="s">
        <v>13497</v>
      </c>
      <c r="M91" s="26" t="s">
        <v>7848</v>
      </c>
      <c r="N91" t="s">
        <v>7845</v>
      </c>
      <c r="O91">
        <v>1803277</v>
      </c>
      <c r="P91" t="s">
        <v>25</v>
      </c>
      <c r="Q91" t="s">
        <v>7847</v>
      </c>
    </row>
    <row r="92" spans="1:25" ht="15.75">
      <c r="A92" t="s">
        <v>7850</v>
      </c>
      <c r="B92" t="s">
        <v>7850</v>
      </c>
      <c r="C92" t="s">
        <v>7851</v>
      </c>
      <c r="D92" t="s">
        <v>7845</v>
      </c>
      <c r="G92" t="str">
        <f>Config!$B$7</f>
        <v>SCH/Connector.SchLib</v>
      </c>
      <c r="H92" t="s">
        <v>7852</v>
      </c>
      <c r="I92" t="s">
        <v>7846</v>
      </c>
      <c r="J92" t="s">
        <v>7850</v>
      </c>
      <c r="L92" s="1" t="s">
        <v>13497</v>
      </c>
      <c r="M92" t="s">
        <v>7849</v>
      </c>
      <c r="N92" t="s">
        <v>7845</v>
      </c>
      <c r="O92">
        <v>1803280</v>
      </c>
      <c r="P92" t="s">
        <v>25</v>
      </c>
      <c r="Q92" t="s">
        <v>7913</v>
      </c>
    </row>
    <row r="93" spans="1:25" ht="15.75">
      <c r="A93" t="s">
        <v>7855</v>
      </c>
      <c r="B93" t="s">
        <v>7855</v>
      </c>
      <c r="C93" t="s">
        <v>7856</v>
      </c>
      <c r="D93" t="s">
        <v>7845</v>
      </c>
      <c r="G93" t="str">
        <f>Config!$B$7</f>
        <v>SCH/Connector.SchLib</v>
      </c>
      <c r="H93" t="s">
        <v>6356</v>
      </c>
      <c r="I93" t="s">
        <v>7846</v>
      </c>
      <c r="J93" t="s">
        <v>7855</v>
      </c>
      <c r="L93" s="1" t="s">
        <v>13497</v>
      </c>
      <c r="M93" t="s">
        <v>7896</v>
      </c>
      <c r="N93" t="s">
        <v>7845</v>
      </c>
      <c r="O93">
        <v>1803293</v>
      </c>
      <c r="P93" t="s">
        <v>25</v>
      </c>
      <c r="Q93" t="s">
        <v>7914</v>
      </c>
    </row>
    <row r="94" spans="1:25" ht="15.75">
      <c r="A94" t="s">
        <v>7853</v>
      </c>
      <c r="B94" t="s">
        <v>7853</v>
      </c>
      <c r="C94" t="s">
        <v>7854</v>
      </c>
      <c r="D94" t="s">
        <v>7845</v>
      </c>
      <c r="G94" t="str">
        <f>Config!$B$7</f>
        <v>SCH/Connector.SchLib</v>
      </c>
      <c r="H94" t="s">
        <v>6365</v>
      </c>
      <c r="I94" t="s">
        <v>7846</v>
      </c>
      <c r="J94" t="s">
        <v>7853</v>
      </c>
      <c r="L94" s="1" t="s">
        <v>13497</v>
      </c>
      <c r="M94" t="s">
        <v>7897</v>
      </c>
      <c r="N94" t="s">
        <v>7845</v>
      </c>
      <c r="O94">
        <v>1803303</v>
      </c>
      <c r="P94" t="s">
        <v>25</v>
      </c>
      <c r="Q94" t="s">
        <v>7915</v>
      </c>
    </row>
    <row r="95" spans="1:25" ht="15.75">
      <c r="A95" t="s">
        <v>7857</v>
      </c>
      <c r="B95" t="s">
        <v>7857</v>
      </c>
      <c r="C95" t="s">
        <v>7895</v>
      </c>
      <c r="D95" t="s">
        <v>7845</v>
      </c>
      <c r="G95" t="str">
        <f>Config!$B$7</f>
        <v>SCH/Connector.SchLib</v>
      </c>
      <c r="H95" t="s">
        <v>6559</v>
      </c>
      <c r="I95" t="s">
        <v>7846</v>
      </c>
      <c r="J95" t="s">
        <v>7857</v>
      </c>
      <c r="L95" s="1" t="s">
        <v>13497</v>
      </c>
      <c r="M95" t="s">
        <v>7898</v>
      </c>
      <c r="N95" t="s">
        <v>7845</v>
      </c>
      <c r="O95">
        <v>1803316</v>
      </c>
      <c r="P95" t="s">
        <v>25</v>
      </c>
      <c r="Q95" t="s">
        <v>7916</v>
      </c>
    </row>
    <row r="96" spans="1:25" ht="15.75">
      <c r="A96" t="s">
        <v>7858</v>
      </c>
      <c r="B96" t="s">
        <v>7858</v>
      </c>
      <c r="C96" t="s">
        <v>7859</v>
      </c>
      <c r="D96" t="s">
        <v>7845</v>
      </c>
      <c r="G96" t="str">
        <f>Config!$B$7</f>
        <v>SCH/Connector.SchLib</v>
      </c>
      <c r="H96" t="s">
        <v>7860</v>
      </c>
      <c r="I96" t="s">
        <v>7846</v>
      </c>
      <c r="J96" t="s">
        <v>7858</v>
      </c>
      <c r="L96" s="1" t="s">
        <v>13497</v>
      </c>
      <c r="M96" t="s">
        <v>7899</v>
      </c>
      <c r="N96" t="s">
        <v>7845</v>
      </c>
      <c r="O96">
        <v>1803329</v>
      </c>
      <c r="P96" t="s">
        <v>25</v>
      </c>
      <c r="Q96" t="s">
        <v>7917</v>
      </c>
    </row>
    <row r="97" spans="1:17" ht="15.75">
      <c r="A97" t="s">
        <v>7861</v>
      </c>
      <c r="B97" t="s">
        <v>7861</v>
      </c>
      <c r="C97" t="s">
        <v>7862</v>
      </c>
      <c r="D97" t="s">
        <v>7845</v>
      </c>
      <c r="G97" t="str">
        <f>Config!$B$7</f>
        <v>SCH/Connector.SchLib</v>
      </c>
      <c r="H97" t="s">
        <v>4429</v>
      </c>
      <c r="I97" t="s">
        <v>7846</v>
      </c>
      <c r="J97" t="s">
        <v>7861</v>
      </c>
      <c r="L97" s="1" t="s">
        <v>13497</v>
      </c>
      <c r="M97" t="s">
        <v>7900</v>
      </c>
      <c r="N97" t="s">
        <v>7845</v>
      </c>
      <c r="O97">
        <v>1803332</v>
      </c>
      <c r="P97" t="s">
        <v>25</v>
      </c>
      <c r="Q97" t="s">
        <v>7918</v>
      </c>
    </row>
    <row r="98" spans="1:17" ht="15.75">
      <c r="A98" t="s">
        <v>7863</v>
      </c>
      <c r="B98" t="s">
        <v>7863</v>
      </c>
      <c r="C98" t="s">
        <v>7864</v>
      </c>
      <c r="D98" t="s">
        <v>7845</v>
      </c>
      <c r="G98" t="str">
        <f>Config!$B$7</f>
        <v>SCH/Connector.SchLib</v>
      </c>
      <c r="H98" t="s">
        <v>7865</v>
      </c>
      <c r="I98" t="s">
        <v>7846</v>
      </c>
      <c r="J98" t="s">
        <v>7863</v>
      </c>
      <c r="L98" s="1" t="s">
        <v>13497</v>
      </c>
      <c r="M98" t="s">
        <v>7901</v>
      </c>
      <c r="N98" t="s">
        <v>7845</v>
      </c>
      <c r="O98">
        <v>1803345</v>
      </c>
      <c r="P98" t="s">
        <v>25</v>
      </c>
      <c r="Q98" t="s">
        <v>7919</v>
      </c>
    </row>
    <row r="99" spans="1:17" ht="15.75">
      <c r="A99" t="s">
        <v>7866</v>
      </c>
      <c r="B99" t="s">
        <v>7866</v>
      </c>
      <c r="C99" t="s">
        <v>7867</v>
      </c>
      <c r="D99" t="s">
        <v>7845</v>
      </c>
      <c r="G99" t="str">
        <f>Config!$B$7</f>
        <v>SCH/Connector.SchLib</v>
      </c>
      <c r="H99" t="s">
        <v>6566</v>
      </c>
      <c r="I99" t="s">
        <v>7846</v>
      </c>
      <c r="J99" t="s">
        <v>7866</v>
      </c>
      <c r="L99" s="1" t="s">
        <v>13497</v>
      </c>
      <c r="M99" t="s">
        <v>7902</v>
      </c>
      <c r="N99" t="s">
        <v>7845</v>
      </c>
      <c r="O99">
        <v>1803358</v>
      </c>
      <c r="P99" t="s">
        <v>25</v>
      </c>
      <c r="Q99" t="s">
        <v>7920</v>
      </c>
    </row>
    <row r="100" spans="1:17" ht="15.75">
      <c r="A100" t="s">
        <v>7871</v>
      </c>
      <c r="B100" t="s">
        <v>7871</v>
      </c>
      <c r="C100" t="s">
        <v>7872</v>
      </c>
      <c r="D100" t="s">
        <v>7845</v>
      </c>
      <c r="G100" t="str">
        <f>Config!$B$7</f>
        <v>SCH/Connector.SchLib</v>
      </c>
      <c r="H100" t="s">
        <v>7873</v>
      </c>
      <c r="I100" t="s">
        <v>7846</v>
      </c>
      <c r="J100" t="s">
        <v>7871</v>
      </c>
      <c r="L100" s="1" t="s">
        <v>13497</v>
      </c>
      <c r="M100" t="s">
        <v>7903</v>
      </c>
      <c r="N100" t="s">
        <v>7845</v>
      </c>
      <c r="O100">
        <v>1803361</v>
      </c>
      <c r="P100" t="s">
        <v>25</v>
      </c>
      <c r="Q100" t="s">
        <v>7921</v>
      </c>
    </row>
    <row r="101" spans="1:17" ht="15.75">
      <c r="A101" t="s">
        <v>7868</v>
      </c>
      <c r="B101" t="s">
        <v>7868</v>
      </c>
      <c r="C101" t="s">
        <v>7869</v>
      </c>
      <c r="D101" t="s">
        <v>7845</v>
      </c>
      <c r="G101" t="str">
        <f>Config!$B$7</f>
        <v>SCH/Connector.SchLib</v>
      </c>
      <c r="H101" t="s">
        <v>7870</v>
      </c>
      <c r="I101" t="s">
        <v>7846</v>
      </c>
      <c r="J101" t="s">
        <v>7868</v>
      </c>
      <c r="L101" s="1" t="s">
        <v>13497</v>
      </c>
      <c r="M101" t="s">
        <v>7904</v>
      </c>
      <c r="N101" t="s">
        <v>7845</v>
      </c>
      <c r="O101">
        <v>1803374</v>
      </c>
      <c r="P101" t="s">
        <v>25</v>
      </c>
      <c r="Q101" t="s">
        <v>7922</v>
      </c>
    </row>
    <row r="102" spans="1:17" ht="15.75">
      <c r="A102" t="s">
        <v>7874</v>
      </c>
      <c r="B102" t="s">
        <v>7874</v>
      </c>
      <c r="C102" t="s">
        <v>7875</v>
      </c>
      <c r="D102" t="s">
        <v>7845</v>
      </c>
      <c r="G102" t="str">
        <f>Config!$B$7</f>
        <v>SCH/Connector.SchLib</v>
      </c>
      <c r="H102" t="s">
        <v>7876</v>
      </c>
      <c r="I102" t="s">
        <v>7846</v>
      </c>
      <c r="J102" t="s">
        <v>7874</v>
      </c>
      <c r="L102" s="1" t="s">
        <v>13497</v>
      </c>
      <c r="M102" t="s">
        <v>7905</v>
      </c>
      <c r="N102" t="s">
        <v>7845</v>
      </c>
      <c r="O102">
        <v>1803387</v>
      </c>
      <c r="P102" t="s">
        <v>25</v>
      </c>
      <c r="Q102" t="s">
        <v>7923</v>
      </c>
    </row>
    <row r="103" spans="1:17" ht="15.75">
      <c r="A103" t="s">
        <v>7877</v>
      </c>
      <c r="B103" t="s">
        <v>7877</v>
      </c>
      <c r="C103" t="s">
        <v>7878</v>
      </c>
      <c r="D103" t="s">
        <v>7845</v>
      </c>
      <c r="G103" t="str">
        <f>Config!$B$7</f>
        <v>SCH/Connector.SchLib</v>
      </c>
      <c r="H103" t="s">
        <v>6569</v>
      </c>
      <c r="I103" t="s">
        <v>7846</v>
      </c>
      <c r="J103" t="s">
        <v>7877</v>
      </c>
      <c r="L103" s="1" t="s">
        <v>13497</v>
      </c>
      <c r="M103" t="s">
        <v>7906</v>
      </c>
      <c r="N103" t="s">
        <v>7845</v>
      </c>
      <c r="O103">
        <v>1803390</v>
      </c>
      <c r="P103" t="s">
        <v>25</v>
      </c>
      <c r="Q103" t="s">
        <v>7924</v>
      </c>
    </row>
    <row r="104" spans="1:17" ht="15.75">
      <c r="A104" t="s">
        <v>7879</v>
      </c>
      <c r="B104" t="s">
        <v>7879</v>
      </c>
      <c r="C104" t="s">
        <v>7880</v>
      </c>
      <c r="D104" t="s">
        <v>7845</v>
      </c>
      <c r="G104" t="str">
        <f>Config!$B$7</f>
        <v>SCH/Connector.SchLib</v>
      </c>
      <c r="H104" t="s">
        <v>7881</v>
      </c>
      <c r="I104" t="s">
        <v>7846</v>
      </c>
      <c r="J104" t="s">
        <v>7879</v>
      </c>
      <c r="L104" s="1" t="s">
        <v>13497</v>
      </c>
      <c r="M104" t="s">
        <v>7907</v>
      </c>
      <c r="N104" t="s">
        <v>7845</v>
      </c>
      <c r="O104">
        <v>1803400</v>
      </c>
      <c r="P104" t="s">
        <v>25</v>
      </c>
      <c r="Q104" t="s">
        <v>7925</v>
      </c>
    </row>
    <row r="105" spans="1:17" ht="15.75">
      <c r="A105" t="s">
        <v>7882</v>
      </c>
      <c r="B105" t="s">
        <v>7882</v>
      </c>
      <c r="C105" t="s">
        <v>7883</v>
      </c>
      <c r="D105" t="s">
        <v>7845</v>
      </c>
      <c r="G105" t="str">
        <f>Config!$B$7</f>
        <v>SCH/Connector.SchLib</v>
      </c>
      <c r="H105" t="s">
        <v>7884</v>
      </c>
      <c r="I105" t="s">
        <v>7846</v>
      </c>
      <c r="J105" t="s">
        <v>7882</v>
      </c>
      <c r="L105" s="1" t="s">
        <v>13497</v>
      </c>
      <c r="M105" t="s">
        <v>7908</v>
      </c>
      <c r="N105" t="s">
        <v>7845</v>
      </c>
      <c r="O105">
        <v>1803413</v>
      </c>
      <c r="P105" t="s">
        <v>25</v>
      </c>
      <c r="Q105" t="s">
        <v>7926</v>
      </c>
    </row>
    <row r="106" spans="1:17" ht="15.75">
      <c r="A106" t="s">
        <v>7885</v>
      </c>
      <c r="B106" t="s">
        <v>7885</v>
      </c>
      <c r="C106" t="s">
        <v>7886</v>
      </c>
      <c r="D106" t="s">
        <v>7845</v>
      </c>
      <c r="G106" t="str">
        <f>Config!$B$7</f>
        <v>SCH/Connector.SchLib</v>
      </c>
      <c r="H106" t="s">
        <v>7887</v>
      </c>
      <c r="I106" t="s">
        <v>7846</v>
      </c>
      <c r="J106" t="s">
        <v>7885</v>
      </c>
      <c r="L106" s="1" t="s">
        <v>13497</v>
      </c>
      <c r="M106" t="s">
        <v>7909</v>
      </c>
      <c r="N106" t="s">
        <v>7845</v>
      </c>
      <c r="O106">
        <v>1841307</v>
      </c>
      <c r="P106" t="s">
        <v>25</v>
      </c>
      <c r="Q106" t="s">
        <v>7927</v>
      </c>
    </row>
    <row r="107" spans="1:17" ht="15.75">
      <c r="A107" t="s">
        <v>7888</v>
      </c>
      <c r="B107" t="s">
        <v>7888</v>
      </c>
      <c r="C107" t="s">
        <v>7889</v>
      </c>
      <c r="D107" t="s">
        <v>7845</v>
      </c>
      <c r="G107" t="str">
        <f>Config!$B$7</f>
        <v>SCH/Connector.SchLib</v>
      </c>
      <c r="H107" t="s">
        <v>7890</v>
      </c>
      <c r="I107" t="s">
        <v>7846</v>
      </c>
      <c r="J107" t="s">
        <v>7888</v>
      </c>
      <c r="L107" s="1" t="s">
        <v>13497</v>
      </c>
      <c r="M107" t="s">
        <v>7910</v>
      </c>
      <c r="N107" t="s">
        <v>7845</v>
      </c>
      <c r="O107">
        <v>1841297</v>
      </c>
      <c r="P107" t="s">
        <v>25</v>
      </c>
      <c r="Q107" t="s">
        <v>7928</v>
      </c>
    </row>
    <row r="108" spans="1:17" ht="15.75">
      <c r="A108" t="s">
        <v>7891</v>
      </c>
      <c r="B108" t="s">
        <v>7891</v>
      </c>
      <c r="C108" t="s">
        <v>7892</v>
      </c>
      <c r="D108" t="s">
        <v>7845</v>
      </c>
      <c r="G108" t="str">
        <f>Config!$B$7</f>
        <v>SCH/Connector.SchLib</v>
      </c>
      <c r="H108" t="s">
        <v>7893</v>
      </c>
      <c r="I108" t="s">
        <v>7846</v>
      </c>
      <c r="J108" t="s">
        <v>7891</v>
      </c>
      <c r="L108" s="1" t="s">
        <v>13497</v>
      </c>
      <c r="M108" t="s">
        <v>7911</v>
      </c>
      <c r="N108" t="s">
        <v>7845</v>
      </c>
      <c r="O108">
        <v>1841284</v>
      </c>
      <c r="P108" t="s">
        <v>25</v>
      </c>
      <c r="Q108" t="s">
        <v>7929</v>
      </c>
    </row>
    <row r="109" spans="1:17" ht="15.75">
      <c r="A109" t="s">
        <v>7841</v>
      </c>
      <c r="B109" t="s">
        <v>7841</v>
      </c>
      <c r="C109" t="s">
        <v>7843</v>
      </c>
      <c r="D109" t="s">
        <v>7845</v>
      </c>
      <c r="G109" t="str">
        <f>Config!$B$7</f>
        <v>SCH/Connector.SchLib</v>
      </c>
      <c r="H109" t="s">
        <v>7894</v>
      </c>
      <c r="I109" t="s">
        <v>7846</v>
      </c>
      <c r="J109" t="s">
        <v>7841</v>
      </c>
      <c r="L109" s="1" t="s">
        <v>13497</v>
      </c>
      <c r="M109" t="s">
        <v>7912</v>
      </c>
      <c r="N109" t="s">
        <v>7845</v>
      </c>
      <c r="O109">
        <v>1841271</v>
      </c>
      <c r="P109" t="s">
        <v>25</v>
      </c>
      <c r="Q109" t="s">
        <v>7930</v>
      </c>
    </row>
    <row r="110" spans="1:17" ht="15.75">
      <c r="A110" t="s">
        <v>7931</v>
      </c>
      <c r="B110">
        <v>5600200820</v>
      </c>
      <c r="C110" t="s">
        <v>7932</v>
      </c>
      <c r="D110" t="s">
        <v>6637</v>
      </c>
      <c r="G110" t="str">
        <f>Config!$B$7</f>
        <v>SCH/Connector.SchLib</v>
      </c>
      <c r="H110" t="s">
        <v>4429</v>
      </c>
      <c r="I110" t="str">
        <f>_xlfn.CONCAT(PrivateLibraryPath,"PCB/Molex.PcbLib")</f>
        <v>../altium_lib_private/PCB/Molex.PcbLib</v>
      </c>
      <c r="J110">
        <v>5600200820</v>
      </c>
      <c r="L110" s="1" t="s">
        <v>13497</v>
      </c>
      <c r="M110" s="26" t="s">
        <v>7934</v>
      </c>
      <c r="N110" t="s">
        <v>6637</v>
      </c>
      <c r="O110" s="14" t="s">
        <v>7933</v>
      </c>
      <c r="P110" t="s">
        <v>25</v>
      </c>
      <c r="Q110" t="s">
        <v>7935</v>
      </c>
    </row>
    <row r="111" spans="1:17" ht="15.75">
      <c r="A111" t="s">
        <v>7955</v>
      </c>
      <c r="B111">
        <v>21033811418</v>
      </c>
      <c r="C111" t="s">
        <v>7955</v>
      </c>
      <c r="D111" t="s">
        <v>7956</v>
      </c>
      <c r="G111" t="str">
        <f>Config!$B$7</f>
        <v>SCH/Connector.SchLib</v>
      </c>
      <c r="H111" t="s">
        <v>6365</v>
      </c>
      <c r="I111" t="str">
        <f>_xlfn.CONCAT(PrivateLibraryPath,"PCB/Harting.PcbLib")</f>
        <v>../altium_lib_private/PCB/Harting.PcbLib</v>
      </c>
      <c r="J111" t="s">
        <v>7955</v>
      </c>
      <c r="L111" s="1" t="s">
        <v>13497</v>
      </c>
      <c r="M111" s="28" t="s">
        <v>7957</v>
      </c>
      <c r="N111" t="s">
        <v>6364</v>
      </c>
      <c r="O111">
        <v>21033811418</v>
      </c>
      <c r="P111" t="s">
        <v>25</v>
      </c>
      <c r="Q111" t="s">
        <v>7958</v>
      </c>
    </row>
    <row r="112" spans="1:17" ht="15.75">
      <c r="A112" t="s">
        <v>7979</v>
      </c>
      <c r="B112" t="s">
        <v>7979</v>
      </c>
      <c r="C112" t="s">
        <v>7980</v>
      </c>
      <c r="D112" t="s">
        <v>7981</v>
      </c>
      <c r="G112" t="str">
        <f>Config!$B$7</f>
        <v>SCH/Connector.SchLib</v>
      </c>
      <c r="H112" t="s">
        <v>7982</v>
      </c>
      <c r="I112" t="s">
        <v>7983</v>
      </c>
      <c r="J112" t="s">
        <v>7984</v>
      </c>
      <c r="L112" s="1" t="s">
        <v>13497</v>
      </c>
      <c r="M112" t="s">
        <v>7985</v>
      </c>
      <c r="N112" t="s">
        <v>7986</v>
      </c>
      <c r="O112" t="s">
        <v>7987</v>
      </c>
      <c r="P112" t="s">
        <v>25</v>
      </c>
      <c r="Q112" t="s">
        <v>7988</v>
      </c>
    </row>
    <row r="113" spans="1:17" ht="15.75">
      <c r="A113" t="s">
        <v>8477</v>
      </c>
      <c r="B113" t="s">
        <v>8481</v>
      </c>
      <c r="C113" t="s">
        <v>8482</v>
      </c>
      <c r="D113" t="s">
        <v>8475</v>
      </c>
      <c r="G113" t="str">
        <f>Config!$B$7</f>
        <v>SCH/Connector.SchLib</v>
      </c>
      <c r="H113" t="s">
        <v>6559</v>
      </c>
      <c r="I113" t="s">
        <v>8476</v>
      </c>
      <c r="J113" t="s">
        <v>8477</v>
      </c>
      <c r="L113" s="1" t="s">
        <v>13497</v>
      </c>
      <c r="M113" t="s">
        <v>8478</v>
      </c>
      <c r="N113" t="s">
        <v>6374</v>
      </c>
      <c r="O113" t="s">
        <v>8479</v>
      </c>
      <c r="P113" t="s">
        <v>25</v>
      </c>
      <c r="Q113" t="s">
        <v>8480</v>
      </c>
    </row>
    <row r="114" spans="1:17" ht="15.75">
      <c r="A114" t="s">
        <v>8525</v>
      </c>
      <c r="B114" t="s">
        <v>8525</v>
      </c>
      <c r="C114" t="s">
        <v>8526</v>
      </c>
      <c r="D114" t="s">
        <v>8527</v>
      </c>
      <c r="G114" t="str">
        <f>Config!$B$7</f>
        <v>SCH/Connector.SchLib</v>
      </c>
      <c r="H114" t="s">
        <v>6975</v>
      </c>
      <c r="I114" t="s">
        <v>8528</v>
      </c>
      <c r="J114" t="s">
        <v>8525</v>
      </c>
      <c r="L114" s="1" t="s">
        <v>13497</v>
      </c>
      <c r="M114" t="s">
        <v>8529</v>
      </c>
      <c r="N114" t="s">
        <v>8530</v>
      </c>
      <c r="O114" t="s">
        <v>8525</v>
      </c>
      <c r="P114" t="s">
        <v>25</v>
      </c>
      <c r="Q114" t="s">
        <v>8531</v>
      </c>
    </row>
    <row r="115" spans="1:17" ht="15.75">
      <c r="A115" t="s">
        <v>8532</v>
      </c>
      <c r="B115" t="s">
        <v>8532</v>
      </c>
      <c r="C115" t="s">
        <v>8533</v>
      </c>
      <c r="D115" t="s">
        <v>8527</v>
      </c>
      <c r="G115" t="str">
        <f>Config!$B$7</f>
        <v>SCH/Connector.SchLib</v>
      </c>
      <c r="H115" t="s">
        <v>6975</v>
      </c>
      <c r="I115" t="s">
        <v>8528</v>
      </c>
      <c r="J115" t="s">
        <v>8532</v>
      </c>
      <c r="L115" s="1" t="s">
        <v>13497</v>
      </c>
      <c r="M115" t="s">
        <v>8534</v>
      </c>
      <c r="N115" t="s">
        <v>8530</v>
      </c>
      <c r="O115" t="s">
        <v>8532</v>
      </c>
      <c r="P115" t="s">
        <v>25</v>
      </c>
      <c r="Q115" t="s">
        <v>8535</v>
      </c>
    </row>
    <row r="116" spans="1:17" ht="15.75">
      <c r="A116" t="s">
        <v>12311</v>
      </c>
      <c r="B116" t="s">
        <v>12313</v>
      </c>
      <c r="C116" t="s">
        <v>12312</v>
      </c>
      <c r="D116" t="s">
        <v>12314</v>
      </c>
      <c r="G116" t="str">
        <f>Config!$B$7</f>
        <v>SCH/Connector.SchLib</v>
      </c>
      <c r="H116" t="s">
        <v>12319</v>
      </c>
      <c r="I116" t="s">
        <v>12318</v>
      </c>
      <c r="J116" t="s">
        <v>12317</v>
      </c>
      <c r="L116" s="1" t="s">
        <v>13497</v>
      </c>
      <c r="M116" t="s">
        <v>12316</v>
      </c>
      <c r="N116" t="s">
        <v>12314</v>
      </c>
      <c r="O116" t="s">
        <v>12311</v>
      </c>
      <c r="P116" t="s">
        <v>25</v>
      </c>
      <c r="Q116" t="s">
        <v>12315</v>
      </c>
    </row>
    <row r="117" spans="1:17" ht="15.75">
      <c r="A117" t="s">
        <v>12324</v>
      </c>
      <c r="B117" t="s">
        <v>12322</v>
      </c>
      <c r="C117" t="s">
        <v>12323</v>
      </c>
      <c r="G117" t="str">
        <f>Config!$B$7</f>
        <v>SCH/Connector.SchLib</v>
      </c>
      <c r="H117" t="s">
        <v>12320</v>
      </c>
      <c r="I117" t="s">
        <v>12318</v>
      </c>
      <c r="J117" t="s">
        <v>12321</v>
      </c>
      <c r="L117" s="1" t="s">
        <v>13497</v>
      </c>
    </row>
    <row r="118" spans="1:17" ht="15.75">
      <c r="A118" t="s">
        <v>12168</v>
      </c>
      <c r="B118" t="s">
        <v>12168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12151</v>
      </c>
      <c r="P118" t="s">
        <v>8459</v>
      </c>
      <c r="Q118">
        <v>14021770</v>
      </c>
    </row>
    <row r="119" spans="1:17" ht="15.75">
      <c r="A119" t="s">
        <v>12169</v>
      </c>
      <c r="B119" t="s">
        <v>12169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12152</v>
      </c>
      <c r="P119" t="s">
        <v>8459</v>
      </c>
      <c r="Q119">
        <v>14021767</v>
      </c>
    </row>
    <row r="120" spans="1:17" ht="15.75">
      <c r="A120" t="s">
        <v>12145</v>
      </c>
      <c r="B120" t="s">
        <v>12145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12150</v>
      </c>
      <c r="P120" t="s">
        <v>8459</v>
      </c>
      <c r="Q120">
        <v>14021765</v>
      </c>
    </row>
    <row r="121" spans="1:17" ht="15.75">
      <c r="A121" t="s">
        <v>12170</v>
      </c>
      <c r="B121" t="s">
        <v>12170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12153</v>
      </c>
      <c r="P121" t="s">
        <v>8459</v>
      </c>
      <c r="Q121">
        <v>14021766</v>
      </c>
    </row>
    <row r="122" spans="1:17" ht="15.75">
      <c r="A122" t="s">
        <v>12171</v>
      </c>
      <c r="B122" t="s">
        <v>12171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12154</v>
      </c>
      <c r="P122" t="s">
        <v>8459</v>
      </c>
      <c r="Q122">
        <v>14021768</v>
      </c>
    </row>
    <row r="123" spans="1:17" ht="15.75">
      <c r="A123" t="s">
        <v>12172</v>
      </c>
      <c r="B123" t="s">
        <v>12172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12155</v>
      </c>
      <c r="P123" t="s">
        <v>8459</v>
      </c>
      <c r="Q123">
        <v>14021769</v>
      </c>
    </row>
    <row r="124" spans="1:17" ht="15.75">
      <c r="A124" t="s">
        <v>12173</v>
      </c>
      <c r="B124" t="s">
        <v>12173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12156</v>
      </c>
      <c r="P124" t="s">
        <v>8459</v>
      </c>
      <c r="Q124">
        <v>30136205</v>
      </c>
    </row>
    <row r="125" spans="1:17" ht="15.75">
      <c r="A125" t="s">
        <v>12174</v>
      </c>
      <c r="B125" t="s">
        <v>12174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12157</v>
      </c>
      <c r="P125" t="s">
        <v>8459</v>
      </c>
      <c r="Q125">
        <v>14022426</v>
      </c>
    </row>
    <row r="126" spans="1:17" ht="15.75">
      <c r="A126" t="s">
        <v>12175</v>
      </c>
      <c r="B126" t="s">
        <v>12175</v>
      </c>
      <c r="C126" t="s">
        <v>12395</v>
      </c>
      <c r="D126" t="s">
        <v>12146</v>
      </c>
      <c r="G126" t="str">
        <f>Config!$B$7</f>
        <v>SCH/Connector.SchLib</v>
      </c>
      <c r="H126" t="s">
        <v>6983</v>
      </c>
      <c r="I126" s="39"/>
      <c r="J126" s="39"/>
      <c r="L126" s="1" t="s">
        <v>13497</v>
      </c>
      <c r="M126" t="s">
        <v>12391</v>
      </c>
      <c r="N126" t="s">
        <v>12147</v>
      </c>
      <c r="O126" t="s">
        <v>12158</v>
      </c>
      <c r="P126" t="s">
        <v>8459</v>
      </c>
      <c r="Q126">
        <v>14022425</v>
      </c>
    </row>
    <row r="127" spans="1:17" ht="15.75">
      <c r="A127" t="s">
        <v>12176</v>
      </c>
      <c r="B127" t="s">
        <v>12176</v>
      </c>
      <c r="C127" t="s">
        <v>12395</v>
      </c>
      <c r="D127" t="s">
        <v>12146</v>
      </c>
      <c r="G127" t="str">
        <f>Config!$B$7</f>
        <v>SCH/Connector.SchLib</v>
      </c>
      <c r="H127" t="s">
        <v>6983</v>
      </c>
      <c r="I127" s="39"/>
      <c r="J127" s="39"/>
      <c r="L127" s="1" t="s">
        <v>13497</v>
      </c>
      <c r="M127" t="s">
        <v>12391</v>
      </c>
      <c r="N127" t="s">
        <v>12147</v>
      </c>
      <c r="O127" t="s">
        <v>12159</v>
      </c>
      <c r="P127" t="s">
        <v>8459</v>
      </c>
      <c r="Q127">
        <v>14021772</v>
      </c>
    </row>
    <row r="128" spans="1:17" ht="15.75">
      <c r="A128" t="s">
        <v>12177</v>
      </c>
      <c r="B128" t="s">
        <v>12177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13455</v>
      </c>
      <c r="L128" s="1" t="s">
        <v>13497</v>
      </c>
      <c r="M128" t="s">
        <v>12392</v>
      </c>
      <c r="N128" t="s">
        <v>12147</v>
      </c>
      <c r="O128" t="s">
        <v>12160</v>
      </c>
      <c r="P128" t="s">
        <v>8459</v>
      </c>
      <c r="Q128">
        <v>30136216</v>
      </c>
    </row>
    <row r="129" spans="1:17" ht="15.75">
      <c r="A129" t="s">
        <v>12178</v>
      </c>
      <c r="B129" t="s">
        <v>12178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13456</v>
      </c>
      <c r="L129" s="1" t="s">
        <v>13497</v>
      </c>
      <c r="M129" t="s">
        <v>12392</v>
      </c>
      <c r="N129" t="s">
        <v>12147</v>
      </c>
      <c r="O129" t="s">
        <v>12161</v>
      </c>
      <c r="P129" t="s">
        <v>8459</v>
      </c>
      <c r="Q129">
        <v>30136217</v>
      </c>
    </row>
    <row r="130" spans="1:17" ht="15.75">
      <c r="A130" t="s">
        <v>12149</v>
      </c>
      <c r="B130" t="s">
        <v>12149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13453</v>
      </c>
      <c r="L130" s="1" t="s">
        <v>13497</v>
      </c>
      <c r="M130" t="s">
        <v>12392</v>
      </c>
      <c r="N130" t="s">
        <v>12147</v>
      </c>
      <c r="O130" t="s">
        <v>12148</v>
      </c>
      <c r="P130" t="s">
        <v>8459</v>
      </c>
      <c r="Q130">
        <v>30136218</v>
      </c>
    </row>
    <row r="131" spans="1:17" ht="15.75">
      <c r="A131" t="s">
        <v>12179</v>
      </c>
      <c r="B131" t="s">
        <v>12179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13457</v>
      </c>
      <c r="L131" s="1" t="s">
        <v>13497</v>
      </c>
      <c r="M131" t="s">
        <v>12392</v>
      </c>
      <c r="N131" t="s">
        <v>12147</v>
      </c>
      <c r="O131" t="s">
        <v>12162</v>
      </c>
      <c r="P131" t="s">
        <v>8459</v>
      </c>
      <c r="Q131">
        <v>30136219</v>
      </c>
    </row>
    <row r="132" spans="1:17" ht="15.75">
      <c r="A132" t="s">
        <v>12180</v>
      </c>
      <c r="B132" t="s">
        <v>12180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13458</v>
      </c>
      <c r="L132" s="1" t="s">
        <v>13497</v>
      </c>
      <c r="M132" t="s">
        <v>12392</v>
      </c>
      <c r="N132" t="s">
        <v>12147</v>
      </c>
      <c r="O132" t="s">
        <v>12163</v>
      </c>
      <c r="P132" t="s">
        <v>8459</v>
      </c>
      <c r="Q132">
        <v>30136220</v>
      </c>
    </row>
    <row r="133" spans="1:17" ht="15.75">
      <c r="A133" t="s">
        <v>12181</v>
      </c>
      <c r="B133" t="s">
        <v>12181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13459</v>
      </c>
      <c r="L133" s="1" t="s">
        <v>13497</v>
      </c>
      <c r="M133" t="s">
        <v>12392</v>
      </c>
      <c r="N133" t="s">
        <v>12147</v>
      </c>
      <c r="O133" t="s">
        <v>12164</v>
      </c>
      <c r="P133" t="s">
        <v>8459</v>
      </c>
      <c r="Q133">
        <v>30136221</v>
      </c>
    </row>
    <row r="134" spans="1:17" ht="15.75">
      <c r="A134" t="s">
        <v>12182</v>
      </c>
      <c r="B134" t="s">
        <v>12182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13460</v>
      </c>
      <c r="L134" s="1" t="s">
        <v>13497</v>
      </c>
      <c r="M134" t="s">
        <v>12392</v>
      </c>
      <c r="N134" t="s">
        <v>12147</v>
      </c>
      <c r="O134" t="s">
        <v>12165</v>
      </c>
      <c r="P134" t="s">
        <v>8459</v>
      </c>
      <c r="Q134">
        <v>30136222</v>
      </c>
    </row>
    <row r="135" spans="1:17" ht="15.75">
      <c r="A135" t="s">
        <v>12183</v>
      </c>
      <c r="B135" t="s">
        <v>12183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13461</v>
      </c>
      <c r="L135" s="1" t="s">
        <v>13497</v>
      </c>
      <c r="M135" t="s">
        <v>12392</v>
      </c>
      <c r="N135" t="s">
        <v>12147</v>
      </c>
      <c r="O135" t="s">
        <v>12166</v>
      </c>
      <c r="P135" t="s">
        <v>8459</v>
      </c>
      <c r="Q135">
        <v>30136223</v>
      </c>
    </row>
    <row r="136" spans="1:17" ht="15.75">
      <c r="A136" t="s">
        <v>12184</v>
      </c>
      <c r="B136" t="s">
        <v>12184</v>
      </c>
      <c r="C136" t="s">
        <v>12396</v>
      </c>
      <c r="D136" t="s">
        <v>12146</v>
      </c>
      <c r="G136" t="str">
        <f>Config!$B$7</f>
        <v>SCH/Connector.SchLib</v>
      </c>
      <c r="H136" t="s">
        <v>6983</v>
      </c>
      <c r="I136" t="s">
        <v>13454</v>
      </c>
      <c r="J136" t="s">
        <v>13462</v>
      </c>
      <c r="L136" s="1" t="s">
        <v>13497</v>
      </c>
      <c r="M136" t="s">
        <v>12392</v>
      </c>
      <c r="N136" t="s">
        <v>12147</v>
      </c>
      <c r="O136" t="s">
        <v>12167</v>
      </c>
      <c r="P136" t="s">
        <v>8459</v>
      </c>
      <c r="Q136">
        <v>30136224</v>
      </c>
    </row>
    <row r="137" spans="1:17" ht="15.75">
      <c r="A137" t="s">
        <v>12185</v>
      </c>
      <c r="B137" t="s">
        <v>12185</v>
      </c>
      <c r="C137" t="s">
        <v>12396</v>
      </c>
      <c r="D137" t="s">
        <v>12146</v>
      </c>
      <c r="G137" t="str">
        <f>Config!$B$7</f>
        <v>SCH/Connector.SchLib</v>
      </c>
      <c r="H137" t="s">
        <v>6983</v>
      </c>
      <c r="I137" t="s">
        <v>13454</v>
      </c>
      <c r="J137" t="s">
        <v>13463</v>
      </c>
      <c r="L137" s="1" t="s">
        <v>13497</v>
      </c>
      <c r="M137" t="s">
        <v>12392</v>
      </c>
      <c r="N137" t="s">
        <v>12147</v>
      </c>
      <c r="O137" t="s">
        <v>12452</v>
      </c>
    </row>
    <row r="138" spans="1:17" ht="15.75">
      <c r="A138" t="s">
        <v>16789</v>
      </c>
      <c r="B138" t="s">
        <v>12177</v>
      </c>
      <c r="C138" t="s">
        <v>12396</v>
      </c>
      <c r="D138" t="s">
        <v>12146</v>
      </c>
      <c r="G138" t="str">
        <f>Config!$B$7</f>
        <v>SCH/Connector.SchLib</v>
      </c>
      <c r="H138" t="s">
        <v>6983</v>
      </c>
      <c r="I138" t="s">
        <v>16790</v>
      </c>
      <c r="J138" t="s">
        <v>13455</v>
      </c>
      <c r="L138" s="1" t="s">
        <v>13497</v>
      </c>
      <c r="M138" t="s">
        <v>12392</v>
      </c>
      <c r="N138" t="s">
        <v>12147</v>
      </c>
      <c r="O138" t="s">
        <v>12160</v>
      </c>
      <c r="P138" t="s">
        <v>8459</v>
      </c>
      <c r="Q138">
        <v>30136216</v>
      </c>
    </row>
    <row r="139" spans="1:17" ht="15.75">
      <c r="A139" t="s">
        <v>16791</v>
      </c>
      <c r="B139" t="s">
        <v>12178</v>
      </c>
      <c r="C139" t="s">
        <v>12396</v>
      </c>
      <c r="D139" t="s">
        <v>12146</v>
      </c>
      <c r="G139" t="str">
        <f>Config!$B$7</f>
        <v>SCH/Connector.SchLib</v>
      </c>
      <c r="H139" t="s">
        <v>6983</v>
      </c>
      <c r="I139" t="s">
        <v>16790</v>
      </c>
      <c r="J139" t="s">
        <v>13456</v>
      </c>
      <c r="L139" s="1" t="s">
        <v>13497</v>
      </c>
      <c r="M139" t="s">
        <v>12392</v>
      </c>
      <c r="N139" t="s">
        <v>12147</v>
      </c>
      <c r="O139" t="s">
        <v>12161</v>
      </c>
      <c r="P139" t="s">
        <v>8459</v>
      </c>
      <c r="Q139">
        <v>30136217</v>
      </c>
    </row>
    <row r="140" spans="1:17" ht="15.75">
      <c r="A140" t="s">
        <v>16792</v>
      </c>
      <c r="B140" t="s">
        <v>12149</v>
      </c>
      <c r="C140" t="s">
        <v>12396</v>
      </c>
      <c r="D140" t="s">
        <v>12146</v>
      </c>
      <c r="G140" t="str">
        <f>Config!$B$7</f>
        <v>SCH/Connector.SchLib</v>
      </c>
      <c r="H140" t="s">
        <v>6983</v>
      </c>
      <c r="I140" t="s">
        <v>16790</v>
      </c>
      <c r="J140" t="s">
        <v>13453</v>
      </c>
      <c r="L140" s="1" t="s">
        <v>13497</v>
      </c>
      <c r="M140" t="s">
        <v>12392</v>
      </c>
      <c r="N140" t="s">
        <v>12147</v>
      </c>
      <c r="O140" t="s">
        <v>12148</v>
      </c>
      <c r="P140" t="s">
        <v>8459</v>
      </c>
      <c r="Q140">
        <v>30136218</v>
      </c>
    </row>
    <row r="141" spans="1:17" ht="15.75">
      <c r="A141" t="s">
        <v>16793</v>
      </c>
      <c r="B141" t="s">
        <v>12179</v>
      </c>
      <c r="C141" t="s">
        <v>12396</v>
      </c>
      <c r="D141" t="s">
        <v>12146</v>
      </c>
      <c r="G141" t="str">
        <f>Config!$B$7</f>
        <v>SCH/Connector.SchLib</v>
      </c>
      <c r="H141" t="s">
        <v>6983</v>
      </c>
      <c r="I141" t="s">
        <v>16790</v>
      </c>
      <c r="J141" t="s">
        <v>13457</v>
      </c>
      <c r="L141" s="1" t="s">
        <v>13497</v>
      </c>
      <c r="M141" t="s">
        <v>12392</v>
      </c>
      <c r="N141" t="s">
        <v>12147</v>
      </c>
      <c r="O141" t="s">
        <v>12162</v>
      </c>
      <c r="P141" t="s">
        <v>8459</v>
      </c>
      <c r="Q141">
        <v>30136219</v>
      </c>
    </row>
    <row r="142" spans="1:17" ht="15.75">
      <c r="A142" t="s">
        <v>16794</v>
      </c>
      <c r="B142" t="s">
        <v>12180</v>
      </c>
      <c r="C142" t="s">
        <v>12396</v>
      </c>
      <c r="D142" t="s">
        <v>12146</v>
      </c>
      <c r="G142" t="str">
        <f>Config!$B$7</f>
        <v>SCH/Connector.SchLib</v>
      </c>
      <c r="H142" t="s">
        <v>6983</v>
      </c>
      <c r="I142" t="s">
        <v>16790</v>
      </c>
      <c r="J142" t="s">
        <v>13458</v>
      </c>
      <c r="L142" s="1" t="s">
        <v>13497</v>
      </c>
      <c r="M142" t="s">
        <v>12392</v>
      </c>
      <c r="N142" t="s">
        <v>12147</v>
      </c>
      <c r="O142" t="s">
        <v>12163</v>
      </c>
      <c r="P142" t="s">
        <v>8459</v>
      </c>
      <c r="Q142">
        <v>30136220</v>
      </c>
    </row>
    <row r="143" spans="1:17" ht="15.75">
      <c r="A143" t="s">
        <v>16795</v>
      </c>
      <c r="B143" t="s">
        <v>12181</v>
      </c>
      <c r="C143" t="s">
        <v>12396</v>
      </c>
      <c r="D143" t="s">
        <v>12146</v>
      </c>
      <c r="G143" t="str">
        <f>Config!$B$7</f>
        <v>SCH/Connector.SchLib</v>
      </c>
      <c r="H143" t="s">
        <v>6983</v>
      </c>
      <c r="I143" t="s">
        <v>16790</v>
      </c>
      <c r="J143" t="s">
        <v>13459</v>
      </c>
      <c r="L143" s="1" t="s">
        <v>13497</v>
      </c>
      <c r="M143" t="s">
        <v>12392</v>
      </c>
      <c r="N143" t="s">
        <v>12147</v>
      </c>
      <c r="O143" t="s">
        <v>12164</v>
      </c>
      <c r="P143" t="s">
        <v>8459</v>
      </c>
      <c r="Q143">
        <v>30136221</v>
      </c>
    </row>
    <row r="144" spans="1:17" ht="15.75">
      <c r="A144" t="s">
        <v>16796</v>
      </c>
      <c r="B144" t="s">
        <v>12182</v>
      </c>
      <c r="C144" t="s">
        <v>12396</v>
      </c>
      <c r="D144" t="s">
        <v>12146</v>
      </c>
      <c r="G144" t="str">
        <f>Config!$B$7</f>
        <v>SCH/Connector.SchLib</v>
      </c>
      <c r="H144" t="s">
        <v>6983</v>
      </c>
      <c r="I144" t="s">
        <v>16790</v>
      </c>
      <c r="J144" t="s">
        <v>13460</v>
      </c>
      <c r="L144" s="1" t="s">
        <v>13497</v>
      </c>
      <c r="M144" t="s">
        <v>12392</v>
      </c>
      <c r="N144" t="s">
        <v>12147</v>
      </c>
      <c r="O144" t="s">
        <v>12165</v>
      </c>
      <c r="P144" t="s">
        <v>8459</v>
      </c>
      <c r="Q144">
        <v>30136222</v>
      </c>
    </row>
    <row r="145" spans="1:17" ht="15.75">
      <c r="A145" t="s">
        <v>16797</v>
      </c>
      <c r="B145" t="s">
        <v>12183</v>
      </c>
      <c r="C145" t="s">
        <v>12396</v>
      </c>
      <c r="D145" t="s">
        <v>12146</v>
      </c>
      <c r="G145" t="str">
        <f>Config!$B$7</f>
        <v>SCH/Connector.SchLib</v>
      </c>
      <c r="H145" t="s">
        <v>6983</v>
      </c>
      <c r="I145" t="s">
        <v>16790</v>
      </c>
      <c r="J145" t="s">
        <v>13461</v>
      </c>
      <c r="L145" s="1" t="s">
        <v>13497</v>
      </c>
      <c r="M145" t="s">
        <v>12392</v>
      </c>
      <c r="N145" t="s">
        <v>12147</v>
      </c>
      <c r="O145" t="s">
        <v>12166</v>
      </c>
      <c r="P145" t="s">
        <v>8459</v>
      </c>
      <c r="Q145">
        <v>30136223</v>
      </c>
    </row>
    <row r="146" spans="1:17" ht="15.75">
      <c r="A146" t="s">
        <v>16798</v>
      </c>
      <c r="B146" t="s">
        <v>12184</v>
      </c>
      <c r="C146" t="s">
        <v>12396</v>
      </c>
      <c r="D146" t="s">
        <v>12146</v>
      </c>
      <c r="G146" t="str">
        <f>Config!$B$7</f>
        <v>SCH/Connector.SchLib</v>
      </c>
      <c r="H146" t="s">
        <v>6983</v>
      </c>
      <c r="I146" t="s">
        <v>16790</v>
      </c>
      <c r="J146" t="s">
        <v>13462</v>
      </c>
      <c r="L146" s="1" t="s">
        <v>13497</v>
      </c>
      <c r="M146" t="s">
        <v>12392</v>
      </c>
      <c r="N146" t="s">
        <v>12147</v>
      </c>
      <c r="O146" t="s">
        <v>12167</v>
      </c>
      <c r="P146" t="s">
        <v>8459</v>
      </c>
      <c r="Q146">
        <v>30136224</v>
      </c>
    </row>
    <row r="147" spans="1:17" ht="15.75">
      <c r="A147" t="s">
        <v>16799</v>
      </c>
      <c r="B147" t="s">
        <v>12185</v>
      </c>
      <c r="C147" t="s">
        <v>12396</v>
      </c>
      <c r="D147" t="s">
        <v>12146</v>
      </c>
      <c r="G147" t="str">
        <f>Config!$B$7</f>
        <v>SCH/Connector.SchLib</v>
      </c>
      <c r="H147" t="s">
        <v>6983</v>
      </c>
      <c r="I147" t="s">
        <v>16790</v>
      </c>
      <c r="J147" t="s">
        <v>13463</v>
      </c>
      <c r="L147" s="1" t="s">
        <v>13497</v>
      </c>
      <c r="M147" t="s">
        <v>12392</v>
      </c>
      <c r="N147" t="s">
        <v>12147</v>
      </c>
      <c r="O147" t="s">
        <v>12452</v>
      </c>
    </row>
    <row r="148" spans="1:17" ht="15.75">
      <c r="A148" t="s">
        <v>16778</v>
      </c>
      <c r="B148" t="s">
        <v>12177</v>
      </c>
      <c r="C148" t="s">
        <v>12396</v>
      </c>
      <c r="D148" t="s">
        <v>12146</v>
      </c>
      <c r="G148" t="str">
        <f>Config!$B$7</f>
        <v>SCH/Connector.SchLib</v>
      </c>
      <c r="H148" t="s">
        <v>6983</v>
      </c>
      <c r="I148" t="s">
        <v>16788</v>
      </c>
      <c r="J148" t="s">
        <v>13455</v>
      </c>
      <c r="L148" s="1" t="s">
        <v>13497</v>
      </c>
      <c r="M148" t="s">
        <v>12392</v>
      </c>
      <c r="N148" t="s">
        <v>12147</v>
      </c>
      <c r="O148" t="s">
        <v>12160</v>
      </c>
      <c r="P148" t="s">
        <v>8459</v>
      </c>
      <c r="Q148">
        <v>30136216</v>
      </c>
    </row>
    <row r="149" spans="1:17" ht="15.75">
      <c r="A149" t="s">
        <v>16779</v>
      </c>
      <c r="B149" t="s">
        <v>12178</v>
      </c>
      <c r="C149" t="s">
        <v>12396</v>
      </c>
      <c r="D149" t="s">
        <v>12146</v>
      </c>
      <c r="G149" t="str">
        <f>Config!$B$7</f>
        <v>SCH/Connector.SchLib</v>
      </c>
      <c r="H149" t="s">
        <v>6983</v>
      </c>
      <c r="I149" t="s">
        <v>16788</v>
      </c>
      <c r="J149" t="s">
        <v>13456</v>
      </c>
      <c r="L149" s="1" t="s">
        <v>13497</v>
      </c>
      <c r="M149" t="s">
        <v>12392</v>
      </c>
      <c r="N149" t="s">
        <v>12147</v>
      </c>
      <c r="O149" t="s">
        <v>12161</v>
      </c>
      <c r="P149" t="s">
        <v>8459</v>
      </c>
      <c r="Q149">
        <v>30136217</v>
      </c>
    </row>
    <row r="150" spans="1:17" ht="15.75">
      <c r="A150" t="s">
        <v>16780</v>
      </c>
      <c r="B150" t="s">
        <v>12149</v>
      </c>
      <c r="C150" t="s">
        <v>12396</v>
      </c>
      <c r="D150" t="s">
        <v>12146</v>
      </c>
      <c r="G150" t="str">
        <f>Config!$B$7</f>
        <v>SCH/Connector.SchLib</v>
      </c>
      <c r="H150" t="s">
        <v>6983</v>
      </c>
      <c r="I150" t="s">
        <v>16788</v>
      </c>
      <c r="J150" t="s">
        <v>13453</v>
      </c>
      <c r="L150" s="1" t="s">
        <v>13497</v>
      </c>
      <c r="M150" t="s">
        <v>12392</v>
      </c>
      <c r="N150" t="s">
        <v>12147</v>
      </c>
      <c r="O150" t="s">
        <v>12148</v>
      </c>
      <c r="P150" t="s">
        <v>8459</v>
      </c>
      <c r="Q150">
        <v>30136218</v>
      </c>
    </row>
    <row r="151" spans="1:17" ht="15.75">
      <c r="A151" t="s">
        <v>16781</v>
      </c>
      <c r="B151" t="s">
        <v>12179</v>
      </c>
      <c r="C151" t="s">
        <v>12396</v>
      </c>
      <c r="D151" t="s">
        <v>12146</v>
      </c>
      <c r="G151" t="str">
        <f>Config!$B$7</f>
        <v>SCH/Connector.SchLib</v>
      </c>
      <c r="H151" t="s">
        <v>6983</v>
      </c>
      <c r="I151" t="s">
        <v>16788</v>
      </c>
      <c r="J151" t="s">
        <v>13457</v>
      </c>
      <c r="L151" s="1" t="s">
        <v>13497</v>
      </c>
      <c r="M151" t="s">
        <v>12392</v>
      </c>
      <c r="N151" t="s">
        <v>12147</v>
      </c>
      <c r="O151" t="s">
        <v>12162</v>
      </c>
      <c r="P151" t="s">
        <v>8459</v>
      </c>
      <c r="Q151">
        <v>30136219</v>
      </c>
    </row>
    <row r="152" spans="1:17" ht="15.75">
      <c r="A152" t="s">
        <v>16782</v>
      </c>
      <c r="B152" t="s">
        <v>12180</v>
      </c>
      <c r="C152" t="s">
        <v>12396</v>
      </c>
      <c r="D152" t="s">
        <v>12146</v>
      </c>
      <c r="G152" t="str">
        <f>Config!$B$7</f>
        <v>SCH/Connector.SchLib</v>
      </c>
      <c r="H152" t="s">
        <v>6983</v>
      </c>
      <c r="I152" t="s">
        <v>16788</v>
      </c>
      <c r="J152" t="s">
        <v>13458</v>
      </c>
      <c r="L152" s="1" t="s">
        <v>13497</v>
      </c>
      <c r="M152" t="s">
        <v>12392</v>
      </c>
      <c r="N152" t="s">
        <v>12147</v>
      </c>
      <c r="O152" t="s">
        <v>12163</v>
      </c>
      <c r="P152" t="s">
        <v>8459</v>
      </c>
      <c r="Q152">
        <v>30136220</v>
      </c>
    </row>
    <row r="153" spans="1:17" ht="15.75">
      <c r="A153" t="s">
        <v>16783</v>
      </c>
      <c r="B153" t="s">
        <v>12181</v>
      </c>
      <c r="C153" t="s">
        <v>12396</v>
      </c>
      <c r="D153" t="s">
        <v>12146</v>
      </c>
      <c r="G153" t="str">
        <f>Config!$B$7</f>
        <v>SCH/Connector.SchLib</v>
      </c>
      <c r="H153" t="s">
        <v>6983</v>
      </c>
      <c r="I153" t="s">
        <v>16788</v>
      </c>
      <c r="J153" t="s">
        <v>13459</v>
      </c>
      <c r="L153" s="1" t="s">
        <v>13497</v>
      </c>
      <c r="M153" t="s">
        <v>12392</v>
      </c>
      <c r="N153" t="s">
        <v>12147</v>
      </c>
      <c r="O153" t="s">
        <v>12164</v>
      </c>
      <c r="P153" t="s">
        <v>8459</v>
      </c>
      <c r="Q153">
        <v>30136221</v>
      </c>
    </row>
    <row r="154" spans="1:17" ht="15.75">
      <c r="A154" t="s">
        <v>16784</v>
      </c>
      <c r="B154" t="s">
        <v>12182</v>
      </c>
      <c r="C154" t="s">
        <v>12396</v>
      </c>
      <c r="D154" t="s">
        <v>12146</v>
      </c>
      <c r="G154" t="str">
        <f>Config!$B$7</f>
        <v>SCH/Connector.SchLib</v>
      </c>
      <c r="H154" t="s">
        <v>6983</v>
      </c>
      <c r="I154" t="s">
        <v>16788</v>
      </c>
      <c r="J154" t="s">
        <v>13460</v>
      </c>
      <c r="L154" s="1" t="s">
        <v>13497</v>
      </c>
      <c r="M154" t="s">
        <v>12392</v>
      </c>
      <c r="N154" t="s">
        <v>12147</v>
      </c>
      <c r="O154" t="s">
        <v>12165</v>
      </c>
      <c r="P154" t="s">
        <v>8459</v>
      </c>
      <c r="Q154">
        <v>30136222</v>
      </c>
    </row>
    <row r="155" spans="1:17" ht="15.75">
      <c r="A155" t="s">
        <v>16785</v>
      </c>
      <c r="B155" t="s">
        <v>12183</v>
      </c>
      <c r="C155" t="s">
        <v>12396</v>
      </c>
      <c r="D155" t="s">
        <v>12146</v>
      </c>
      <c r="G155" t="str">
        <f>Config!$B$7</f>
        <v>SCH/Connector.SchLib</v>
      </c>
      <c r="H155" t="s">
        <v>6983</v>
      </c>
      <c r="I155" t="s">
        <v>16788</v>
      </c>
      <c r="J155" t="s">
        <v>13461</v>
      </c>
      <c r="L155" s="1" t="s">
        <v>13497</v>
      </c>
      <c r="M155" t="s">
        <v>12392</v>
      </c>
      <c r="N155" t="s">
        <v>12147</v>
      </c>
      <c r="O155" t="s">
        <v>12166</v>
      </c>
      <c r="P155" t="s">
        <v>8459</v>
      </c>
      <c r="Q155">
        <v>30136223</v>
      </c>
    </row>
    <row r="156" spans="1:17" ht="15.75">
      <c r="A156" t="s">
        <v>16786</v>
      </c>
      <c r="B156" t="s">
        <v>12184</v>
      </c>
      <c r="C156" t="s">
        <v>12396</v>
      </c>
      <c r="D156" t="s">
        <v>12146</v>
      </c>
      <c r="G156" t="str">
        <f>Config!$B$7</f>
        <v>SCH/Connector.SchLib</v>
      </c>
      <c r="H156" t="s">
        <v>6983</v>
      </c>
      <c r="I156" t="s">
        <v>16788</v>
      </c>
      <c r="J156" t="s">
        <v>13462</v>
      </c>
      <c r="L156" s="1" t="s">
        <v>13497</v>
      </c>
      <c r="M156" t="s">
        <v>12392</v>
      </c>
      <c r="N156" t="s">
        <v>12147</v>
      </c>
      <c r="O156" t="s">
        <v>12167</v>
      </c>
      <c r="P156" t="s">
        <v>8459</v>
      </c>
      <c r="Q156">
        <v>30136224</v>
      </c>
    </row>
    <row r="157" spans="1:17" ht="15.75">
      <c r="A157" t="s">
        <v>16787</v>
      </c>
      <c r="B157" t="s">
        <v>12185</v>
      </c>
      <c r="C157" t="s">
        <v>12396</v>
      </c>
      <c r="D157" t="s">
        <v>12146</v>
      </c>
      <c r="G157" t="str">
        <f>Config!$B$7</f>
        <v>SCH/Connector.SchLib</v>
      </c>
      <c r="H157" t="s">
        <v>6983</v>
      </c>
      <c r="I157" t="s">
        <v>16788</v>
      </c>
      <c r="J157" t="s">
        <v>13463</v>
      </c>
      <c r="L157" s="1" t="s">
        <v>13497</v>
      </c>
      <c r="M157" t="s">
        <v>12392</v>
      </c>
      <c r="N157" t="s">
        <v>12147</v>
      </c>
      <c r="O157" t="s">
        <v>12452</v>
      </c>
    </row>
    <row r="158" spans="1:17" ht="15.75">
      <c r="A158" t="s">
        <v>16800</v>
      </c>
      <c r="B158" t="s">
        <v>12177</v>
      </c>
      <c r="C158" t="s">
        <v>12396</v>
      </c>
      <c r="D158" t="s">
        <v>12146</v>
      </c>
      <c r="G158" t="str">
        <f>Config!$B$7</f>
        <v>SCH/Connector.SchLib</v>
      </c>
      <c r="H158" t="s">
        <v>6983</v>
      </c>
      <c r="I158" t="s">
        <v>16801</v>
      </c>
      <c r="J158" t="s">
        <v>13455</v>
      </c>
      <c r="L158" s="1" t="s">
        <v>13497</v>
      </c>
      <c r="M158" t="s">
        <v>12392</v>
      </c>
      <c r="N158" t="s">
        <v>12147</v>
      </c>
      <c r="O158" t="s">
        <v>12160</v>
      </c>
      <c r="P158" t="s">
        <v>8459</v>
      </c>
      <c r="Q158">
        <v>30136216</v>
      </c>
    </row>
    <row r="159" spans="1:17" ht="15.75">
      <c r="A159" t="s">
        <v>16802</v>
      </c>
      <c r="B159" t="s">
        <v>12178</v>
      </c>
      <c r="C159" t="s">
        <v>12396</v>
      </c>
      <c r="D159" t="s">
        <v>12146</v>
      </c>
      <c r="G159" t="str">
        <f>Config!$B$7</f>
        <v>SCH/Connector.SchLib</v>
      </c>
      <c r="H159" t="s">
        <v>6983</v>
      </c>
      <c r="I159" t="s">
        <v>16801</v>
      </c>
      <c r="J159" t="s">
        <v>13456</v>
      </c>
      <c r="L159" s="1" t="s">
        <v>13497</v>
      </c>
      <c r="M159" t="s">
        <v>12392</v>
      </c>
      <c r="N159" t="s">
        <v>12147</v>
      </c>
      <c r="O159" t="s">
        <v>12161</v>
      </c>
      <c r="P159" t="s">
        <v>8459</v>
      </c>
      <c r="Q159">
        <v>30136217</v>
      </c>
    </row>
    <row r="160" spans="1:17" ht="15.75">
      <c r="A160" t="s">
        <v>16803</v>
      </c>
      <c r="B160" t="s">
        <v>12149</v>
      </c>
      <c r="C160" t="s">
        <v>12396</v>
      </c>
      <c r="D160" t="s">
        <v>12146</v>
      </c>
      <c r="G160" t="str">
        <f>Config!$B$7</f>
        <v>SCH/Connector.SchLib</v>
      </c>
      <c r="H160" t="s">
        <v>6983</v>
      </c>
      <c r="I160" t="s">
        <v>16801</v>
      </c>
      <c r="J160" t="s">
        <v>13453</v>
      </c>
      <c r="L160" s="1" t="s">
        <v>13497</v>
      </c>
      <c r="M160" t="s">
        <v>12392</v>
      </c>
      <c r="N160" t="s">
        <v>12147</v>
      </c>
      <c r="O160" t="s">
        <v>12148</v>
      </c>
      <c r="P160" t="s">
        <v>8459</v>
      </c>
      <c r="Q160">
        <v>30136218</v>
      </c>
    </row>
    <row r="161" spans="1:17" ht="15.75">
      <c r="A161" t="s">
        <v>16804</v>
      </c>
      <c r="B161" t="s">
        <v>12179</v>
      </c>
      <c r="C161" t="s">
        <v>12396</v>
      </c>
      <c r="D161" t="s">
        <v>12146</v>
      </c>
      <c r="G161" t="str">
        <f>Config!$B$7</f>
        <v>SCH/Connector.SchLib</v>
      </c>
      <c r="H161" t="s">
        <v>6983</v>
      </c>
      <c r="I161" t="s">
        <v>16801</v>
      </c>
      <c r="J161" t="s">
        <v>13457</v>
      </c>
      <c r="L161" s="1" t="s">
        <v>13497</v>
      </c>
      <c r="M161" t="s">
        <v>12392</v>
      </c>
      <c r="N161" t="s">
        <v>12147</v>
      </c>
      <c r="O161" t="s">
        <v>12162</v>
      </c>
      <c r="P161" t="s">
        <v>8459</v>
      </c>
      <c r="Q161">
        <v>30136219</v>
      </c>
    </row>
    <row r="162" spans="1:17" ht="15.75">
      <c r="A162" t="s">
        <v>16805</v>
      </c>
      <c r="B162" t="s">
        <v>12180</v>
      </c>
      <c r="C162" t="s">
        <v>12396</v>
      </c>
      <c r="D162" t="s">
        <v>12146</v>
      </c>
      <c r="G162" t="str">
        <f>Config!$B$7</f>
        <v>SCH/Connector.SchLib</v>
      </c>
      <c r="H162" t="s">
        <v>6983</v>
      </c>
      <c r="I162" t="s">
        <v>16801</v>
      </c>
      <c r="J162" t="s">
        <v>13458</v>
      </c>
      <c r="L162" s="1" t="s">
        <v>13497</v>
      </c>
      <c r="M162" t="s">
        <v>12392</v>
      </c>
      <c r="N162" t="s">
        <v>12147</v>
      </c>
      <c r="O162" t="s">
        <v>12163</v>
      </c>
      <c r="P162" t="s">
        <v>8459</v>
      </c>
      <c r="Q162">
        <v>30136220</v>
      </c>
    </row>
    <row r="163" spans="1:17" ht="15.75">
      <c r="A163" t="s">
        <v>16806</v>
      </c>
      <c r="B163" t="s">
        <v>12181</v>
      </c>
      <c r="C163" t="s">
        <v>12396</v>
      </c>
      <c r="D163" t="s">
        <v>12146</v>
      </c>
      <c r="G163" t="str">
        <f>Config!$B$7</f>
        <v>SCH/Connector.SchLib</v>
      </c>
      <c r="H163" t="s">
        <v>6983</v>
      </c>
      <c r="I163" t="s">
        <v>16801</v>
      </c>
      <c r="J163" t="s">
        <v>13459</v>
      </c>
      <c r="L163" s="1" t="s">
        <v>13497</v>
      </c>
      <c r="M163" t="s">
        <v>12392</v>
      </c>
      <c r="N163" t="s">
        <v>12147</v>
      </c>
      <c r="O163" t="s">
        <v>12164</v>
      </c>
      <c r="P163" t="s">
        <v>8459</v>
      </c>
      <c r="Q163">
        <v>30136221</v>
      </c>
    </row>
    <row r="164" spans="1:17" ht="15.75">
      <c r="A164" t="s">
        <v>16807</v>
      </c>
      <c r="B164" t="s">
        <v>12182</v>
      </c>
      <c r="C164" t="s">
        <v>12396</v>
      </c>
      <c r="D164" t="s">
        <v>12146</v>
      </c>
      <c r="G164" t="str">
        <f>Config!$B$7</f>
        <v>SCH/Connector.SchLib</v>
      </c>
      <c r="H164" t="s">
        <v>6983</v>
      </c>
      <c r="I164" t="s">
        <v>16801</v>
      </c>
      <c r="J164" t="s">
        <v>13460</v>
      </c>
      <c r="L164" s="1" t="s">
        <v>13497</v>
      </c>
      <c r="M164" t="s">
        <v>12392</v>
      </c>
      <c r="N164" t="s">
        <v>12147</v>
      </c>
      <c r="O164" t="s">
        <v>12165</v>
      </c>
      <c r="P164" t="s">
        <v>8459</v>
      </c>
      <c r="Q164">
        <v>30136222</v>
      </c>
    </row>
    <row r="165" spans="1:17" ht="15.75">
      <c r="A165" t="s">
        <v>16808</v>
      </c>
      <c r="B165" t="s">
        <v>12183</v>
      </c>
      <c r="C165" t="s">
        <v>12396</v>
      </c>
      <c r="D165" t="s">
        <v>12146</v>
      </c>
      <c r="G165" t="str">
        <f>Config!$B$7</f>
        <v>SCH/Connector.SchLib</v>
      </c>
      <c r="H165" t="s">
        <v>6983</v>
      </c>
      <c r="I165" t="s">
        <v>16801</v>
      </c>
      <c r="J165" t="s">
        <v>13461</v>
      </c>
      <c r="L165" s="1" t="s">
        <v>13497</v>
      </c>
      <c r="M165" t="s">
        <v>12392</v>
      </c>
      <c r="N165" t="s">
        <v>12147</v>
      </c>
      <c r="O165" t="s">
        <v>12166</v>
      </c>
      <c r="P165" t="s">
        <v>8459</v>
      </c>
      <c r="Q165">
        <v>30136223</v>
      </c>
    </row>
    <row r="166" spans="1:17" ht="15.75">
      <c r="A166" t="s">
        <v>16809</v>
      </c>
      <c r="B166" t="s">
        <v>12184</v>
      </c>
      <c r="C166" t="s">
        <v>12396</v>
      </c>
      <c r="D166" t="s">
        <v>12146</v>
      </c>
      <c r="G166" t="str">
        <f>Config!$B$7</f>
        <v>SCH/Connector.SchLib</v>
      </c>
      <c r="H166" t="s">
        <v>6983</v>
      </c>
      <c r="I166" t="s">
        <v>16801</v>
      </c>
      <c r="J166" t="s">
        <v>13462</v>
      </c>
      <c r="L166" s="1" t="s">
        <v>13497</v>
      </c>
      <c r="M166" t="s">
        <v>12392</v>
      </c>
      <c r="N166" t="s">
        <v>12147</v>
      </c>
      <c r="O166" t="s">
        <v>12167</v>
      </c>
      <c r="P166" t="s">
        <v>8459</v>
      </c>
      <c r="Q166">
        <v>30136224</v>
      </c>
    </row>
    <row r="167" spans="1:17" ht="15.75">
      <c r="A167" t="s">
        <v>16810</v>
      </c>
      <c r="B167" t="s">
        <v>12185</v>
      </c>
      <c r="C167" t="s">
        <v>12396</v>
      </c>
      <c r="D167" t="s">
        <v>12146</v>
      </c>
      <c r="G167" t="str">
        <f>Config!$B$7</f>
        <v>SCH/Connector.SchLib</v>
      </c>
      <c r="H167" t="s">
        <v>6983</v>
      </c>
      <c r="I167" t="s">
        <v>16801</v>
      </c>
      <c r="J167" t="s">
        <v>13463</v>
      </c>
      <c r="L167" s="1" t="s">
        <v>13497</v>
      </c>
      <c r="M167" t="s">
        <v>12392</v>
      </c>
      <c r="N167" t="s">
        <v>12147</v>
      </c>
      <c r="O167" t="s">
        <v>12452</v>
      </c>
    </row>
    <row r="168" spans="1:17" ht="15.75">
      <c r="A168" t="s">
        <v>16811</v>
      </c>
      <c r="B168" t="s">
        <v>12177</v>
      </c>
      <c r="C168" t="s">
        <v>12396</v>
      </c>
      <c r="D168" t="s">
        <v>12146</v>
      </c>
      <c r="G168" t="str">
        <f>Config!$B$7</f>
        <v>SCH/Connector.SchLib</v>
      </c>
      <c r="H168" t="s">
        <v>6983</v>
      </c>
      <c r="I168" t="s">
        <v>16812</v>
      </c>
      <c r="J168" t="s">
        <v>13455</v>
      </c>
      <c r="L168" s="1" t="s">
        <v>13497</v>
      </c>
      <c r="M168" t="s">
        <v>12392</v>
      </c>
      <c r="N168" t="s">
        <v>12147</v>
      </c>
      <c r="O168" t="s">
        <v>12160</v>
      </c>
      <c r="P168" t="s">
        <v>8459</v>
      </c>
      <c r="Q168">
        <v>30136216</v>
      </c>
    </row>
    <row r="169" spans="1:17" ht="15.75">
      <c r="A169" t="s">
        <v>16813</v>
      </c>
      <c r="B169" t="s">
        <v>12178</v>
      </c>
      <c r="C169" t="s">
        <v>12396</v>
      </c>
      <c r="D169" t="s">
        <v>12146</v>
      </c>
      <c r="G169" t="str">
        <f>Config!$B$7</f>
        <v>SCH/Connector.SchLib</v>
      </c>
      <c r="H169" t="s">
        <v>6983</v>
      </c>
      <c r="I169" t="s">
        <v>16812</v>
      </c>
      <c r="J169" t="s">
        <v>13456</v>
      </c>
      <c r="L169" s="1" t="s">
        <v>13497</v>
      </c>
      <c r="M169" t="s">
        <v>12392</v>
      </c>
      <c r="N169" t="s">
        <v>12147</v>
      </c>
      <c r="O169" t="s">
        <v>12161</v>
      </c>
      <c r="P169" t="s">
        <v>8459</v>
      </c>
      <c r="Q169">
        <v>30136217</v>
      </c>
    </row>
    <row r="170" spans="1:17" ht="15.75">
      <c r="A170" t="s">
        <v>16814</v>
      </c>
      <c r="B170" t="s">
        <v>12149</v>
      </c>
      <c r="C170" t="s">
        <v>12396</v>
      </c>
      <c r="D170" t="s">
        <v>12146</v>
      </c>
      <c r="G170" t="str">
        <f>Config!$B$7</f>
        <v>SCH/Connector.SchLib</v>
      </c>
      <c r="H170" t="s">
        <v>6983</v>
      </c>
      <c r="I170" t="s">
        <v>16812</v>
      </c>
      <c r="J170" t="s">
        <v>13453</v>
      </c>
      <c r="L170" s="1" t="s">
        <v>13497</v>
      </c>
      <c r="M170" t="s">
        <v>12392</v>
      </c>
      <c r="N170" t="s">
        <v>12147</v>
      </c>
      <c r="O170" t="s">
        <v>12148</v>
      </c>
      <c r="P170" t="s">
        <v>8459</v>
      </c>
      <c r="Q170">
        <v>30136218</v>
      </c>
    </row>
    <row r="171" spans="1:17" ht="15.75">
      <c r="A171" t="s">
        <v>16815</v>
      </c>
      <c r="B171" t="s">
        <v>12179</v>
      </c>
      <c r="C171" t="s">
        <v>12396</v>
      </c>
      <c r="D171" t="s">
        <v>12146</v>
      </c>
      <c r="G171" t="str">
        <f>Config!$B$7</f>
        <v>SCH/Connector.SchLib</v>
      </c>
      <c r="H171" t="s">
        <v>6983</v>
      </c>
      <c r="I171" t="s">
        <v>16812</v>
      </c>
      <c r="J171" t="s">
        <v>13457</v>
      </c>
      <c r="L171" s="1" t="s">
        <v>13497</v>
      </c>
      <c r="M171" t="s">
        <v>12392</v>
      </c>
      <c r="N171" t="s">
        <v>12147</v>
      </c>
      <c r="O171" t="s">
        <v>12162</v>
      </c>
      <c r="P171" t="s">
        <v>8459</v>
      </c>
      <c r="Q171">
        <v>30136219</v>
      </c>
    </row>
    <row r="172" spans="1:17" ht="15.75">
      <c r="A172" t="s">
        <v>16816</v>
      </c>
      <c r="B172" t="s">
        <v>12180</v>
      </c>
      <c r="C172" t="s">
        <v>12396</v>
      </c>
      <c r="D172" t="s">
        <v>12146</v>
      </c>
      <c r="G172" t="str">
        <f>Config!$B$7</f>
        <v>SCH/Connector.SchLib</v>
      </c>
      <c r="H172" t="s">
        <v>6983</v>
      </c>
      <c r="I172" t="s">
        <v>16812</v>
      </c>
      <c r="J172" t="s">
        <v>13458</v>
      </c>
      <c r="L172" s="1" t="s">
        <v>13497</v>
      </c>
      <c r="M172" t="s">
        <v>12392</v>
      </c>
      <c r="N172" t="s">
        <v>12147</v>
      </c>
      <c r="O172" t="s">
        <v>12163</v>
      </c>
      <c r="P172" t="s">
        <v>8459</v>
      </c>
      <c r="Q172">
        <v>30136220</v>
      </c>
    </row>
    <row r="173" spans="1:17" ht="15.75">
      <c r="A173" t="s">
        <v>16817</v>
      </c>
      <c r="B173" t="s">
        <v>12181</v>
      </c>
      <c r="C173" t="s">
        <v>12396</v>
      </c>
      <c r="D173" t="s">
        <v>12146</v>
      </c>
      <c r="G173" t="str">
        <f>Config!$B$7</f>
        <v>SCH/Connector.SchLib</v>
      </c>
      <c r="H173" t="s">
        <v>6983</v>
      </c>
      <c r="I173" t="s">
        <v>16812</v>
      </c>
      <c r="J173" t="s">
        <v>13459</v>
      </c>
      <c r="L173" s="1" t="s">
        <v>13497</v>
      </c>
      <c r="M173" t="s">
        <v>12392</v>
      </c>
      <c r="N173" t="s">
        <v>12147</v>
      </c>
      <c r="O173" t="s">
        <v>12164</v>
      </c>
      <c r="P173" t="s">
        <v>8459</v>
      </c>
      <c r="Q173">
        <v>30136221</v>
      </c>
    </row>
    <row r="174" spans="1:17" ht="15.75">
      <c r="A174" t="s">
        <v>16818</v>
      </c>
      <c r="B174" t="s">
        <v>12182</v>
      </c>
      <c r="C174" t="s">
        <v>12396</v>
      </c>
      <c r="D174" t="s">
        <v>12146</v>
      </c>
      <c r="G174" t="str">
        <f>Config!$B$7</f>
        <v>SCH/Connector.SchLib</v>
      </c>
      <c r="H174" t="s">
        <v>6983</v>
      </c>
      <c r="I174" t="s">
        <v>16812</v>
      </c>
      <c r="J174" t="s">
        <v>13460</v>
      </c>
      <c r="L174" s="1" t="s">
        <v>13497</v>
      </c>
      <c r="M174" t="s">
        <v>12392</v>
      </c>
      <c r="N174" t="s">
        <v>12147</v>
      </c>
      <c r="O174" t="s">
        <v>12165</v>
      </c>
      <c r="P174" t="s">
        <v>8459</v>
      </c>
      <c r="Q174">
        <v>30136222</v>
      </c>
    </row>
    <row r="175" spans="1:17" ht="15.75">
      <c r="A175" t="s">
        <v>16819</v>
      </c>
      <c r="B175" t="s">
        <v>12183</v>
      </c>
      <c r="C175" t="s">
        <v>12396</v>
      </c>
      <c r="D175" t="s">
        <v>12146</v>
      </c>
      <c r="G175" t="str">
        <f>Config!$B$7</f>
        <v>SCH/Connector.SchLib</v>
      </c>
      <c r="H175" t="s">
        <v>6983</v>
      </c>
      <c r="I175" t="s">
        <v>16812</v>
      </c>
      <c r="J175" t="s">
        <v>13461</v>
      </c>
      <c r="L175" s="1" t="s">
        <v>13497</v>
      </c>
      <c r="M175" t="s">
        <v>12392</v>
      </c>
      <c r="N175" t="s">
        <v>12147</v>
      </c>
      <c r="O175" t="s">
        <v>12166</v>
      </c>
      <c r="P175" t="s">
        <v>8459</v>
      </c>
      <c r="Q175">
        <v>30136223</v>
      </c>
    </row>
    <row r="176" spans="1:17" ht="15.75">
      <c r="A176" t="s">
        <v>16820</v>
      </c>
      <c r="B176" t="s">
        <v>12184</v>
      </c>
      <c r="C176" t="s">
        <v>12396</v>
      </c>
      <c r="D176" t="s">
        <v>12146</v>
      </c>
      <c r="G176" t="str">
        <f>Config!$B$7</f>
        <v>SCH/Connector.SchLib</v>
      </c>
      <c r="H176" t="s">
        <v>6983</v>
      </c>
      <c r="I176" t="s">
        <v>16812</v>
      </c>
      <c r="J176" t="s">
        <v>13462</v>
      </c>
      <c r="L176" s="1" t="s">
        <v>13497</v>
      </c>
      <c r="M176" t="s">
        <v>12392</v>
      </c>
      <c r="N176" t="s">
        <v>12147</v>
      </c>
      <c r="O176" t="s">
        <v>12167</v>
      </c>
      <c r="P176" t="s">
        <v>8459</v>
      </c>
      <c r="Q176">
        <v>30136224</v>
      </c>
    </row>
    <row r="177" spans="1:17" ht="15.75">
      <c r="A177" t="s">
        <v>16821</v>
      </c>
      <c r="B177" t="s">
        <v>12185</v>
      </c>
      <c r="C177" t="s">
        <v>12396</v>
      </c>
      <c r="D177" t="s">
        <v>12146</v>
      </c>
      <c r="G177" t="str">
        <f>Config!$B$7</f>
        <v>SCH/Connector.SchLib</v>
      </c>
      <c r="H177" t="s">
        <v>6983</v>
      </c>
      <c r="I177" t="s">
        <v>16812</v>
      </c>
      <c r="J177" t="s">
        <v>13463</v>
      </c>
      <c r="L177" s="1" t="s">
        <v>13497</v>
      </c>
      <c r="M177" t="s">
        <v>12392</v>
      </c>
      <c r="N177" t="s">
        <v>12147</v>
      </c>
      <c r="O177" t="s">
        <v>12452</v>
      </c>
    </row>
    <row r="178" spans="1:17" ht="15.75">
      <c r="A178" t="s">
        <v>16822</v>
      </c>
      <c r="B178" t="s">
        <v>12177</v>
      </c>
      <c r="C178" t="s">
        <v>12396</v>
      </c>
      <c r="D178" t="s">
        <v>12146</v>
      </c>
      <c r="G178" t="str">
        <f>Config!$B$7</f>
        <v>SCH/Connector.SchLib</v>
      </c>
      <c r="H178" t="s">
        <v>6983</v>
      </c>
      <c r="I178" t="s">
        <v>16823</v>
      </c>
      <c r="J178" t="s">
        <v>13455</v>
      </c>
      <c r="L178" s="1" t="s">
        <v>13497</v>
      </c>
      <c r="M178" t="s">
        <v>12392</v>
      </c>
      <c r="N178" t="s">
        <v>12147</v>
      </c>
      <c r="O178" t="s">
        <v>12160</v>
      </c>
      <c r="P178" t="s">
        <v>8459</v>
      </c>
      <c r="Q178">
        <v>30136216</v>
      </c>
    </row>
    <row r="179" spans="1:17" ht="15.75">
      <c r="A179" t="s">
        <v>16824</v>
      </c>
      <c r="B179" t="s">
        <v>12178</v>
      </c>
      <c r="C179" t="s">
        <v>12396</v>
      </c>
      <c r="D179" t="s">
        <v>12146</v>
      </c>
      <c r="G179" t="str">
        <f>Config!$B$7</f>
        <v>SCH/Connector.SchLib</v>
      </c>
      <c r="H179" t="s">
        <v>6983</v>
      </c>
      <c r="I179" t="s">
        <v>16823</v>
      </c>
      <c r="J179" t="s">
        <v>13456</v>
      </c>
      <c r="L179" s="1" t="s">
        <v>13497</v>
      </c>
      <c r="M179" t="s">
        <v>12392</v>
      </c>
      <c r="N179" t="s">
        <v>12147</v>
      </c>
      <c r="O179" t="s">
        <v>12161</v>
      </c>
      <c r="P179" t="s">
        <v>8459</v>
      </c>
      <c r="Q179">
        <v>30136217</v>
      </c>
    </row>
    <row r="180" spans="1:17" ht="15.75">
      <c r="A180" t="s">
        <v>16825</v>
      </c>
      <c r="B180" t="s">
        <v>12149</v>
      </c>
      <c r="C180" t="s">
        <v>12396</v>
      </c>
      <c r="D180" t="s">
        <v>12146</v>
      </c>
      <c r="G180" t="str">
        <f>Config!$B$7</f>
        <v>SCH/Connector.SchLib</v>
      </c>
      <c r="H180" t="s">
        <v>6983</v>
      </c>
      <c r="I180" t="s">
        <v>16823</v>
      </c>
      <c r="J180" t="s">
        <v>13453</v>
      </c>
      <c r="L180" s="1" t="s">
        <v>13497</v>
      </c>
      <c r="M180" t="s">
        <v>12392</v>
      </c>
      <c r="N180" t="s">
        <v>12147</v>
      </c>
      <c r="O180" t="s">
        <v>12148</v>
      </c>
      <c r="P180" t="s">
        <v>8459</v>
      </c>
      <c r="Q180">
        <v>30136218</v>
      </c>
    </row>
    <row r="181" spans="1:17" ht="15.75">
      <c r="A181" t="s">
        <v>16826</v>
      </c>
      <c r="B181" t="s">
        <v>12179</v>
      </c>
      <c r="C181" t="s">
        <v>12396</v>
      </c>
      <c r="D181" t="s">
        <v>12146</v>
      </c>
      <c r="G181" t="str">
        <f>Config!$B$7</f>
        <v>SCH/Connector.SchLib</v>
      </c>
      <c r="H181" t="s">
        <v>6983</v>
      </c>
      <c r="I181" t="s">
        <v>16823</v>
      </c>
      <c r="J181" t="s">
        <v>13457</v>
      </c>
      <c r="L181" s="1" t="s">
        <v>13497</v>
      </c>
      <c r="M181" t="s">
        <v>12392</v>
      </c>
      <c r="N181" t="s">
        <v>12147</v>
      </c>
      <c r="O181" t="s">
        <v>12162</v>
      </c>
      <c r="P181" t="s">
        <v>8459</v>
      </c>
      <c r="Q181">
        <v>30136219</v>
      </c>
    </row>
    <row r="182" spans="1:17" ht="15.75">
      <c r="A182" t="s">
        <v>16827</v>
      </c>
      <c r="B182" t="s">
        <v>12180</v>
      </c>
      <c r="C182" t="s">
        <v>12396</v>
      </c>
      <c r="D182" t="s">
        <v>12146</v>
      </c>
      <c r="G182" t="str">
        <f>Config!$B$7</f>
        <v>SCH/Connector.SchLib</v>
      </c>
      <c r="H182" t="s">
        <v>6983</v>
      </c>
      <c r="I182" t="s">
        <v>16823</v>
      </c>
      <c r="J182" t="s">
        <v>13458</v>
      </c>
      <c r="L182" s="1" t="s">
        <v>13497</v>
      </c>
      <c r="M182" t="s">
        <v>12392</v>
      </c>
      <c r="N182" t="s">
        <v>12147</v>
      </c>
      <c r="O182" t="s">
        <v>12163</v>
      </c>
      <c r="P182" t="s">
        <v>8459</v>
      </c>
      <c r="Q182">
        <v>30136220</v>
      </c>
    </row>
    <row r="183" spans="1:17" ht="15.75">
      <c r="A183" t="s">
        <v>16828</v>
      </c>
      <c r="B183" t="s">
        <v>12181</v>
      </c>
      <c r="C183" t="s">
        <v>12396</v>
      </c>
      <c r="D183" t="s">
        <v>12146</v>
      </c>
      <c r="G183" t="str">
        <f>Config!$B$7</f>
        <v>SCH/Connector.SchLib</v>
      </c>
      <c r="H183" t="s">
        <v>6983</v>
      </c>
      <c r="I183" t="s">
        <v>16823</v>
      </c>
      <c r="J183" t="s">
        <v>13459</v>
      </c>
      <c r="L183" s="1" t="s">
        <v>13497</v>
      </c>
      <c r="M183" t="s">
        <v>12392</v>
      </c>
      <c r="N183" t="s">
        <v>12147</v>
      </c>
      <c r="O183" t="s">
        <v>12164</v>
      </c>
      <c r="P183" t="s">
        <v>8459</v>
      </c>
      <c r="Q183">
        <v>30136221</v>
      </c>
    </row>
    <row r="184" spans="1:17" ht="15.75">
      <c r="A184" t="s">
        <v>16829</v>
      </c>
      <c r="B184" t="s">
        <v>12182</v>
      </c>
      <c r="C184" t="s">
        <v>12396</v>
      </c>
      <c r="D184" t="s">
        <v>12146</v>
      </c>
      <c r="G184" t="str">
        <f>Config!$B$7</f>
        <v>SCH/Connector.SchLib</v>
      </c>
      <c r="H184" t="s">
        <v>6983</v>
      </c>
      <c r="I184" t="s">
        <v>16823</v>
      </c>
      <c r="J184" t="s">
        <v>13460</v>
      </c>
      <c r="L184" s="1" t="s">
        <v>13497</v>
      </c>
      <c r="M184" t="s">
        <v>12392</v>
      </c>
      <c r="N184" t="s">
        <v>12147</v>
      </c>
      <c r="O184" t="s">
        <v>12165</v>
      </c>
      <c r="P184" t="s">
        <v>8459</v>
      </c>
      <c r="Q184">
        <v>30136222</v>
      </c>
    </row>
    <row r="185" spans="1:17" ht="15.75">
      <c r="A185" t="s">
        <v>16830</v>
      </c>
      <c r="B185" t="s">
        <v>12183</v>
      </c>
      <c r="C185" t="s">
        <v>12396</v>
      </c>
      <c r="D185" t="s">
        <v>12146</v>
      </c>
      <c r="G185" t="str">
        <f>Config!$B$7</f>
        <v>SCH/Connector.SchLib</v>
      </c>
      <c r="H185" t="s">
        <v>6983</v>
      </c>
      <c r="I185" t="s">
        <v>16823</v>
      </c>
      <c r="J185" t="s">
        <v>13461</v>
      </c>
      <c r="L185" s="1" t="s">
        <v>13497</v>
      </c>
      <c r="M185" t="s">
        <v>12392</v>
      </c>
      <c r="N185" t="s">
        <v>12147</v>
      </c>
      <c r="O185" t="s">
        <v>12166</v>
      </c>
      <c r="P185" t="s">
        <v>8459</v>
      </c>
      <c r="Q185">
        <v>30136223</v>
      </c>
    </row>
    <row r="186" spans="1:17" ht="15.75">
      <c r="A186" t="s">
        <v>16831</v>
      </c>
      <c r="B186" t="s">
        <v>12184</v>
      </c>
      <c r="C186" t="s">
        <v>12396</v>
      </c>
      <c r="D186" t="s">
        <v>12146</v>
      </c>
      <c r="G186" t="str">
        <f>Config!$B$7</f>
        <v>SCH/Connector.SchLib</v>
      </c>
      <c r="H186" t="s">
        <v>6983</v>
      </c>
      <c r="I186" t="s">
        <v>16823</v>
      </c>
      <c r="J186" t="s">
        <v>13462</v>
      </c>
      <c r="L186" s="1" t="s">
        <v>13497</v>
      </c>
      <c r="M186" t="s">
        <v>12392</v>
      </c>
      <c r="N186" t="s">
        <v>12147</v>
      </c>
      <c r="O186" t="s">
        <v>12167</v>
      </c>
      <c r="P186" t="s">
        <v>8459</v>
      </c>
      <c r="Q186">
        <v>30136224</v>
      </c>
    </row>
    <row r="187" spans="1:17" ht="15.75">
      <c r="A187" t="s">
        <v>16832</v>
      </c>
      <c r="B187" t="s">
        <v>12185</v>
      </c>
      <c r="C187" t="s">
        <v>12396</v>
      </c>
      <c r="D187" t="s">
        <v>12146</v>
      </c>
      <c r="G187" t="str">
        <f>Config!$B$7</f>
        <v>SCH/Connector.SchLib</v>
      </c>
      <c r="H187" t="s">
        <v>6983</v>
      </c>
      <c r="I187" t="s">
        <v>16823</v>
      </c>
      <c r="J187" t="s">
        <v>13463</v>
      </c>
      <c r="L187" s="1" t="s">
        <v>13497</v>
      </c>
      <c r="M187" t="s">
        <v>12392</v>
      </c>
      <c r="N187" t="s">
        <v>12147</v>
      </c>
      <c r="O187" t="s">
        <v>12452</v>
      </c>
    </row>
    <row r="188" spans="1:17" ht="15.75">
      <c r="A188" t="s">
        <v>12325</v>
      </c>
      <c r="B188" t="s">
        <v>12325</v>
      </c>
      <c r="C188" t="s">
        <v>12397</v>
      </c>
      <c r="D188" t="s">
        <v>12146</v>
      </c>
      <c r="G188" t="str">
        <f>Config!$B$7</f>
        <v>SCH/Connector.SchLib</v>
      </c>
      <c r="H188" t="s">
        <v>7005</v>
      </c>
      <c r="I188" s="39"/>
      <c r="J188" s="39"/>
      <c r="L188" s="1" t="s">
        <v>13497</v>
      </c>
      <c r="M188" t="s">
        <v>12393</v>
      </c>
      <c r="N188" t="s">
        <v>12147</v>
      </c>
      <c r="O188" t="s">
        <v>12333</v>
      </c>
    </row>
    <row r="189" spans="1:17" ht="15.75">
      <c r="A189" t="s">
        <v>12326</v>
      </c>
      <c r="B189" t="s">
        <v>12326</v>
      </c>
      <c r="C189" t="s">
        <v>12397</v>
      </c>
      <c r="D189" t="s">
        <v>12146</v>
      </c>
      <c r="G189" t="str">
        <f>Config!$B$7</f>
        <v>SCH/Connector.SchLib</v>
      </c>
      <c r="H189" t="s">
        <v>7005</v>
      </c>
      <c r="I189" s="39"/>
      <c r="J189" s="39"/>
      <c r="L189" s="1" t="s">
        <v>13497</v>
      </c>
      <c r="M189" t="s">
        <v>12393</v>
      </c>
      <c r="N189" t="s">
        <v>12147</v>
      </c>
      <c r="O189" t="s">
        <v>12334</v>
      </c>
      <c r="P189" t="s">
        <v>8459</v>
      </c>
      <c r="Q189">
        <v>14021779</v>
      </c>
    </row>
    <row r="190" spans="1:17" ht="15.75">
      <c r="A190" t="s">
        <v>12327</v>
      </c>
      <c r="B190" t="s">
        <v>12327</v>
      </c>
      <c r="C190" t="s">
        <v>12397</v>
      </c>
      <c r="D190" t="s">
        <v>12146</v>
      </c>
      <c r="G190" t="str">
        <f>Config!$B$7</f>
        <v>SCH/Connector.SchLib</v>
      </c>
      <c r="H190" t="s">
        <v>7005</v>
      </c>
      <c r="I190" s="39"/>
      <c r="J190" s="39"/>
      <c r="L190" s="1" t="s">
        <v>13497</v>
      </c>
      <c r="M190" t="s">
        <v>12393</v>
      </c>
      <c r="N190" t="s">
        <v>12147</v>
      </c>
      <c r="O190" t="s">
        <v>12335</v>
      </c>
      <c r="P190" t="s">
        <v>8459</v>
      </c>
      <c r="Q190">
        <v>14021780</v>
      </c>
    </row>
    <row r="191" spans="1:17" ht="15.75">
      <c r="A191" t="s">
        <v>12328</v>
      </c>
      <c r="B191" t="s">
        <v>12328</v>
      </c>
      <c r="C191" t="s">
        <v>12397</v>
      </c>
      <c r="D191" t="s">
        <v>12146</v>
      </c>
      <c r="G191" t="str">
        <f>Config!$B$7</f>
        <v>SCH/Connector.SchLib</v>
      </c>
      <c r="H191" t="s">
        <v>7005</v>
      </c>
      <c r="I191" s="39"/>
      <c r="J191" s="39"/>
      <c r="L191" s="1" t="s">
        <v>13497</v>
      </c>
      <c r="M191" t="s">
        <v>12393</v>
      </c>
      <c r="N191" t="s">
        <v>12147</v>
      </c>
      <c r="O191" t="s">
        <v>12336</v>
      </c>
      <c r="P191" t="s">
        <v>8459</v>
      </c>
      <c r="Q191">
        <v>14021781</v>
      </c>
    </row>
    <row r="192" spans="1:17" ht="15.75">
      <c r="A192" t="s">
        <v>12329</v>
      </c>
      <c r="B192" t="s">
        <v>12329</v>
      </c>
      <c r="C192" t="s">
        <v>12397</v>
      </c>
      <c r="D192" t="s">
        <v>12146</v>
      </c>
      <c r="G192" t="str">
        <f>Config!$B$7</f>
        <v>SCH/Connector.SchLib</v>
      </c>
      <c r="H192" t="s">
        <v>7005</v>
      </c>
      <c r="I192" s="39"/>
      <c r="J192" s="39"/>
      <c r="L192" s="1" t="s">
        <v>13497</v>
      </c>
      <c r="M192" t="s">
        <v>12393</v>
      </c>
      <c r="N192" t="s">
        <v>12147</v>
      </c>
      <c r="O192" t="s">
        <v>12337</v>
      </c>
    </row>
    <row r="193" spans="1:17" ht="15.75">
      <c r="A193" t="s">
        <v>12330</v>
      </c>
      <c r="B193" t="s">
        <v>12330</v>
      </c>
      <c r="C193" t="s">
        <v>12397</v>
      </c>
      <c r="D193" t="s">
        <v>12146</v>
      </c>
      <c r="G193" t="str">
        <f>Config!$B$7</f>
        <v>SCH/Connector.SchLib</v>
      </c>
      <c r="H193" t="s">
        <v>7005</v>
      </c>
      <c r="I193" s="39"/>
      <c r="J193" s="39"/>
      <c r="L193" s="1" t="s">
        <v>13497</v>
      </c>
      <c r="M193" t="s">
        <v>12393</v>
      </c>
      <c r="N193" t="s">
        <v>12147</v>
      </c>
      <c r="O193" t="s">
        <v>12338</v>
      </c>
    </row>
    <row r="194" spans="1:17" ht="15.75">
      <c r="A194" t="s">
        <v>12331</v>
      </c>
      <c r="B194" t="s">
        <v>12331</v>
      </c>
      <c r="C194" t="s">
        <v>12397</v>
      </c>
      <c r="D194" t="s">
        <v>12146</v>
      </c>
      <c r="G194" t="str">
        <f>Config!$B$7</f>
        <v>SCH/Connector.SchLib</v>
      </c>
      <c r="H194" t="s">
        <v>7005</v>
      </c>
      <c r="I194" s="39"/>
      <c r="J194" s="39"/>
      <c r="L194" s="1" t="s">
        <v>13497</v>
      </c>
      <c r="M194" t="s">
        <v>12393</v>
      </c>
      <c r="N194" t="s">
        <v>12147</v>
      </c>
      <c r="O194" t="s">
        <v>12339</v>
      </c>
    </row>
    <row r="195" spans="1:17" ht="15.75">
      <c r="A195" t="s">
        <v>12332</v>
      </c>
      <c r="B195" t="s">
        <v>12332</v>
      </c>
      <c r="C195" t="s">
        <v>12397</v>
      </c>
      <c r="D195" t="s">
        <v>12146</v>
      </c>
      <c r="G195" t="str">
        <f>Config!$B$7</f>
        <v>SCH/Connector.SchLib</v>
      </c>
      <c r="H195" t="s">
        <v>7005</v>
      </c>
      <c r="I195" s="39"/>
      <c r="J195" s="39"/>
      <c r="L195" s="1" t="s">
        <v>13497</v>
      </c>
      <c r="M195" t="s">
        <v>12393</v>
      </c>
      <c r="N195" t="s">
        <v>12147</v>
      </c>
      <c r="O195" t="s">
        <v>12340</v>
      </c>
    </row>
    <row r="196" spans="1:17" ht="15.75">
      <c r="A196" t="s">
        <v>12341</v>
      </c>
      <c r="B196" t="s">
        <v>12341</v>
      </c>
      <c r="C196" t="s">
        <v>12398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12394</v>
      </c>
      <c r="N196" t="s">
        <v>12147</v>
      </c>
      <c r="O196" t="s">
        <v>12351</v>
      </c>
      <c r="P196" t="s">
        <v>8459</v>
      </c>
      <c r="Q196">
        <v>30223684</v>
      </c>
    </row>
    <row r="197" spans="1:17" ht="15.75">
      <c r="A197" t="s">
        <v>12342</v>
      </c>
      <c r="B197" t="s">
        <v>12342</v>
      </c>
      <c r="C197" t="s">
        <v>12398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12394</v>
      </c>
      <c r="N197" t="s">
        <v>12147</v>
      </c>
      <c r="O197" t="s">
        <v>12352</v>
      </c>
      <c r="P197" t="s">
        <v>8459</v>
      </c>
      <c r="Q197">
        <v>30136412</v>
      </c>
    </row>
    <row r="198" spans="1:17" ht="15.75">
      <c r="A198" t="s">
        <v>12343</v>
      </c>
      <c r="B198" t="s">
        <v>12343</v>
      </c>
      <c r="C198" t="s">
        <v>12398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12394</v>
      </c>
      <c r="N198" t="s">
        <v>12147</v>
      </c>
      <c r="O198" t="s">
        <v>12353</v>
      </c>
      <c r="P198" t="s">
        <v>8459</v>
      </c>
      <c r="Q198">
        <v>30136413</v>
      </c>
    </row>
    <row r="199" spans="1:17" ht="15.75">
      <c r="A199" t="s">
        <v>12344</v>
      </c>
      <c r="B199" t="s">
        <v>12344</v>
      </c>
      <c r="C199" t="s">
        <v>12398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12394</v>
      </c>
      <c r="N199" t="s">
        <v>12147</v>
      </c>
      <c r="O199" t="s">
        <v>12354</v>
      </c>
    </row>
    <row r="200" spans="1:17" ht="15.75">
      <c r="A200" t="s">
        <v>12345</v>
      </c>
      <c r="B200" t="s">
        <v>12345</v>
      </c>
      <c r="C200" t="s">
        <v>12398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12394</v>
      </c>
      <c r="N200" t="s">
        <v>12147</v>
      </c>
      <c r="O200" t="s">
        <v>12355</v>
      </c>
      <c r="P200" t="s">
        <v>8459</v>
      </c>
      <c r="Q200">
        <v>30136415</v>
      </c>
    </row>
    <row r="201" spans="1:17" ht="15.75">
      <c r="A201" t="s">
        <v>12346</v>
      </c>
      <c r="B201" t="s">
        <v>12346</v>
      </c>
      <c r="C201" t="s">
        <v>12398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12394</v>
      </c>
      <c r="N201" t="s">
        <v>12147</v>
      </c>
      <c r="O201" t="s">
        <v>12356</v>
      </c>
    </row>
    <row r="202" spans="1:17" ht="15.75">
      <c r="A202" t="s">
        <v>12347</v>
      </c>
      <c r="B202" t="s">
        <v>12347</v>
      </c>
      <c r="C202" t="s">
        <v>12398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12394</v>
      </c>
      <c r="N202" t="s">
        <v>12147</v>
      </c>
      <c r="O202" t="s">
        <v>12357</v>
      </c>
    </row>
    <row r="203" spans="1:17" ht="15.75">
      <c r="A203" t="s">
        <v>12348</v>
      </c>
      <c r="B203" t="s">
        <v>12348</v>
      </c>
      <c r="C203" t="s">
        <v>12398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12394</v>
      </c>
      <c r="N203" t="s">
        <v>12147</v>
      </c>
      <c r="O203" t="s">
        <v>12358</v>
      </c>
      <c r="P203" t="s">
        <v>8459</v>
      </c>
    </row>
    <row r="204" spans="1:17" ht="15.75">
      <c r="A204" t="s">
        <v>12349</v>
      </c>
      <c r="B204" t="s">
        <v>12349</v>
      </c>
      <c r="C204" t="s">
        <v>12398</v>
      </c>
      <c r="D204" t="s">
        <v>12146</v>
      </c>
      <c r="G204" t="str">
        <f>Config!$B$7</f>
        <v>SCH/Connector.SchLib</v>
      </c>
      <c r="H204" t="s">
        <v>6983</v>
      </c>
      <c r="I204" s="39"/>
      <c r="J204" s="39"/>
      <c r="L204" s="1" t="s">
        <v>13497</v>
      </c>
      <c r="M204" t="s">
        <v>12394</v>
      </c>
      <c r="N204" t="s">
        <v>12147</v>
      </c>
      <c r="O204" t="s">
        <v>12359</v>
      </c>
      <c r="P204" t="s">
        <v>8459</v>
      </c>
      <c r="Q204">
        <v>30223687</v>
      </c>
    </row>
    <row r="205" spans="1:17" ht="15.75">
      <c r="A205" t="s">
        <v>12350</v>
      </c>
      <c r="B205" t="s">
        <v>12350</v>
      </c>
      <c r="C205" t="s">
        <v>12398</v>
      </c>
      <c r="D205" t="s">
        <v>12146</v>
      </c>
      <c r="G205" t="str">
        <f>Config!$B$7</f>
        <v>SCH/Connector.SchLib</v>
      </c>
      <c r="H205" t="s">
        <v>6983</v>
      </c>
      <c r="I205" s="39"/>
      <c r="J205" s="39"/>
      <c r="L205" s="1" t="s">
        <v>13497</v>
      </c>
      <c r="M205" t="s">
        <v>12394</v>
      </c>
      <c r="N205" t="s">
        <v>12147</v>
      </c>
      <c r="O205" t="s">
        <v>12360</v>
      </c>
      <c r="P205" t="s">
        <v>8459</v>
      </c>
      <c r="Q205">
        <v>30223688</v>
      </c>
    </row>
    <row r="206" spans="1:17" ht="15.75">
      <c r="A206" t="s">
        <v>12361</v>
      </c>
      <c r="B206" t="s">
        <v>12361</v>
      </c>
      <c r="C206" t="s">
        <v>12399</v>
      </c>
      <c r="D206" t="s">
        <v>12146</v>
      </c>
      <c r="G206" t="str">
        <f>Config!$B$7</f>
        <v>SCH/Connector.SchLib</v>
      </c>
      <c r="H206" t="s">
        <v>6983</v>
      </c>
      <c r="I206" s="39"/>
      <c r="J206" s="39"/>
      <c r="L206" s="1" t="s">
        <v>13497</v>
      </c>
      <c r="M206" t="s">
        <v>12477</v>
      </c>
      <c r="N206" t="s">
        <v>12147</v>
      </c>
      <c r="O206" t="s">
        <v>12402</v>
      </c>
    </row>
    <row r="207" spans="1:17" ht="15.75">
      <c r="A207" t="s">
        <v>12362</v>
      </c>
      <c r="B207" t="s">
        <v>12362</v>
      </c>
      <c r="C207" t="s">
        <v>12399</v>
      </c>
      <c r="D207" t="s">
        <v>12146</v>
      </c>
      <c r="G207" t="str">
        <f>Config!$B$7</f>
        <v>SCH/Connector.SchLib</v>
      </c>
      <c r="H207" t="s">
        <v>6983</v>
      </c>
      <c r="I207" s="39"/>
      <c r="J207" s="39"/>
      <c r="L207" s="1" t="s">
        <v>13497</v>
      </c>
      <c r="M207" t="s">
        <v>12477</v>
      </c>
      <c r="N207" t="s">
        <v>12147</v>
      </c>
      <c r="O207" t="s">
        <v>12403</v>
      </c>
    </row>
    <row r="208" spans="1:17" ht="15.75">
      <c r="A208" t="s">
        <v>12363</v>
      </c>
      <c r="B208" t="s">
        <v>12363</v>
      </c>
      <c r="C208" t="s">
        <v>12399</v>
      </c>
      <c r="D208" t="s">
        <v>12146</v>
      </c>
      <c r="G208" t="str">
        <f>Config!$B$7</f>
        <v>SCH/Connector.SchLib</v>
      </c>
      <c r="H208" t="s">
        <v>6983</v>
      </c>
      <c r="I208" s="39"/>
      <c r="J208" s="39"/>
      <c r="L208" s="1" t="s">
        <v>13497</v>
      </c>
      <c r="M208" t="s">
        <v>12477</v>
      </c>
      <c r="N208" t="s">
        <v>12147</v>
      </c>
      <c r="O208" t="s">
        <v>12404</v>
      </c>
    </row>
    <row r="209" spans="1:17" ht="15.75">
      <c r="A209" t="s">
        <v>12364</v>
      </c>
      <c r="B209" t="s">
        <v>12364</v>
      </c>
      <c r="C209" t="s">
        <v>12399</v>
      </c>
      <c r="D209" t="s">
        <v>12146</v>
      </c>
      <c r="G209" t="str">
        <f>Config!$B$7</f>
        <v>SCH/Connector.SchLib</v>
      </c>
      <c r="H209" t="s">
        <v>6983</v>
      </c>
      <c r="I209" s="39"/>
      <c r="J209" s="39"/>
      <c r="L209" s="1" t="s">
        <v>13497</v>
      </c>
      <c r="M209" t="s">
        <v>12477</v>
      </c>
      <c r="N209" t="s">
        <v>12147</v>
      </c>
      <c r="O209" t="s">
        <v>12405</v>
      </c>
    </row>
    <row r="210" spans="1:17" ht="15.75">
      <c r="A210" t="s">
        <v>12365</v>
      </c>
      <c r="B210" t="s">
        <v>12365</v>
      </c>
      <c r="C210" t="s">
        <v>12399</v>
      </c>
      <c r="D210" t="s">
        <v>12146</v>
      </c>
      <c r="G210" t="str">
        <f>Config!$B$7</f>
        <v>SCH/Connector.SchLib</v>
      </c>
      <c r="H210" t="s">
        <v>6983</v>
      </c>
      <c r="I210" s="39"/>
      <c r="J210" s="39"/>
      <c r="L210" s="1" t="s">
        <v>13497</v>
      </c>
      <c r="M210" t="s">
        <v>12477</v>
      </c>
      <c r="N210" t="s">
        <v>12147</v>
      </c>
      <c r="O210" t="s">
        <v>12406</v>
      </c>
    </row>
    <row r="211" spans="1:17" ht="15.75">
      <c r="A211" t="s">
        <v>12366</v>
      </c>
      <c r="B211" t="s">
        <v>12366</v>
      </c>
      <c r="C211" t="s">
        <v>12399</v>
      </c>
      <c r="D211" t="s">
        <v>12146</v>
      </c>
      <c r="G211" t="str">
        <f>Config!$B$7</f>
        <v>SCH/Connector.SchLib</v>
      </c>
      <c r="H211" t="s">
        <v>6983</v>
      </c>
      <c r="I211" s="39"/>
      <c r="J211" s="39"/>
      <c r="L211" s="1" t="s">
        <v>13497</v>
      </c>
      <c r="M211" t="s">
        <v>12477</v>
      </c>
      <c r="N211" t="s">
        <v>12147</v>
      </c>
      <c r="O211" t="s">
        <v>12407</v>
      </c>
    </row>
    <row r="212" spans="1:17" ht="15.75">
      <c r="A212" t="s">
        <v>12367</v>
      </c>
      <c r="B212" t="s">
        <v>12367</v>
      </c>
      <c r="C212" t="s">
        <v>12399</v>
      </c>
      <c r="D212" t="s">
        <v>12146</v>
      </c>
      <c r="G212" t="str">
        <f>Config!$B$7</f>
        <v>SCH/Connector.SchLib</v>
      </c>
      <c r="H212" t="s">
        <v>6983</v>
      </c>
      <c r="I212" s="39"/>
      <c r="J212" s="39"/>
      <c r="L212" s="1" t="s">
        <v>13497</v>
      </c>
      <c r="M212" t="s">
        <v>12477</v>
      </c>
      <c r="N212" t="s">
        <v>12147</v>
      </c>
      <c r="O212" t="s">
        <v>12408</v>
      </c>
    </row>
    <row r="213" spans="1:17" ht="15.75">
      <c r="A213" t="s">
        <v>12368</v>
      </c>
      <c r="B213" t="s">
        <v>12368</v>
      </c>
      <c r="C213" t="s">
        <v>12399</v>
      </c>
      <c r="D213" t="s">
        <v>12146</v>
      </c>
      <c r="G213" t="str">
        <f>Config!$B$7</f>
        <v>SCH/Connector.SchLib</v>
      </c>
      <c r="H213" t="s">
        <v>6983</v>
      </c>
      <c r="I213" s="39"/>
      <c r="J213" s="39"/>
      <c r="L213" s="1" t="s">
        <v>13497</v>
      </c>
      <c r="M213" t="s">
        <v>12477</v>
      </c>
      <c r="N213" t="s">
        <v>12147</v>
      </c>
      <c r="O213" t="s">
        <v>12409</v>
      </c>
      <c r="P213" t="s">
        <v>8459</v>
      </c>
      <c r="Q213">
        <v>30223530</v>
      </c>
    </row>
    <row r="214" spans="1:17" ht="15.75">
      <c r="A214" t="s">
        <v>12369</v>
      </c>
      <c r="B214" t="s">
        <v>12369</v>
      </c>
      <c r="C214" t="s">
        <v>12399</v>
      </c>
      <c r="D214" t="s">
        <v>12146</v>
      </c>
      <c r="G214" t="str">
        <f>Config!$B$7</f>
        <v>SCH/Connector.SchLib</v>
      </c>
      <c r="H214" t="s">
        <v>6983</v>
      </c>
      <c r="I214" s="39"/>
      <c r="J214" s="39"/>
      <c r="L214" s="1" t="s">
        <v>13497</v>
      </c>
      <c r="M214" t="s">
        <v>12477</v>
      </c>
      <c r="N214" t="s">
        <v>12147</v>
      </c>
      <c r="O214" t="s">
        <v>12410</v>
      </c>
      <c r="P214" t="s">
        <v>8459</v>
      </c>
      <c r="Q214">
        <v>30223531</v>
      </c>
    </row>
    <row r="215" spans="1:17" ht="15.75">
      <c r="A215" t="s">
        <v>12370</v>
      </c>
      <c r="B215" t="s">
        <v>12370</v>
      </c>
      <c r="C215" t="s">
        <v>12399</v>
      </c>
      <c r="D215" t="s">
        <v>12146</v>
      </c>
      <c r="G215" t="str">
        <f>Config!$B$7</f>
        <v>SCH/Connector.SchLib</v>
      </c>
      <c r="H215" t="s">
        <v>6983</v>
      </c>
      <c r="I215" s="39"/>
      <c r="J215" s="39"/>
      <c r="L215" s="1" t="s">
        <v>13497</v>
      </c>
      <c r="M215" t="s">
        <v>12477</v>
      </c>
      <c r="N215" t="s">
        <v>12147</v>
      </c>
      <c r="O215" t="s">
        <v>12411</v>
      </c>
      <c r="P215" t="s">
        <v>8459</v>
      </c>
    </row>
    <row r="216" spans="1:17" ht="15.75">
      <c r="A216" t="s">
        <v>12371</v>
      </c>
      <c r="B216" t="s">
        <v>12371</v>
      </c>
      <c r="C216" t="s">
        <v>12400</v>
      </c>
      <c r="D216" t="s">
        <v>12146</v>
      </c>
      <c r="G216" t="str">
        <f>Config!$B$7</f>
        <v>SCH/Connector.SchLib</v>
      </c>
      <c r="H216" t="s">
        <v>6983</v>
      </c>
      <c r="I216" s="39"/>
      <c r="J216" s="39"/>
      <c r="L216" s="1" t="s">
        <v>13497</v>
      </c>
      <c r="M216" t="s">
        <v>12478</v>
      </c>
      <c r="N216" t="s">
        <v>12147</v>
      </c>
      <c r="O216" t="s">
        <v>12412</v>
      </c>
      <c r="P216" t="s">
        <v>8459</v>
      </c>
      <c r="Q216">
        <v>30136211</v>
      </c>
    </row>
    <row r="217" spans="1:17" ht="15.75">
      <c r="A217" t="s">
        <v>12372</v>
      </c>
      <c r="B217" t="s">
        <v>12372</v>
      </c>
      <c r="C217" t="s">
        <v>12400</v>
      </c>
      <c r="D217" t="s">
        <v>12146</v>
      </c>
      <c r="G217" t="str">
        <f>Config!$B$7</f>
        <v>SCH/Connector.SchLib</v>
      </c>
      <c r="H217" t="s">
        <v>6983</v>
      </c>
      <c r="I217" s="39"/>
      <c r="J217" s="39"/>
      <c r="L217" s="1" t="s">
        <v>13497</v>
      </c>
      <c r="M217" t="s">
        <v>12478</v>
      </c>
      <c r="N217" t="s">
        <v>12147</v>
      </c>
      <c r="O217" t="s">
        <v>12413</v>
      </c>
      <c r="P217" t="s">
        <v>8459</v>
      </c>
      <c r="Q217">
        <v>14021753</v>
      </c>
    </row>
    <row r="218" spans="1:17" ht="15.75">
      <c r="A218" t="s">
        <v>12373</v>
      </c>
      <c r="B218" t="s">
        <v>12373</v>
      </c>
      <c r="C218" t="s">
        <v>12400</v>
      </c>
      <c r="D218" t="s">
        <v>12146</v>
      </c>
      <c r="G218" t="str">
        <f>Config!$B$7</f>
        <v>SCH/Connector.SchLib</v>
      </c>
      <c r="H218" t="s">
        <v>6983</v>
      </c>
      <c r="I218" s="39"/>
      <c r="J218" s="39"/>
      <c r="L218" s="1" t="s">
        <v>13497</v>
      </c>
      <c r="M218" t="s">
        <v>12478</v>
      </c>
      <c r="N218" t="s">
        <v>12147</v>
      </c>
      <c r="O218" t="s">
        <v>12414</v>
      </c>
      <c r="P218" t="s">
        <v>8459</v>
      </c>
      <c r="Q218">
        <v>14021754</v>
      </c>
    </row>
    <row r="219" spans="1:17" ht="15.75">
      <c r="A219" t="s">
        <v>12374</v>
      </c>
      <c r="B219" t="s">
        <v>12374</v>
      </c>
      <c r="C219" t="s">
        <v>12400</v>
      </c>
      <c r="D219" t="s">
        <v>12146</v>
      </c>
      <c r="G219" t="str">
        <f>Config!$B$7</f>
        <v>SCH/Connector.SchLib</v>
      </c>
      <c r="H219" t="s">
        <v>6983</v>
      </c>
      <c r="I219" s="39"/>
      <c r="J219" s="39"/>
      <c r="L219" s="1" t="s">
        <v>13497</v>
      </c>
      <c r="M219" t="s">
        <v>12478</v>
      </c>
      <c r="N219" t="s">
        <v>12147</v>
      </c>
      <c r="O219" t="s">
        <v>12415</v>
      </c>
      <c r="P219" t="s">
        <v>8459</v>
      </c>
      <c r="Q219">
        <v>14021757</v>
      </c>
    </row>
    <row r="220" spans="1:17" ht="15.75">
      <c r="A220" t="s">
        <v>12375</v>
      </c>
      <c r="B220" t="s">
        <v>12375</v>
      </c>
      <c r="C220" t="s">
        <v>12400</v>
      </c>
      <c r="D220" t="s">
        <v>12146</v>
      </c>
      <c r="G220" t="str">
        <f>Config!$B$7</f>
        <v>SCH/Connector.SchLib</v>
      </c>
      <c r="H220" t="s">
        <v>6983</v>
      </c>
      <c r="I220" s="39"/>
      <c r="J220" s="39"/>
      <c r="L220" s="1" t="s">
        <v>13497</v>
      </c>
      <c r="M220" t="s">
        <v>12478</v>
      </c>
      <c r="N220" t="s">
        <v>12147</v>
      </c>
      <c r="O220" t="s">
        <v>12416</v>
      </c>
      <c r="P220" t="s">
        <v>8459</v>
      </c>
      <c r="Q220">
        <v>14021755</v>
      </c>
    </row>
    <row r="221" spans="1:17" ht="15.75">
      <c r="A221" t="s">
        <v>12376</v>
      </c>
      <c r="B221" t="s">
        <v>12376</v>
      </c>
      <c r="C221" t="s">
        <v>12400</v>
      </c>
      <c r="D221" t="s">
        <v>12146</v>
      </c>
      <c r="G221" t="str">
        <f>Config!$B$7</f>
        <v>SCH/Connector.SchLib</v>
      </c>
      <c r="H221" t="s">
        <v>6983</v>
      </c>
      <c r="I221" s="39"/>
      <c r="J221" s="39"/>
      <c r="L221" s="1" t="s">
        <v>13497</v>
      </c>
      <c r="M221" t="s">
        <v>12478</v>
      </c>
      <c r="N221" t="s">
        <v>12147</v>
      </c>
      <c r="O221" t="s">
        <v>12417</v>
      </c>
      <c r="P221" t="s">
        <v>8459</v>
      </c>
      <c r="Q221">
        <v>14021756</v>
      </c>
    </row>
    <row r="222" spans="1:17" ht="15.75">
      <c r="A222" t="s">
        <v>12377</v>
      </c>
      <c r="B222" t="s">
        <v>12377</v>
      </c>
      <c r="C222" t="s">
        <v>12400</v>
      </c>
      <c r="D222" t="s">
        <v>12146</v>
      </c>
      <c r="G222" t="str">
        <f>Config!$B$7</f>
        <v>SCH/Connector.SchLib</v>
      </c>
      <c r="H222" t="s">
        <v>6983</v>
      </c>
      <c r="I222" s="39"/>
      <c r="J222" s="39"/>
      <c r="L222" s="1" t="s">
        <v>13497</v>
      </c>
      <c r="M222" t="s">
        <v>12478</v>
      </c>
      <c r="N222" t="s">
        <v>12147</v>
      </c>
      <c r="O222" t="s">
        <v>12418</v>
      </c>
    </row>
    <row r="223" spans="1:17" ht="15.75">
      <c r="A223" t="s">
        <v>12378</v>
      </c>
      <c r="B223" t="s">
        <v>12378</v>
      </c>
      <c r="C223" t="s">
        <v>12400</v>
      </c>
      <c r="D223" t="s">
        <v>12146</v>
      </c>
      <c r="G223" t="str">
        <f>Config!$B$7</f>
        <v>SCH/Connector.SchLib</v>
      </c>
      <c r="H223" t="s">
        <v>6983</v>
      </c>
      <c r="I223" s="39"/>
      <c r="J223" s="39"/>
      <c r="L223" s="1" t="s">
        <v>13497</v>
      </c>
      <c r="M223" t="s">
        <v>12478</v>
      </c>
      <c r="N223" t="s">
        <v>12147</v>
      </c>
      <c r="O223" t="s">
        <v>12419</v>
      </c>
      <c r="P223" t="s">
        <v>8459</v>
      </c>
      <c r="Q223">
        <v>30136213</v>
      </c>
    </row>
    <row r="224" spans="1:17" ht="15.75">
      <c r="A224" t="s">
        <v>12379</v>
      </c>
      <c r="B224" t="s">
        <v>12379</v>
      </c>
      <c r="C224" t="s">
        <v>12400</v>
      </c>
      <c r="D224" t="s">
        <v>12146</v>
      </c>
      <c r="G224" t="str">
        <f>Config!$B$7</f>
        <v>SCH/Connector.SchLib</v>
      </c>
      <c r="H224" t="s">
        <v>6983</v>
      </c>
      <c r="I224" s="39"/>
      <c r="J224" s="39"/>
      <c r="L224" s="1" t="s">
        <v>13497</v>
      </c>
      <c r="M224" t="s">
        <v>12478</v>
      </c>
      <c r="N224" t="s">
        <v>12147</v>
      </c>
      <c r="O224" t="s">
        <v>12420</v>
      </c>
    </row>
    <row r="225" spans="1:17" ht="15.75">
      <c r="A225" t="s">
        <v>12380</v>
      </c>
      <c r="B225" t="s">
        <v>12380</v>
      </c>
      <c r="C225" t="s">
        <v>12400</v>
      </c>
      <c r="D225" t="s">
        <v>12146</v>
      </c>
      <c r="G225" t="str">
        <f>Config!$B$7</f>
        <v>SCH/Connector.SchLib</v>
      </c>
      <c r="H225" t="s">
        <v>6983</v>
      </c>
      <c r="I225" s="39"/>
      <c r="J225" s="39"/>
      <c r="L225" s="1" t="s">
        <v>13497</v>
      </c>
      <c r="M225" t="s">
        <v>12478</v>
      </c>
      <c r="N225" t="s">
        <v>12147</v>
      </c>
      <c r="O225" t="s">
        <v>12421</v>
      </c>
    </row>
    <row r="226" spans="1:17" ht="15.75">
      <c r="A226" t="s">
        <v>12381</v>
      </c>
      <c r="B226" t="s">
        <v>12381</v>
      </c>
      <c r="C226" t="s">
        <v>12401</v>
      </c>
      <c r="D226" t="s">
        <v>12146</v>
      </c>
      <c r="G226" t="str">
        <f>Config!$B$7</f>
        <v>SCH/Connector.SchLib</v>
      </c>
      <c r="H226" t="s">
        <v>6983</v>
      </c>
      <c r="I226" s="39"/>
      <c r="J226" s="39"/>
      <c r="L226" s="1" t="s">
        <v>13497</v>
      </c>
      <c r="M226" t="s">
        <v>12479</v>
      </c>
      <c r="N226" t="s">
        <v>12147</v>
      </c>
      <c r="O226" t="s">
        <v>12422</v>
      </c>
      <c r="P226" t="s">
        <v>8459</v>
      </c>
      <c r="Q226">
        <v>14021809</v>
      </c>
    </row>
    <row r="227" spans="1:17" ht="15.75">
      <c r="A227" t="s">
        <v>12382</v>
      </c>
      <c r="B227" t="s">
        <v>12382</v>
      </c>
      <c r="C227" t="s">
        <v>12401</v>
      </c>
      <c r="D227" t="s">
        <v>12146</v>
      </c>
      <c r="G227" t="str">
        <f>Config!$B$7</f>
        <v>SCH/Connector.SchLib</v>
      </c>
      <c r="H227" t="s">
        <v>6983</v>
      </c>
      <c r="I227" s="39"/>
      <c r="J227" s="39"/>
      <c r="L227" s="1" t="s">
        <v>13497</v>
      </c>
      <c r="M227" t="s">
        <v>12479</v>
      </c>
      <c r="N227" t="s">
        <v>12147</v>
      </c>
      <c r="O227" t="s">
        <v>12423</v>
      </c>
      <c r="P227" t="s">
        <v>8459</v>
      </c>
      <c r="Q227">
        <v>14021804</v>
      </c>
    </row>
    <row r="228" spans="1:17" ht="15.75">
      <c r="A228" t="s">
        <v>12383</v>
      </c>
      <c r="B228" t="s">
        <v>12383</v>
      </c>
      <c r="C228" t="s">
        <v>12401</v>
      </c>
      <c r="D228" t="s">
        <v>12146</v>
      </c>
      <c r="G228" t="str">
        <f>Config!$B$7</f>
        <v>SCH/Connector.SchLib</v>
      </c>
      <c r="H228" t="s">
        <v>6983</v>
      </c>
      <c r="I228" s="39"/>
      <c r="J228" s="39"/>
      <c r="L228" s="1" t="s">
        <v>13497</v>
      </c>
      <c r="M228" t="s">
        <v>12479</v>
      </c>
      <c r="N228" t="s">
        <v>12147</v>
      </c>
      <c r="O228" t="s">
        <v>12424</v>
      </c>
      <c r="P228" t="s">
        <v>8459</v>
      </c>
      <c r="Q228">
        <v>14021805</v>
      </c>
    </row>
    <row r="229" spans="1:17" ht="15.75">
      <c r="A229" t="s">
        <v>12384</v>
      </c>
      <c r="B229" t="s">
        <v>12384</v>
      </c>
      <c r="C229" t="s">
        <v>12401</v>
      </c>
      <c r="D229" t="s">
        <v>12146</v>
      </c>
      <c r="G229" t="str">
        <f>Config!$B$7</f>
        <v>SCH/Connector.SchLib</v>
      </c>
      <c r="H229" t="s">
        <v>6983</v>
      </c>
      <c r="I229" s="39"/>
      <c r="J229" s="39"/>
      <c r="L229" s="1" t="s">
        <v>13497</v>
      </c>
      <c r="M229" t="s">
        <v>12479</v>
      </c>
      <c r="N229" t="s">
        <v>12147</v>
      </c>
      <c r="O229" t="s">
        <v>12425</v>
      </c>
      <c r="P229" t="s">
        <v>8459</v>
      </c>
      <c r="Q229">
        <v>14021808</v>
      </c>
    </row>
    <row r="230" spans="1:17" ht="15.75">
      <c r="A230" t="s">
        <v>12385</v>
      </c>
      <c r="B230" t="s">
        <v>12385</v>
      </c>
      <c r="C230" t="s">
        <v>12401</v>
      </c>
      <c r="D230" t="s">
        <v>12146</v>
      </c>
      <c r="G230" t="str">
        <f>Config!$B$7</f>
        <v>SCH/Connector.SchLib</v>
      </c>
      <c r="H230" t="s">
        <v>6983</v>
      </c>
      <c r="I230" s="39"/>
      <c r="J230" s="39"/>
      <c r="L230" s="1" t="s">
        <v>13497</v>
      </c>
      <c r="M230" t="s">
        <v>12479</v>
      </c>
      <c r="N230" t="s">
        <v>12147</v>
      </c>
      <c r="O230" t="s">
        <v>12426</v>
      </c>
    </row>
    <row r="231" spans="1:17" ht="15.75">
      <c r="A231" t="s">
        <v>12386</v>
      </c>
      <c r="B231" t="s">
        <v>12386</v>
      </c>
      <c r="C231" t="s">
        <v>12401</v>
      </c>
      <c r="D231" t="s">
        <v>12146</v>
      </c>
      <c r="G231" t="str">
        <f>Config!$B$7</f>
        <v>SCH/Connector.SchLib</v>
      </c>
      <c r="H231" t="s">
        <v>6983</v>
      </c>
      <c r="I231" s="39"/>
      <c r="J231" s="39"/>
      <c r="L231" s="1" t="s">
        <v>13497</v>
      </c>
      <c r="M231" t="s">
        <v>12479</v>
      </c>
      <c r="N231" t="s">
        <v>12147</v>
      </c>
      <c r="O231" t="s">
        <v>12427</v>
      </c>
    </row>
    <row r="232" spans="1:17" ht="15.75">
      <c r="A232" t="s">
        <v>12387</v>
      </c>
      <c r="B232" t="s">
        <v>12387</v>
      </c>
      <c r="C232" t="s">
        <v>12401</v>
      </c>
      <c r="D232" t="s">
        <v>12146</v>
      </c>
      <c r="G232" t="str">
        <f>Config!$B$7</f>
        <v>SCH/Connector.SchLib</v>
      </c>
      <c r="H232" t="s">
        <v>6983</v>
      </c>
      <c r="I232" s="39"/>
      <c r="J232" s="39"/>
      <c r="L232" s="1" t="s">
        <v>13497</v>
      </c>
      <c r="M232" t="s">
        <v>12479</v>
      </c>
      <c r="N232" t="s">
        <v>12147</v>
      </c>
      <c r="O232" t="s">
        <v>12428</v>
      </c>
    </row>
    <row r="233" spans="1:17" ht="15.75">
      <c r="A233" t="s">
        <v>12388</v>
      </c>
      <c r="B233" t="s">
        <v>12388</v>
      </c>
      <c r="C233" t="s">
        <v>12401</v>
      </c>
      <c r="D233" t="s">
        <v>12146</v>
      </c>
      <c r="G233" t="str">
        <f>Config!$B$7</f>
        <v>SCH/Connector.SchLib</v>
      </c>
      <c r="H233" t="s">
        <v>6983</v>
      </c>
      <c r="I233" s="39"/>
      <c r="J233" s="39"/>
      <c r="L233" s="1" t="s">
        <v>13497</v>
      </c>
      <c r="M233" t="s">
        <v>12479</v>
      </c>
      <c r="N233" t="s">
        <v>12147</v>
      </c>
      <c r="O233" t="s">
        <v>12429</v>
      </c>
    </row>
    <row r="234" spans="1:17" ht="15.75">
      <c r="A234" t="s">
        <v>12389</v>
      </c>
      <c r="B234" t="s">
        <v>12389</v>
      </c>
      <c r="C234" t="s">
        <v>12401</v>
      </c>
      <c r="D234" t="s">
        <v>12146</v>
      </c>
      <c r="G234" t="str">
        <f>Config!$B$7</f>
        <v>SCH/Connector.SchLib</v>
      </c>
      <c r="H234" t="s">
        <v>6983</v>
      </c>
      <c r="I234" s="39"/>
      <c r="J234" s="39"/>
      <c r="L234" s="1" t="s">
        <v>13497</v>
      </c>
      <c r="M234" t="s">
        <v>12479</v>
      </c>
      <c r="N234" t="s">
        <v>12147</v>
      </c>
      <c r="O234" t="s">
        <v>12430</v>
      </c>
    </row>
    <row r="235" spans="1:17" ht="15.75">
      <c r="A235" t="s">
        <v>12390</v>
      </c>
      <c r="B235" t="s">
        <v>12390</v>
      </c>
      <c r="C235" t="s">
        <v>12401</v>
      </c>
      <c r="D235" t="s">
        <v>12146</v>
      </c>
      <c r="G235" t="str">
        <f>Config!$B$7</f>
        <v>SCH/Connector.SchLib</v>
      </c>
      <c r="H235" t="s">
        <v>6983</v>
      </c>
      <c r="I235" s="39"/>
      <c r="J235" s="39"/>
      <c r="L235" s="1" t="s">
        <v>13497</v>
      </c>
      <c r="M235" t="s">
        <v>12479</v>
      </c>
      <c r="N235" t="s">
        <v>12147</v>
      </c>
      <c r="O235" t="s">
        <v>12431</v>
      </c>
    </row>
    <row r="236" spans="1:17" ht="15.75">
      <c r="A236" t="s">
        <v>12455</v>
      </c>
      <c r="B236" t="s">
        <v>12455</v>
      </c>
      <c r="C236" t="s">
        <v>12476</v>
      </c>
      <c r="D236" t="s">
        <v>12146</v>
      </c>
      <c r="G236" t="str">
        <f>Config!$B$7</f>
        <v>SCH/Connector.SchLib</v>
      </c>
      <c r="H236" t="s">
        <v>6983</v>
      </c>
      <c r="I236" s="39"/>
      <c r="J236" s="39"/>
      <c r="L236" s="1" t="s">
        <v>13497</v>
      </c>
      <c r="M236" t="s">
        <v>12432</v>
      </c>
      <c r="N236" t="s">
        <v>12147</v>
      </c>
      <c r="O236" t="s">
        <v>12433</v>
      </c>
    </row>
    <row r="237" spans="1:17" ht="15.75">
      <c r="A237" t="s">
        <v>12456</v>
      </c>
      <c r="B237" t="s">
        <v>12456</v>
      </c>
      <c r="C237" t="s">
        <v>12476</v>
      </c>
      <c r="D237" t="s">
        <v>12146</v>
      </c>
      <c r="G237" t="str">
        <f>Config!$B$7</f>
        <v>SCH/Connector.SchLib</v>
      </c>
      <c r="H237" t="s">
        <v>6983</v>
      </c>
      <c r="I237" s="39"/>
      <c r="J237" s="39"/>
      <c r="L237" s="1" t="s">
        <v>13497</v>
      </c>
      <c r="M237" t="s">
        <v>12432</v>
      </c>
      <c r="N237" t="s">
        <v>12147</v>
      </c>
      <c r="O237" t="s">
        <v>12434</v>
      </c>
      <c r="P237" t="s">
        <v>8459</v>
      </c>
      <c r="Q237">
        <v>30136393</v>
      </c>
    </row>
    <row r="238" spans="1:17" ht="15.75">
      <c r="A238" t="s">
        <v>12457</v>
      </c>
      <c r="B238" t="s">
        <v>12457</v>
      </c>
      <c r="C238" t="s">
        <v>12476</v>
      </c>
      <c r="D238" t="s">
        <v>12146</v>
      </c>
      <c r="G238" t="str">
        <f>Config!$B$7</f>
        <v>SCH/Connector.SchLib</v>
      </c>
      <c r="H238" t="s">
        <v>6983</v>
      </c>
      <c r="I238" s="39"/>
      <c r="J238" s="39"/>
      <c r="L238" s="1" t="s">
        <v>13497</v>
      </c>
      <c r="M238" t="s">
        <v>12432</v>
      </c>
      <c r="N238" t="s">
        <v>12147</v>
      </c>
      <c r="O238" t="s">
        <v>12435</v>
      </c>
      <c r="P238" t="s">
        <v>8459</v>
      </c>
      <c r="Q238">
        <v>30136394</v>
      </c>
    </row>
    <row r="239" spans="1:17" ht="15.75">
      <c r="A239" t="s">
        <v>12458</v>
      </c>
      <c r="B239" t="s">
        <v>12458</v>
      </c>
      <c r="C239" t="s">
        <v>12476</v>
      </c>
      <c r="D239" t="s">
        <v>12146</v>
      </c>
      <c r="G239" t="str">
        <f>Config!$B$7</f>
        <v>SCH/Connector.SchLib</v>
      </c>
      <c r="H239" t="s">
        <v>6983</v>
      </c>
      <c r="I239" s="39"/>
      <c r="J239" s="39"/>
      <c r="L239" s="1" t="s">
        <v>13497</v>
      </c>
      <c r="M239" t="s">
        <v>12432</v>
      </c>
      <c r="N239" t="s">
        <v>12147</v>
      </c>
      <c r="O239" t="s">
        <v>12436</v>
      </c>
      <c r="P239" t="s">
        <v>8459</v>
      </c>
      <c r="Q239">
        <v>30136395</v>
      </c>
    </row>
    <row r="240" spans="1:17" ht="15.75">
      <c r="A240" t="s">
        <v>12459</v>
      </c>
      <c r="B240" t="s">
        <v>12459</v>
      </c>
      <c r="C240" t="s">
        <v>12476</v>
      </c>
      <c r="D240" t="s">
        <v>12146</v>
      </c>
      <c r="G240" t="str">
        <f>Config!$B$7</f>
        <v>SCH/Connector.SchLib</v>
      </c>
      <c r="H240" t="s">
        <v>6983</v>
      </c>
      <c r="I240" s="39"/>
      <c r="J240" s="39"/>
      <c r="L240" s="1" t="s">
        <v>13497</v>
      </c>
      <c r="M240" t="s">
        <v>12432</v>
      </c>
      <c r="N240" t="s">
        <v>12147</v>
      </c>
      <c r="O240" t="s">
        <v>12437</v>
      </c>
      <c r="P240" t="s">
        <v>8459</v>
      </c>
      <c r="Q240">
        <v>30136396</v>
      </c>
    </row>
    <row r="241" spans="1:17" ht="15.75">
      <c r="A241" t="s">
        <v>12460</v>
      </c>
      <c r="B241" t="s">
        <v>12460</v>
      </c>
      <c r="C241" t="s">
        <v>12476</v>
      </c>
      <c r="D241" t="s">
        <v>12146</v>
      </c>
      <c r="G241" t="str">
        <f>Config!$B$7</f>
        <v>SCH/Connector.SchLib</v>
      </c>
      <c r="H241" t="s">
        <v>6983</v>
      </c>
      <c r="I241" s="39"/>
      <c r="J241" s="39"/>
      <c r="L241" s="1" t="s">
        <v>13497</v>
      </c>
      <c r="M241" t="s">
        <v>12432</v>
      </c>
      <c r="N241" t="s">
        <v>12147</v>
      </c>
      <c r="O241" t="s">
        <v>12438</v>
      </c>
    </row>
    <row r="242" spans="1:17" ht="15.75">
      <c r="A242" t="s">
        <v>12461</v>
      </c>
      <c r="B242" t="s">
        <v>12461</v>
      </c>
      <c r="C242" t="s">
        <v>12476</v>
      </c>
      <c r="D242" t="s">
        <v>12146</v>
      </c>
      <c r="G242" t="str">
        <f>Config!$B$7</f>
        <v>SCH/Connector.SchLib</v>
      </c>
      <c r="H242" t="s">
        <v>6983</v>
      </c>
      <c r="I242" s="39"/>
      <c r="J242" s="39"/>
      <c r="L242" s="1" t="s">
        <v>13497</v>
      </c>
      <c r="M242" t="s">
        <v>12432</v>
      </c>
      <c r="N242" t="s">
        <v>12147</v>
      </c>
      <c r="O242" t="s">
        <v>12439</v>
      </c>
    </row>
    <row r="243" spans="1:17" ht="15.75">
      <c r="A243" t="s">
        <v>12462</v>
      </c>
      <c r="B243" t="s">
        <v>12462</v>
      </c>
      <c r="C243" t="s">
        <v>12476</v>
      </c>
      <c r="D243" t="s">
        <v>12146</v>
      </c>
      <c r="G243" t="str">
        <f>Config!$B$7</f>
        <v>SCH/Connector.SchLib</v>
      </c>
      <c r="H243" t="s">
        <v>6983</v>
      </c>
      <c r="I243" s="39"/>
      <c r="J243" s="39"/>
      <c r="L243" s="1" t="s">
        <v>13497</v>
      </c>
      <c r="M243" t="s">
        <v>12432</v>
      </c>
      <c r="N243" t="s">
        <v>12147</v>
      </c>
      <c r="O243" t="s">
        <v>12440</v>
      </c>
      <c r="P243" t="s">
        <v>8459</v>
      </c>
      <c r="Q243">
        <v>30136399</v>
      </c>
    </row>
    <row r="244" spans="1:17" ht="15.75">
      <c r="A244" t="s">
        <v>12463</v>
      </c>
      <c r="B244" t="s">
        <v>12463</v>
      </c>
      <c r="C244" t="s">
        <v>12476</v>
      </c>
      <c r="D244" t="s">
        <v>12146</v>
      </c>
      <c r="G244" t="str">
        <f>Config!$B$7</f>
        <v>SCH/Connector.SchLib</v>
      </c>
      <c r="H244" t="s">
        <v>6983</v>
      </c>
      <c r="I244" s="39"/>
      <c r="J244" s="39"/>
      <c r="L244" s="1" t="s">
        <v>13497</v>
      </c>
      <c r="M244" t="s">
        <v>12432</v>
      </c>
      <c r="N244" t="s">
        <v>12147</v>
      </c>
      <c r="O244" t="s">
        <v>12441</v>
      </c>
      <c r="P244" t="s">
        <v>8459</v>
      </c>
      <c r="Q244">
        <v>30136400</v>
      </c>
    </row>
    <row r="245" spans="1:17" ht="15.75">
      <c r="A245" t="s">
        <v>12464</v>
      </c>
      <c r="B245" t="s">
        <v>12464</v>
      </c>
      <c r="C245" t="s">
        <v>12476</v>
      </c>
      <c r="D245" t="s">
        <v>12146</v>
      </c>
      <c r="G245" t="str">
        <f>Config!$B$7</f>
        <v>SCH/Connector.SchLib</v>
      </c>
      <c r="H245" t="s">
        <v>6983</v>
      </c>
      <c r="I245" s="39"/>
      <c r="J245" s="39"/>
      <c r="L245" s="1" t="s">
        <v>13497</v>
      </c>
      <c r="M245" t="s">
        <v>12432</v>
      </c>
      <c r="N245" t="s">
        <v>12147</v>
      </c>
      <c r="O245" t="s">
        <v>12442</v>
      </c>
    </row>
    <row r="246" spans="1:17" ht="15.75">
      <c r="A246" t="s">
        <v>12465</v>
      </c>
      <c r="B246" t="s">
        <v>12465</v>
      </c>
      <c r="C246" t="s">
        <v>12466</v>
      </c>
      <c r="D246" t="s">
        <v>12146</v>
      </c>
      <c r="G246" t="str">
        <f>Config!$B$7</f>
        <v>SCH/Connector.SchLib</v>
      </c>
      <c r="H246" t="s">
        <v>6983</v>
      </c>
      <c r="I246" s="39"/>
      <c r="J246" s="39"/>
      <c r="L246" s="1" t="s">
        <v>13497</v>
      </c>
      <c r="M246" t="s">
        <v>12454</v>
      </c>
      <c r="N246" t="s">
        <v>12147</v>
      </c>
      <c r="O246" t="s">
        <v>12443</v>
      </c>
    </row>
    <row r="247" spans="1:17" ht="15.75">
      <c r="A247" t="s">
        <v>12467</v>
      </c>
      <c r="B247" t="s">
        <v>12467</v>
      </c>
      <c r="C247" t="s">
        <v>12466</v>
      </c>
      <c r="D247" t="s">
        <v>12146</v>
      </c>
      <c r="G247" t="str">
        <f>Config!$B$7</f>
        <v>SCH/Connector.SchLib</v>
      </c>
      <c r="H247" t="s">
        <v>6983</v>
      </c>
      <c r="I247" s="39"/>
      <c r="J247" s="39"/>
      <c r="L247" s="1" t="s">
        <v>13497</v>
      </c>
      <c r="M247" t="s">
        <v>12454</v>
      </c>
      <c r="N247" t="s">
        <v>12147</v>
      </c>
      <c r="O247" t="s">
        <v>12444</v>
      </c>
      <c r="P247" t="s">
        <v>8459</v>
      </c>
      <c r="Q247">
        <v>30136403</v>
      </c>
    </row>
    <row r="248" spans="1:17" ht="15.75">
      <c r="A248" t="s">
        <v>12468</v>
      </c>
      <c r="B248" t="s">
        <v>12468</v>
      </c>
      <c r="C248" t="s">
        <v>12466</v>
      </c>
      <c r="D248" t="s">
        <v>12146</v>
      </c>
      <c r="G248" t="str">
        <f>Config!$B$7</f>
        <v>SCH/Connector.SchLib</v>
      </c>
      <c r="H248" t="s">
        <v>6983</v>
      </c>
      <c r="I248" s="39"/>
      <c r="J248" s="39"/>
      <c r="L248" s="1" t="s">
        <v>13497</v>
      </c>
      <c r="M248" t="s">
        <v>12454</v>
      </c>
      <c r="N248" t="s">
        <v>12147</v>
      </c>
      <c r="O248" t="s">
        <v>12445</v>
      </c>
      <c r="P248" t="s">
        <v>8459</v>
      </c>
      <c r="Q248">
        <v>30136404</v>
      </c>
    </row>
    <row r="249" spans="1:17" ht="15.75">
      <c r="A249" t="s">
        <v>12469</v>
      </c>
      <c r="B249" t="s">
        <v>12469</v>
      </c>
      <c r="C249" t="s">
        <v>12466</v>
      </c>
      <c r="D249" t="s">
        <v>12146</v>
      </c>
      <c r="G249" t="str">
        <f>Config!$B$7</f>
        <v>SCH/Connector.SchLib</v>
      </c>
      <c r="H249" t="s">
        <v>6983</v>
      </c>
      <c r="I249" s="39"/>
      <c r="J249" s="39"/>
      <c r="L249" s="1" t="s">
        <v>13497</v>
      </c>
      <c r="M249" t="s">
        <v>12454</v>
      </c>
      <c r="N249" t="s">
        <v>12147</v>
      </c>
      <c r="O249" t="s">
        <v>12446</v>
      </c>
      <c r="P249" t="s">
        <v>8459</v>
      </c>
      <c r="Q249">
        <v>30136405</v>
      </c>
    </row>
    <row r="250" spans="1:17" ht="15.75">
      <c r="A250" t="s">
        <v>12470</v>
      </c>
      <c r="B250" t="s">
        <v>12470</v>
      </c>
      <c r="C250" t="s">
        <v>12466</v>
      </c>
      <c r="D250" t="s">
        <v>12146</v>
      </c>
      <c r="G250" t="str">
        <f>Config!$B$7</f>
        <v>SCH/Connector.SchLib</v>
      </c>
      <c r="H250" t="s">
        <v>6983</v>
      </c>
      <c r="I250" s="39"/>
      <c r="J250" s="39"/>
      <c r="L250" s="1" t="s">
        <v>13497</v>
      </c>
      <c r="M250" t="s">
        <v>12454</v>
      </c>
      <c r="N250" t="s">
        <v>12147</v>
      </c>
      <c r="O250" t="s">
        <v>12447</v>
      </c>
    </row>
    <row r="251" spans="1:17" ht="15.75">
      <c r="A251" t="s">
        <v>12471</v>
      </c>
      <c r="B251" t="s">
        <v>12471</v>
      </c>
      <c r="C251" t="s">
        <v>12466</v>
      </c>
      <c r="D251" t="s">
        <v>12146</v>
      </c>
      <c r="G251" t="str">
        <f>Config!$B$7</f>
        <v>SCH/Connector.SchLib</v>
      </c>
      <c r="H251" t="s">
        <v>6983</v>
      </c>
      <c r="I251" s="39"/>
      <c r="J251" s="39"/>
      <c r="L251" s="1" t="s">
        <v>13497</v>
      </c>
      <c r="M251" t="s">
        <v>12454</v>
      </c>
      <c r="N251" t="s">
        <v>12147</v>
      </c>
      <c r="O251" t="s">
        <v>12448</v>
      </c>
    </row>
    <row r="252" spans="1:17" ht="15.75">
      <c r="A252" t="s">
        <v>12472</v>
      </c>
      <c r="B252" t="s">
        <v>12472</v>
      </c>
      <c r="C252" t="s">
        <v>12466</v>
      </c>
      <c r="D252" t="s">
        <v>12146</v>
      </c>
      <c r="G252" t="str">
        <f>Config!$B$7</f>
        <v>SCH/Connector.SchLib</v>
      </c>
      <c r="H252" t="s">
        <v>6983</v>
      </c>
      <c r="I252" s="39"/>
      <c r="J252" s="39"/>
      <c r="L252" s="1" t="s">
        <v>13497</v>
      </c>
      <c r="M252" t="s">
        <v>12454</v>
      </c>
      <c r="N252" t="s">
        <v>12147</v>
      </c>
      <c r="O252" t="s">
        <v>12449</v>
      </c>
    </row>
    <row r="253" spans="1:17" ht="15.75">
      <c r="A253" t="s">
        <v>12473</v>
      </c>
      <c r="B253" t="s">
        <v>12473</v>
      </c>
      <c r="C253" t="s">
        <v>12466</v>
      </c>
      <c r="D253" t="s">
        <v>12146</v>
      </c>
      <c r="G253" t="str">
        <f>Config!$B$7</f>
        <v>SCH/Connector.SchLib</v>
      </c>
      <c r="H253" t="s">
        <v>6983</v>
      </c>
      <c r="I253" s="39"/>
      <c r="J253" s="39"/>
      <c r="L253" s="1" t="s">
        <v>13497</v>
      </c>
      <c r="M253" t="s">
        <v>12454</v>
      </c>
      <c r="N253" t="s">
        <v>12147</v>
      </c>
      <c r="O253" t="s">
        <v>12450</v>
      </c>
      <c r="P253" t="s">
        <v>8459</v>
      </c>
      <c r="Q253">
        <v>30136409</v>
      </c>
    </row>
    <row r="254" spans="1:17" ht="15.75">
      <c r="A254" t="s">
        <v>12474</v>
      </c>
      <c r="B254" t="s">
        <v>12474</v>
      </c>
      <c r="C254" t="s">
        <v>12466</v>
      </c>
      <c r="D254" t="s">
        <v>12146</v>
      </c>
      <c r="G254" t="str">
        <f>Config!$B$7</f>
        <v>SCH/Connector.SchLib</v>
      </c>
      <c r="H254" t="s">
        <v>6983</v>
      </c>
      <c r="I254" s="39"/>
      <c r="J254" s="39"/>
      <c r="L254" s="1" t="s">
        <v>13497</v>
      </c>
      <c r="M254" t="s">
        <v>12454</v>
      </c>
      <c r="N254" t="s">
        <v>12147</v>
      </c>
      <c r="O254" t="s">
        <v>12451</v>
      </c>
      <c r="P254" t="s">
        <v>8459</v>
      </c>
      <c r="Q254">
        <v>30136410</v>
      </c>
    </row>
    <row r="255" spans="1:17" ht="15.75">
      <c r="A255" t="s">
        <v>12475</v>
      </c>
      <c r="B255" t="s">
        <v>12475</v>
      </c>
      <c r="C255" t="s">
        <v>12466</v>
      </c>
      <c r="D255" t="s">
        <v>12146</v>
      </c>
      <c r="G255" t="str">
        <f>Config!$B$7</f>
        <v>SCH/Connector.SchLib</v>
      </c>
      <c r="H255" t="s">
        <v>6983</v>
      </c>
      <c r="I255" s="39"/>
      <c r="J255" s="39"/>
      <c r="L255" s="1" t="s">
        <v>13497</v>
      </c>
      <c r="M255" t="s">
        <v>12454</v>
      </c>
      <c r="N255" t="s">
        <v>12147</v>
      </c>
      <c r="O255" t="s">
        <v>12453</v>
      </c>
    </row>
    <row r="256" spans="1:17" ht="15.75">
      <c r="A256" t="s">
        <v>18130</v>
      </c>
      <c r="B256" t="s">
        <v>18130</v>
      </c>
      <c r="C256" t="s">
        <v>18131</v>
      </c>
      <c r="D256" t="s">
        <v>21</v>
      </c>
      <c r="G256" t="str">
        <f>Config!$B$7</f>
        <v>SCH/Connector.SchLib</v>
      </c>
      <c r="H256" t="s">
        <v>6983</v>
      </c>
      <c r="I256" t="s">
        <v>6232</v>
      </c>
      <c r="J256" t="s">
        <v>18130</v>
      </c>
      <c r="L256" s="1" t="s">
        <v>13497</v>
      </c>
    </row>
    <row r="257" spans="1:25" ht="15.75">
      <c r="A257" t="s">
        <v>14038</v>
      </c>
      <c r="B257" t="s">
        <v>14038</v>
      </c>
      <c r="C257" t="s">
        <v>14039</v>
      </c>
      <c r="D257" t="s">
        <v>21</v>
      </c>
      <c r="G257" t="str">
        <f>Config!$B$7</f>
        <v>SCH/Connector.SchLib</v>
      </c>
      <c r="H257" t="s">
        <v>6983</v>
      </c>
      <c r="I257" t="s">
        <v>6232</v>
      </c>
      <c r="J257" t="s">
        <v>14038</v>
      </c>
      <c r="L257" s="1" t="s">
        <v>13497</v>
      </c>
    </row>
    <row r="258" spans="1:25" ht="15.75">
      <c r="A258" t="s">
        <v>14036</v>
      </c>
      <c r="B258" t="s">
        <v>14036</v>
      </c>
      <c r="C258" t="s">
        <v>14037</v>
      </c>
      <c r="D258" t="s">
        <v>21</v>
      </c>
      <c r="G258" t="str">
        <f>Config!$B$7</f>
        <v>SCH/Connector.SchLib</v>
      </c>
      <c r="H258" t="s">
        <v>6983</v>
      </c>
      <c r="I258" t="s">
        <v>6232</v>
      </c>
      <c r="J258" t="s">
        <v>14036</v>
      </c>
      <c r="L258" s="1" t="s">
        <v>13497</v>
      </c>
    </row>
    <row r="259" spans="1:25" ht="15.75">
      <c r="A259" t="s">
        <v>14034</v>
      </c>
      <c r="B259" t="s">
        <v>14034</v>
      </c>
      <c r="C259" t="s">
        <v>14035</v>
      </c>
      <c r="D259" t="s">
        <v>21</v>
      </c>
      <c r="G259" t="str">
        <f>Config!$B$7</f>
        <v>SCH/Connector.SchLib</v>
      </c>
      <c r="H259" t="s">
        <v>6983</v>
      </c>
      <c r="I259" t="s">
        <v>6232</v>
      </c>
      <c r="J259" t="s">
        <v>14034</v>
      </c>
      <c r="L259" s="1" t="s">
        <v>13497</v>
      </c>
    </row>
    <row r="260" spans="1:25" ht="15.75">
      <c r="A260" t="s">
        <v>14030</v>
      </c>
      <c r="B260" t="s">
        <v>14030</v>
      </c>
      <c r="C260" t="s">
        <v>14032</v>
      </c>
      <c r="D260" t="s">
        <v>21</v>
      </c>
      <c r="G260" t="str">
        <f>Config!$B$7</f>
        <v>SCH/Connector.SchLib</v>
      </c>
      <c r="H260" t="s">
        <v>6983</v>
      </c>
      <c r="I260" t="s">
        <v>6232</v>
      </c>
      <c r="J260" t="s">
        <v>14030</v>
      </c>
      <c r="L260" s="1" t="s">
        <v>13497</v>
      </c>
    </row>
    <row r="261" spans="1:25" ht="15.75">
      <c r="A261" t="s">
        <v>14031</v>
      </c>
      <c r="B261" t="s">
        <v>14031</v>
      </c>
      <c r="C261" t="s">
        <v>14033</v>
      </c>
      <c r="D261" t="s">
        <v>21</v>
      </c>
      <c r="G261" t="str">
        <f>Config!$B$7</f>
        <v>SCH/Connector.SchLib</v>
      </c>
      <c r="H261" t="s">
        <v>6983</v>
      </c>
      <c r="I261" t="s">
        <v>6232</v>
      </c>
      <c r="J261" t="s">
        <v>14031</v>
      </c>
      <c r="L261" s="1" t="s">
        <v>13497</v>
      </c>
    </row>
    <row r="262" spans="1:25" ht="15.75">
      <c r="A262" t="s">
        <v>12715</v>
      </c>
      <c r="B262" t="s">
        <v>12715</v>
      </c>
      <c r="C262" t="s">
        <v>12720</v>
      </c>
      <c r="D262" t="s">
        <v>21</v>
      </c>
      <c r="G262" t="str">
        <f>Config!$B$7</f>
        <v>SCH/Connector.SchLib</v>
      </c>
      <c r="H262" t="s">
        <v>6983</v>
      </c>
      <c r="I262" t="s">
        <v>6232</v>
      </c>
      <c r="J262" t="s">
        <v>12715</v>
      </c>
      <c r="L262" s="1" t="s">
        <v>13497</v>
      </c>
    </row>
    <row r="263" spans="1:25" ht="15.75">
      <c r="A263" t="s">
        <v>13384</v>
      </c>
      <c r="B263" t="s">
        <v>13384</v>
      </c>
      <c r="C263" t="s">
        <v>13385</v>
      </c>
      <c r="D263" t="s">
        <v>21</v>
      </c>
      <c r="G263" t="str">
        <f>Config!$B$7</f>
        <v>SCH/Connector.SchLib</v>
      </c>
      <c r="H263" t="s">
        <v>6983</v>
      </c>
      <c r="I263" t="s">
        <v>6232</v>
      </c>
      <c r="J263" t="s">
        <v>13384</v>
      </c>
      <c r="L263" s="1" t="s">
        <v>13497</v>
      </c>
    </row>
    <row r="264" spans="1:25" ht="15.75">
      <c r="A264" t="s">
        <v>12716</v>
      </c>
      <c r="B264" t="s">
        <v>12716</v>
      </c>
      <c r="C264" t="s">
        <v>12721</v>
      </c>
      <c r="D264" t="s">
        <v>21</v>
      </c>
      <c r="G264" t="str">
        <f>Config!$B$7</f>
        <v>SCH/Connector.SchLib</v>
      </c>
      <c r="H264" t="s">
        <v>6983</v>
      </c>
      <c r="I264" t="s">
        <v>6232</v>
      </c>
      <c r="J264" t="s">
        <v>12716</v>
      </c>
      <c r="L264" s="1" t="s">
        <v>13497</v>
      </c>
    </row>
    <row r="265" spans="1:25" ht="15.75">
      <c r="A265" t="s">
        <v>12727</v>
      </c>
      <c r="B265" t="s">
        <v>12727</v>
      </c>
      <c r="C265" t="s">
        <v>12728</v>
      </c>
      <c r="D265" t="s">
        <v>21</v>
      </c>
      <c r="G265" t="str">
        <f>Config!$B$7</f>
        <v>SCH/Connector.SchLib</v>
      </c>
      <c r="H265" t="s">
        <v>6983</v>
      </c>
      <c r="I265" t="s">
        <v>6232</v>
      </c>
      <c r="J265" t="s">
        <v>12727</v>
      </c>
      <c r="L265" s="1" t="s">
        <v>13497</v>
      </c>
    </row>
    <row r="266" spans="1:25" ht="15.75">
      <c r="A266" t="s">
        <v>12717</v>
      </c>
      <c r="B266" t="s">
        <v>12717</v>
      </c>
      <c r="C266" t="s">
        <v>12722</v>
      </c>
      <c r="D266" t="s">
        <v>21</v>
      </c>
      <c r="G266" t="str">
        <f>Config!$B$7</f>
        <v>SCH/Connector.SchLib</v>
      </c>
      <c r="H266" t="s">
        <v>6983</v>
      </c>
      <c r="I266" t="s">
        <v>6232</v>
      </c>
      <c r="J266" t="s">
        <v>12717</v>
      </c>
      <c r="L266" s="1" t="s">
        <v>13497</v>
      </c>
    </row>
    <row r="267" spans="1:25" ht="15.75">
      <c r="A267" t="s">
        <v>12725</v>
      </c>
      <c r="B267" t="s">
        <v>12725</v>
      </c>
      <c r="C267" t="s">
        <v>12726</v>
      </c>
      <c r="D267" t="s">
        <v>21</v>
      </c>
      <c r="G267" t="str">
        <f>Config!$B$7</f>
        <v>SCH/Connector.SchLib</v>
      </c>
      <c r="H267" t="s">
        <v>6983</v>
      </c>
      <c r="I267" t="s">
        <v>6232</v>
      </c>
      <c r="J267" t="s">
        <v>12725</v>
      </c>
      <c r="L267" s="1" t="s">
        <v>13497</v>
      </c>
    </row>
    <row r="268" spans="1:25" ht="15.75">
      <c r="A268" t="s">
        <v>12718</v>
      </c>
      <c r="B268" t="s">
        <v>12718</v>
      </c>
      <c r="C268" t="s">
        <v>12723</v>
      </c>
      <c r="D268" t="s">
        <v>21</v>
      </c>
      <c r="G268" t="str">
        <f>Config!$B$7</f>
        <v>SCH/Connector.SchLib</v>
      </c>
      <c r="H268" t="s">
        <v>6983</v>
      </c>
      <c r="I268" t="s">
        <v>6232</v>
      </c>
      <c r="J268" t="s">
        <v>12718</v>
      </c>
      <c r="L268" s="1" t="s">
        <v>13497</v>
      </c>
    </row>
    <row r="269" spans="1:25" ht="15.75">
      <c r="A269" t="s">
        <v>12719</v>
      </c>
      <c r="B269" t="s">
        <v>12719</v>
      </c>
      <c r="C269" t="s">
        <v>12724</v>
      </c>
      <c r="D269" t="s">
        <v>21</v>
      </c>
      <c r="G269" t="str">
        <f>Config!$B$7</f>
        <v>SCH/Connector.SchLib</v>
      </c>
      <c r="H269" t="s">
        <v>6983</v>
      </c>
      <c r="I269" t="s">
        <v>6232</v>
      </c>
      <c r="J269" t="s">
        <v>12719</v>
      </c>
      <c r="L269" s="1" t="s">
        <v>13497</v>
      </c>
    </row>
    <row r="270" spans="1:25" ht="15.75">
      <c r="A270" t="s">
        <v>13070</v>
      </c>
      <c r="B270">
        <v>5600200320</v>
      </c>
      <c r="C270" t="s">
        <v>13071</v>
      </c>
      <c r="D270" t="s">
        <v>6637</v>
      </c>
      <c r="G270" t="str">
        <f>Config!$B$7</f>
        <v>SCH/Connector.SchLib</v>
      </c>
      <c r="H270" t="s">
        <v>7852</v>
      </c>
      <c r="I270" t="str">
        <f>_xlfn.CONCAT(PrivateLibraryPath,"PCB/Molex.PcbLib")</f>
        <v>../altium_lib_private/PCB/Molex.PcbLib</v>
      </c>
      <c r="J270">
        <v>5600200320</v>
      </c>
      <c r="L270" s="1" t="s">
        <v>13497</v>
      </c>
      <c r="M270" t="s">
        <v>13072</v>
      </c>
      <c r="N270" t="s">
        <v>6637</v>
      </c>
      <c r="O270" s="14" t="s">
        <v>13073</v>
      </c>
      <c r="P270" t="s">
        <v>25</v>
      </c>
      <c r="Q270" t="s">
        <v>13074</v>
      </c>
      <c r="V270" t="s">
        <v>6637</v>
      </c>
      <c r="W270" s="14" t="s">
        <v>13073</v>
      </c>
      <c r="X270" t="s">
        <v>4559</v>
      </c>
      <c r="Y270" t="s">
        <v>13075</v>
      </c>
    </row>
    <row r="271" spans="1:25" ht="15.75">
      <c r="A271" t="s">
        <v>13076</v>
      </c>
      <c r="B271">
        <v>5023520300</v>
      </c>
      <c r="C271" t="s">
        <v>13077</v>
      </c>
      <c r="D271" t="s">
        <v>6637</v>
      </c>
      <c r="G271" t="str">
        <f>Config!$B$7</f>
        <v>SCH/Connector.SchLib</v>
      </c>
      <c r="H271" t="s">
        <v>7852</v>
      </c>
      <c r="I271" t="str">
        <f>_xlfn.CONCAT(PrivateLibraryPath,"PCB/Molex.PcbLib")</f>
        <v>../altium_lib_private/PCB/Molex.PcbLib</v>
      </c>
      <c r="J271">
        <v>5023520300</v>
      </c>
      <c r="L271" s="1" t="s">
        <v>13497</v>
      </c>
      <c r="M271" t="s">
        <v>13078</v>
      </c>
      <c r="N271" t="s">
        <v>6637</v>
      </c>
      <c r="O271">
        <v>5023520300</v>
      </c>
      <c r="P271" t="s">
        <v>25</v>
      </c>
      <c r="Q271" t="s">
        <v>13079</v>
      </c>
      <c r="V271" t="s">
        <v>6637</v>
      </c>
      <c r="W271">
        <v>5023520300</v>
      </c>
      <c r="X271" t="s">
        <v>4559</v>
      </c>
      <c r="Y271" t="s">
        <v>13080</v>
      </c>
    </row>
    <row r="272" spans="1:25" ht="15.75">
      <c r="A272" t="s">
        <v>13081</v>
      </c>
      <c r="B272">
        <v>5023520200</v>
      </c>
      <c r="C272" t="s">
        <v>13082</v>
      </c>
      <c r="D272" t="s">
        <v>6637</v>
      </c>
      <c r="G272" t="str">
        <f>Config!$B$7</f>
        <v>SCH/Connector.SchLib</v>
      </c>
      <c r="H272" t="s">
        <v>7005</v>
      </c>
      <c r="I272" t="str">
        <f>_xlfn.CONCAT(PrivateLibraryPath,"PCB/Molex.PcbLib")</f>
        <v>../altium_lib_private/PCB/Molex.PcbLib</v>
      </c>
      <c r="J272">
        <v>5023520200</v>
      </c>
      <c r="L272" s="1" t="s">
        <v>13497</v>
      </c>
      <c r="M272" s="28" t="s">
        <v>13084</v>
      </c>
      <c r="N272" t="s">
        <v>6637</v>
      </c>
      <c r="O272">
        <v>5023520200</v>
      </c>
      <c r="P272" t="s">
        <v>25</v>
      </c>
      <c r="Q272" t="s">
        <v>13083</v>
      </c>
      <c r="V272" t="s">
        <v>6637</v>
      </c>
      <c r="W272">
        <v>5023520200</v>
      </c>
      <c r="X272" t="s">
        <v>4559</v>
      </c>
      <c r="Y272" t="s">
        <v>13085</v>
      </c>
    </row>
    <row r="273" spans="1:26" ht="15.75">
      <c r="A273" t="s">
        <v>13305</v>
      </c>
      <c r="B273" t="s">
        <v>13306</v>
      </c>
      <c r="C273" t="s">
        <v>13307</v>
      </c>
      <c r="D273" t="s">
        <v>13045</v>
      </c>
      <c r="G273" t="str">
        <f>Config!$B$7</f>
        <v>SCH/Connector.SchLib</v>
      </c>
      <c r="H273" t="s">
        <v>13308</v>
      </c>
      <c r="I273" t="s">
        <v>7983</v>
      </c>
      <c r="J273" t="s">
        <v>13329</v>
      </c>
      <c r="L273" s="1" t="s">
        <v>13497</v>
      </c>
      <c r="M273" t="s">
        <v>13309</v>
      </c>
      <c r="N273" t="s">
        <v>13045</v>
      </c>
      <c r="O273" t="s">
        <v>13311</v>
      </c>
      <c r="P273" t="s">
        <v>25</v>
      </c>
      <c r="Q273" t="s">
        <v>13310</v>
      </c>
      <c r="V273" t="s">
        <v>13314</v>
      </c>
      <c r="W273" t="s">
        <v>13312</v>
      </c>
      <c r="X273" t="s">
        <v>4559</v>
      </c>
      <c r="Y273" t="s">
        <v>13313</v>
      </c>
    </row>
    <row r="274" spans="1:26" ht="15.75">
      <c r="A274" t="s">
        <v>14343</v>
      </c>
      <c r="B274" t="s">
        <v>14343</v>
      </c>
      <c r="C274" t="s">
        <v>14344</v>
      </c>
      <c r="D274" t="s">
        <v>6648</v>
      </c>
      <c r="G274" t="str">
        <f>Config!$B$7</f>
        <v>SCH/Connector.SchLib</v>
      </c>
      <c r="H274" t="s">
        <v>14341</v>
      </c>
      <c r="I274" t="s">
        <v>12318</v>
      </c>
      <c r="J274" t="s">
        <v>14340</v>
      </c>
      <c r="L274" s="1" t="s">
        <v>13497</v>
      </c>
      <c r="M274" t="s">
        <v>14342</v>
      </c>
      <c r="N274" t="s">
        <v>14345</v>
      </c>
      <c r="O274" t="s">
        <v>14346</v>
      </c>
      <c r="P274" t="s">
        <v>25</v>
      </c>
      <c r="Q274" t="s">
        <v>14347</v>
      </c>
      <c r="V274" t="s">
        <v>14348</v>
      </c>
      <c r="W274" t="s">
        <v>14346</v>
      </c>
      <c r="X274" t="s">
        <v>4559</v>
      </c>
      <c r="Y274" t="s">
        <v>14349</v>
      </c>
      <c r="Z274" t="s">
        <v>4727</v>
      </c>
    </row>
    <row r="275" spans="1:26" ht="15.75">
      <c r="A275" t="s">
        <v>14350</v>
      </c>
      <c r="B275" t="s">
        <v>14350</v>
      </c>
      <c r="C275" t="s">
        <v>14351</v>
      </c>
      <c r="D275" t="s">
        <v>14352</v>
      </c>
      <c r="G275" t="s">
        <v>4430</v>
      </c>
      <c r="H275" t="s">
        <v>14341</v>
      </c>
      <c r="I275" s="39"/>
      <c r="J275" s="39"/>
      <c r="L275" s="1" t="s">
        <v>13497</v>
      </c>
      <c r="M275" t="s">
        <v>14353</v>
      </c>
      <c r="N275" t="s">
        <v>12253</v>
      </c>
      <c r="O275" t="s">
        <v>14354</v>
      </c>
      <c r="P275" t="s">
        <v>25</v>
      </c>
      <c r="Q275" t="s">
        <v>14355</v>
      </c>
      <c r="V275" t="s">
        <v>14356</v>
      </c>
      <c r="W275" t="s">
        <v>14354</v>
      </c>
      <c r="X275" t="s">
        <v>4559</v>
      </c>
      <c r="Y275" t="s">
        <v>14357</v>
      </c>
      <c r="Z275" t="s">
        <v>4727</v>
      </c>
    </row>
  </sheetData>
  <phoneticPr fontId="2" type="noConversion"/>
  <conditionalFormatting sqref="G2:G274">
    <cfRule type="expression" dxfId="2" priority="1">
      <formula>AND(NOT(ISBLANK(G2)),NOT(_xlfn.ISFORMULA(G2)))</formula>
    </cfRule>
  </conditionalFormatting>
  <hyperlinks>
    <hyperlink ref="M83" r:id="rId1" display="https://www.we-online.com/components/products/datasheet/615008160121.pdf" xr:uid="{4AC1C22E-45C1-4508-861D-9AACF6AEC441}"/>
    <hyperlink ref="M84" r:id="rId2" xr:uid="{3DC67A7B-2368-41CC-B1D8-94E1ED25EDDC}"/>
    <hyperlink ref="M86" r:id="rId3" xr:uid="{0ED0D631-47A4-456A-A052-55F34B8D4DEA}"/>
    <hyperlink ref="M87" r:id="rId4" xr:uid="{7B7E56E5-0B6F-4C6C-BC18-85D081220A02}"/>
    <hyperlink ref="V87" r:id="rId5" display="https://www.lcsc.com/brand-detail/109.html" xr:uid="{371958AB-DF37-4657-9B7B-C9FF7BAF7FA3}"/>
    <hyperlink ref="M88" r:id="rId6" xr:uid="{78E51DE4-D3DA-46BD-8FA0-B7A142F78FD7}"/>
    <hyperlink ref="M89" r:id="rId7" xr:uid="{7E1B9AAB-4E33-4B3F-B9C6-06F28169E374}"/>
    <hyperlink ref="M90" r:id="rId8" xr:uid="{9A97C954-6FF8-4656-92F6-EF80BD498CE3}"/>
    <hyperlink ref="M110" r:id="rId9" xr:uid="{2B53132D-AAAB-43C0-B9AC-840EC3CBD562}"/>
    <hyperlink ref="M111" r:id="rId10" xr:uid="{B3FD250B-FC15-475F-8136-DBF362E7D9C4}"/>
    <hyperlink ref="M272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N8" sqref="N8"/>
    </sheetView>
  </sheetViews>
  <sheetFormatPr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  <row r="8" spans="1:25">
      <c r="A8" t="s">
        <v>16937</v>
      </c>
      <c r="B8" t="s">
        <v>16937</v>
      </c>
      <c r="C8" t="s">
        <v>16938</v>
      </c>
      <c r="D8" t="s">
        <v>6665</v>
      </c>
      <c r="E8" t="s">
        <v>16875</v>
      </c>
      <c r="G8" t="str">
        <f>Config!$B$6</f>
        <v>SCH/Logic_IEC.SchLib</v>
      </c>
      <c r="H8" t="s">
        <v>16939</v>
      </c>
      <c r="I8" t="s">
        <v>10703</v>
      </c>
      <c r="J8" t="s">
        <v>16940</v>
      </c>
      <c r="L8" t="s">
        <v>16941</v>
      </c>
      <c r="M8" t="s">
        <v>4517</v>
      </c>
      <c r="N8" t="s">
        <v>16943</v>
      </c>
      <c r="O8" t="s">
        <v>25</v>
      </c>
      <c r="P8" t="s">
        <v>16944</v>
      </c>
      <c r="U8" t="s">
        <v>4517</v>
      </c>
      <c r="V8" t="s">
        <v>16943</v>
      </c>
      <c r="W8" t="s">
        <v>4559</v>
      </c>
      <c r="X8" t="s">
        <v>16942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14922</v>
      </c>
      <c r="B17" t="s">
        <v>14922</v>
      </c>
      <c r="C17" t="s">
        <v>14924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14922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14923</v>
      </c>
      <c r="B18" t="s">
        <v>14923</v>
      </c>
      <c r="C18" t="s">
        <v>14925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14923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54"/>
  <sheetViews>
    <sheetView zoomScaleNormal="100" workbookViewId="0">
      <pane xSplit="1" ySplit="1" topLeftCell="B221" activePane="bottomRight" state="frozen"/>
      <selection pane="topRight" activeCell="B1" sqref="B1"/>
      <selection pane="bottomLeft" activeCell="A2" sqref="A2"/>
      <selection pane="bottomRight" activeCell="H261" sqref="H261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33.28515625" customWidth="1"/>
    <col min="10" max="10" width="16.28515625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3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W40" t="s">
        <v>4727</v>
      </c>
    </row>
    <row r="41" spans="1:23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W41" t="s">
        <v>4727</v>
      </c>
    </row>
    <row r="42" spans="1:23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3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3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3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3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3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3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16746</v>
      </c>
      <c r="B119" t="s">
        <v>16746</v>
      </c>
      <c r="C119" t="s">
        <v>16751</v>
      </c>
      <c r="D119" t="s">
        <v>4517</v>
      </c>
      <c r="E119" t="s">
        <v>12090</v>
      </c>
      <c r="F119" t="s">
        <v>2655</v>
      </c>
      <c r="G119" t="s">
        <v>12043</v>
      </c>
      <c r="H119" t="s">
        <v>4377</v>
      </c>
      <c r="I119" t="s">
        <v>12049</v>
      </c>
      <c r="J119" t="s">
        <v>16747</v>
      </c>
      <c r="K119" t="s">
        <v>4517</v>
      </c>
      <c r="L119" t="s">
        <v>16748</v>
      </c>
      <c r="M119" t="s">
        <v>25</v>
      </c>
      <c r="N119" t="s">
        <v>16749</v>
      </c>
      <c r="S119" t="s">
        <v>6665</v>
      </c>
      <c r="T119" t="s">
        <v>16748</v>
      </c>
      <c r="U119" t="s">
        <v>4559</v>
      </c>
      <c r="V119" t="s">
        <v>16750</v>
      </c>
    </row>
    <row r="120" spans="1:22">
      <c r="A120" t="s">
        <v>12480</v>
      </c>
      <c r="B120" t="s">
        <v>12480</v>
      </c>
      <c r="C120" t="s">
        <v>12487</v>
      </c>
      <c r="D120" t="s">
        <v>4517</v>
      </c>
      <c r="E120" t="s">
        <v>11014</v>
      </c>
      <c r="F120" t="s">
        <v>7015</v>
      </c>
      <c r="G120" t="s">
        <v>12490</v>
      </c>
      <c r="H120" t="s">
        <v>4377</v>
      </c>
      <c r="I120" t="s">
        <v>4794</v>
      </c>
      <c r="J120" t="s">
        <v>12493</v>
      </c>
      <c r="K120" t="s">
        <v>4517</v>
      </c>
      <c r="L120" t="s">
        <v>12494</v>
      </c>
      <c r="M120" t="s">
        <v>25</v>
      </c>
      <c r="N120" t="s">
        <v>12495</v>
      </c>
      <c r="O120" t="s">
        <v>4517</v>
      </c>
      <c r="P120" t="s">
        <v>12496</v>
      </c>
      <c r="Q120" t="s">
        <v>25</v>
      </c>
      <c r="R120" t="s">
        <v>12497</v>
      </c>
      <c r="S120" t="s">
        <v>4517</v>
      </c>
      <c r="T120" t="s">
        <v>12494</v>
      </c>
      <c r="U120" t="s">
        <v>4559</v>
      </c>
      <c r="V120" t="s">
        <v>12498</v>
      </c>
    </row>
    <row r="121" spans="1:22">
      <c r="A121" t="s">
        <v>12481</v>
      </c>
      <c r="B121" t="s">
        <v>12481</v>
      </c>
      <c r="C121" t="s">
        <v>12487</v>
      </c>
      <c r="D121" t="s">
        <v>4517</v>
      </c>
      <c r="E121" t="s">
        <v>4553</v>
      </c>
      <c r="F121" t="s">
        <v>7015</v>
      </c>
      <c r="G121" t="s">
        <v>11136</v>
      </c>
      <c r="H121" t="s">
        <v>4376</v>
      </c>
      <c r="I121" t="s">
        <v>8890</v>
      </c>
      <c r="J121" t="s">
        <v>12493</v>
      </c>
      <c r="K121" t="s">
        <v>4517</v>
      </c>
      <c r="L121" t="s">
        <v>12499</v>
      </c>
      <c r="M121" t="s">
        <v>25</v>
      </c>
      <c r="N121" t="s">
        <v>12500</v>
      </c>
      <c r="O121" t="s">
        <v>4517</v>
      </c>
      <c r="P121" t="s">
        <v>12501</v>
      </c>
      <c r="Q121" t="s">
        <v>25</v>
      </c>
      <c r="R121" t="s">
        <v>12502</v>
      </c>
      <c r="S121" t="s">
        <v>4517</v>
      </c>
      <c r="T121" t="s">
        <v>12499</v>
      </c>
      <c r="U121" t="s">
        <v>4559</v>
      </c>
      <c r="V121" t="s">
        <v>12503</v>
      </c>
    </row>
    <row r="122" spans="1:22">
      <c r="A122" t="s">
        <v>12484</v>
      </c>
      <c r="B122" t="s">
        <v>12484</v>
      </c>
      <c r="C122" t="s">
        <v>12487</v>
      </c>
      <c r="D122" t="s">
        <v>4517</v>
      </c>
      <c r="E122" t="s">
        <v>6335</v>
      </c>
      <c r="F122" t="s">
        <v>7015</v>
      </c>
      <c r="G122" t="s">
        <v>12490</v>
      </c>
      <c r="H122" t="s">
        <v>4377</v>
      </c>
      <c r="I122" t="s">
        <v>11072</v>
      </c>
      <c r="J122" t="s">
        <v>12493</v>
      </c>
      <c r="K122" t="s">
        <v>4517</v>
      </c>
      <c r="L122" t="s">
        <v>12504</v>
      </c>
      <c r="M122" t="s">
        <v>25</v>
      </c>
      <c r="N122" t="s">
        <v>12505</v>
      </c>
      <c r="O122" t="s">
        <v>4517</v>
      </c>
      <c r="P122" t="s">
        <v>12506</v>
      </c>
      <c r="Q122" t="s">
        <v>25</v>
      </c>
      <c r="R122" t="s">
        <v>12507</v>
      </c>
      <c r="S122" t="s">
        <v>4517</v>
      </c>
      <c r="T122" t="s">
        <v>12504</v>
      </c>
      <c r="U122" t="s">
        <v>4559</v>
      </c>
      <c r="V122" t="s">
        <v>12508</v>
      </c>
    </row>
    <row r="123" spans="1:22">
      <c r="A123" t="s">
        <v>12482</v>
      </c>
      <c r="B123" t="s">
        <v>12482</v>
      </c>
      <c r="C123" t="s">
        <v>12488</v>
      </c>
      <c r="D123" t="s">
        <v>4517</v>
      </c>
      <c r="E123" t="s">
        <v>11014</v>
      </c>
      <c r="F123" t="s">
        <v>7015</v>
      </c>
      <c r="G123" t="s">
        <v>11139</v>
      </c>
      <c r="H123" t="s">
        <v>4377</v>
      </c>
      <c r="I123" t="s">
        <v>4794</v>
      </c>
      <c r="J123" t="s">
        <v>12493</v>
      </c>
      <c r="K123" t="s">
        <v>4517</v>
      </c>
      <c r="L123" t="s">
        <v>12509</v>
      </c>
      <c r="M123" t="s">
        <v>25</v>
      </c>
      <c r="N123" t="s">
        <v>12510</v>
      </c>
      <c r="O123" t="s">
        <v>4517</v>
      </c>
      <c r="P123" t="s">
        <v>12511</v>
      </c>
      <c r="Q123" t="s">
        <v>25</v>
      </c>
      <c r="R123" t="s">
        <v>12512</v>
      </c>
      <c r="S123" t="s">
        <v>4517</v>
      </c>
      <c r="T123" t="s">
        <v>12509</v>
      </c>
      <c r="U123" t="s">
        <v>4559</v>
      </c>
      <c r="V123" t="s">
        <v>12513</v>
      </c>
    </row>
    <row r="124" spans="1:22">
      <c r="A124" t="s">
        <v>12485</v>
      </c>
      <c r="B124" t="s">
        <v>12485</v>
      </c>
      <c r="C124" t="s">
        <v>12488</v>
      </c>
      <c r="D124" t="s">
        <v>4517</v>
      </c>
      <c r="E124" t="s">
        <v>6335</v>
      </c>
      <c r="F124" t="s">
        <v>7015</v>
      </c>
      <c r="G124" t="s">
        <v>11139</v>
      </c>
      <c r="H124" t="s">
        <v>4377</v>
      </c>
      <c r="I124" t="s">
        <v>11072</v>
      </c>
      <c r="J124" t="s">
        <v>12493</v>
      </c>
      <c r="K124" t="s">
        <v>4517</v>
      </c>
      <c r="L124" t="s">
        <v>12514</v>
      </c>
      <c r="M124" t="s">
        <v>25</v>
      </c>
      <c r="N124" t="s">
        <v>12515</v>
      </c>
      <c r="O124" t="s">
        <v>4517</v>
      </c>
      <c r="P124" t="s">
        <v>12516</v>
      </c>
      <c r="Q124" t="s">
        <v>25</v>
      </c>
      <c r="R124" t="s">
        <v>12517</v>
      </c>
      <c r="S124" t="s">
        <v>4517</v>
      </c>
      <c r="T124" t="s">
        <v>12514</v>
      </c>
      <c r="U124" t="s">
        <v>4559</v>
      </c>
      <c r="V124" t="s">
        <v>12518</v>
      </c>
    </row>
    <row r="125" spans="1:22">
      <c r="A125" t="s">
        <v>12483</v>
      </c>
      <c r="B125" t="s">
        <v>12483</v>
      </c>
      <c r="C125" t="s">
        <v>12489</v>
      </c>
      <c r="D125" t="s">
        <v>4517</v>
      </c>
      <c r="E125" t="s">
        <v>12491</v>
      </c>
      <c r="F125" t="s">
        <v>7015</v>
      </c>
      <c r="G125" t="s">
        <v>11140</v>
      </c>
      <c r="H125" t="s">
        <v>4377</v>
      </c>
      <c r="I125" t="s">
        <v>12492</v>
      </c>
      <c r="J125" t="s">
        <v>12493</v>
      </c>
      <c r="K125" t="s">
        <v>4517</v>
      </c>
      <c r="L125" t="s">
        <v>12519</v>
      </c>
      <c r="M125" t="s">
        <v>25</v>
      </c>
      <c r="N125" t="s">
        <v>12520</v>
      </c>
      <c r="O125" t="s">
        <v>4517</v>
      </c>
      <c r="P125" t="s">
        <v>12521</v>
      </c>
      <c r="Q125" t="s">
        <v>25</v>
      </c>
      <c r="R125" t="s">
        <v>12522</v>
      </c>
      <c r="S125" t="s">
        <v>4517</v>
      </c>
      <c r="T125" t="s">
        <v>12519</v>
      </c>
      <c r="U125" t="s">
        <v>4559</v>
      </c>
      <c r="V125" t="s">
        <v>12523</v>
      </c>
    </row>
    <row r="126" spans="1:22">
      <c r="A126" t="s">
        <v>12486</v>
      </c>
      <c r="B126" t="s">
        <v>12486</v>
      </c>
      <c r="C126" t="s">
        <v>12489</v>
      </c>
      <c r="D126" t="s">
        <v>4517</v>
      </c>
      <c r="E126" t="s">
        <v>11070</v>
      </c>
      <c r="F126" t="s">
        <v>7015</v>
      </c>
      <c r="G126" t="s">
        <v>11140</v>
      </c>
      <c r="H126" t="s">
        <v>4377</v>
      </c>
      <c r="I126" t="s">
        <v>11067</v>
      </c>
      <c r="J126" t="s">
        <v>12493</v>
      </c>
      <c r="K126" t="s">
        <v>4517</v>
      </c>
      <c r="L126" t="s">
        <v>12524</v>
      </c>
      <c r="M126" t="s">
        <v>25</v>
      </c>
      <c r="N126" t="s">
        <v>12525</v>
      </c>
      <c r="O126" t="s">
        <v>4517</v>
      </c>
      <c r="P126" t="s">
        <v>12526</v>
      </c>
      <c r="Q126" t="s">
        <v>25</v>
      </c>
      <c r="R126" t="s">
        <v>12527</v>
      </c>
      <c r="S126" t="s">
        <v>4517</v>
      </c>
      <c r="T126" t="s">
        <v>12524</v>
      </c>
      <c r="U126" t="s">
        <v>4559</v>
      </c>
      <c r="V126" t="s">
        <v>12528</v>
      </c>
    </row>
    <row r="127" spans="1:22">
      <c r="A127" t="s">
        <v>13018</v>
      </c>
      <c r="B127" t="s">
        <v>13018</v>
      </c>
      <c r="C127" t="s">
        <v>13020</v>
      </c>
      <c r="D127" t="s">
        <v>6246</v>
      </c>
      <c r="E127" t="s">
        <v>13011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13016</v>
      </c>
      <c r="M127" t="s">
        <v>25</v>
      </c>
      <c r="N127" t="s">
        <v>13022</v>
      </c>
      <c r="O127" t="s">
        <v>6246</v>
      </c>
      <c r="P127" t="s">
        <v>13018</v>
      </c>
      <c r="Q127" t="s">
        <v>25</v>
      </c>
      <c r="R127" t="s">
        <v>13014</v>
      </c>
      <c r="S127" t="s">
        <v>6246</v>
      </c>
      <c r="T127" t="s">
        <v>13018</v>
      </c>
      <c r="U127" t="s">
        <v>4559</v>
      </c>
      <c r="V127" t="s">
        <v>13024</v>
      </c>
    </row>
    <row r="128" spans="1:22">
      <c r="A128" t="s">
        <v>13019</v>
      </c>
      <c r="B128" t="s">
        <v>13019</v>
      </c>
      <c r="C128" t="s">
        <v>13020</v>
      </c>
      <c r="D128" t="s">
        <v>6246</v>
      </c>
      <c r="E128" t="s">
        <v>6236</v>
      </c>
      <c r="F128" t="s">
        <v>2655</v>
      </c>
      <c r="G128" t="s">
        <v>13012</v>
      </c>
      <c r="H128" t="s">
        <v>4377</v>
      </c>
      <c r="I128" t="s">
        <v>4793</v>
      </c>
      <c r="J128" t="s">
        <v>13008</v>
      </c>
      <c r="K128" t="s">
        <v>6246</v>
      </c>
      <c r="L128" t="s">
        <v>13017</v>
      </c>
      <c r="M128" t="s">
        <v>25</v>
      </c>
      <c r="N128" t="s">
        <v>13023</v>
      </c>
      <c r="O128" t="s">
        <v>6246</v>
      </c>
      <c r="P128" t="s">
        <v>13019</v>
      </c>
      <c r="Q128" t="s">
        <v>25</v>
      </c>
      <c r="R128" t="s">
        <v>13015</v>
      </c>
      <c r="S128" t="s">
        <v>6246</v>
      </c>
      <c r="T128" t="s">
        <v>13017</v>
      </c>
      <c r="U128" t="s">
        <v>4559</v>
      </c>
      <c r="V128" t="s">
        <v>13025</v>
      </c>
    </row>
    <row r="129" spans="1:23">
      <c r="A129" t="s">
        <v>13010</v>
      </c>
      <c r="B129" t="s">
        <v>13010</v>
      </c>
      <c r="C129" t="s">
        <v>13021</v>
      </c>
      <c r="D129" t="s">
        <v>6246</v>
      </c>
      <c r="E129" t="s">
        <v>6236</v>
      </c>
      <c r="F129" t="s">
        <v>2655</v>
      </c>
      <c r="G129" t="s">
        <v>13012</v>
      </c>
      <c r="H129" s="11" t="s">
        <v>13013</v>
      </c>
      <c r="I129" s="11"/>
      <c r="J129" t="s">
        <v>13008</v>
      </c>
      <c r="K129" t="s">
        <v>6246</v>
      </c>
      <c r="L129" t="s">
        <v>13010</v>
      </c>
      <c r="M129" t="s">
        <v>25</v>
      </c>
      <c r="N129" t="s">
        <v>13009</v>
      </c>
    </row>
    <row r="130" spans="1:23">
      <c r="A130" t="s">
        <v>13027</v>
      </c>
      <c r="B130" t="s">
        <v>13027</v>
      </c>
      <c r="C130" t="s">
        <v>13028</v>
      </c>
      <c r="D130" t="s">
        <v>6267</v>
      </c>
      <c r="E130" t="s">
        <v>13029</v>
      </c>
      <c r="F130" t="s">
        <v>2655</v>
      </c>
      <c r="G130" t="s">
        <v>13052</v>
      </c>
      <c r="H130" t="s">
        <v>6243</v>
      </c>
      <c r="I130" t="s">
        <v>13053</v>
      </c>
      <c r="J130" t="s">
        <v>13030</v>
      </c>
      <c r="K130" t="s">
        <v>6267</v>
      </c>
      <c r="L130" t="s">
        <v>13026</v>
      </c>
      <c r="M130" t="s">
        <v>25</v>
      </c>
      <c r="N130" t="s">
        <v>13031</v>
      </c>
      <c r="S130" t="s">
        <v>6267</v>
      </c>
      <c r="T130" t="s">
        <v>13026</v>
      </c>
      <c r="U130" t="s">
        <v>4559</v>
      </c>
      <c r="V130" t="s">
        <v>13032</v>
      </c>
    </row>
    <row r="131" spans="1:23">
      <c r="A131" t="s">
        <v>13315</v>
      </c>
      <c r="B131" t="s">
        <v>13315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13317</v>
      </c>
      <c r="K131" t="s">
        <v>7939</v>
      </c>
      <c r="L131" t="s">
        <v>13359</v>
      </c>
      <c r="M131" t="s">
        <v>25</v>
      </c>
      <c r="N131" t="s">
        <v>13318</v>
      </c>
      <c r="S131" t="s">
        <v>7939</v>
      </c>
      <c r="T131" t="s">
        <v>13320</v>
      </c>
      <c r="U131" t="s">
        <v>4559</v>
      </c>
      <c r="V131" t="s">
        <v>13321</v>
      </c>
    </row>
    <row r="132" spans="1:23">
      <c r="A132" t="s">
        <v>13356</v>
      </c>
      <c r="B132" t="s">
        <v>13356</v>
      </c>
      <c r="C132" t="s">
        <v>13319</v>
      </c>
      <c r="D132" t="s">
        <v>10678</v>
      </c>
      <c r="E132" t="s">
        <v>10808</v>
      </c>
      <c r="F132" t="s">
        <v>10679</v>
      </c>
      <c r="G132" t="s">
        <v>13316</v>
      </c>
      <c r="H132" t="s">
        <v>4377</v>
      </c>
      <c r="I132" t="s">
        <v>10884</v>
      </c>
      <c r="J132" t="s">
        <v>13357</v>
      </c>
      <c r="K132" t="s">
        <v>7939</v>
      </c>
      <c r="L132" t="s">
        <v>13358</v>
      </c>
      <c r="M132" t="s">
        <v>25</v>
      </c>
      <c r="N132" t="s">
        <v>13360</v>
      </c>
      <c r="S132" t="s">
        <v>7939</v>
      </c>
      <c r="T132" t="s">
        <v>13361</v>
      </c>
      <c r="U132" t="s">
        <v>4559</v>
      </c>
      <c r="V132" t="s">
        <v>13362</v>
      </c>
    </row>
    <row r="133" spans="1:23">
      <c r="A133" t="s">
        <v>13322</v>
      </c>
      <c r="B133" t="s">
        <v>13322</v>
      </c>
      <c r="C133" t="s">
        <v>13325</v>
      </c>
      <c r="D133" t="s">
        <v>4517</v>
      </c>
      <c r="E133" t="s">
        <v>13326</v>
      </c>
      <c r="F133" t="s">
        <v>2655</v>
      </c>
      <c r="G133" t="s">
        <v>13322</v>
      </c>
      <c r="H133" t="s">
        <v>6243</v>
      </c>
      <c r="I133" t="s">
        <v>13328</v>
      </c>
      <c r="J133" t="s">
        <v>13327</v>
      </c>
      <c r="K133" t="s">
        <v>4517</v>
      </c>
      <c r="L133" t="s">
        <v>13323</v>
      </c>
      <c r="M133" t="s">
        <v>25</v>
      </c>
      <c r="N133" t="s">
        <v>13324</v>
      </c>
      <c r="S133" t="s">
        <v>4517</v>
      </c>
      <c r="T133" t="s">
        <v>13323</v>
      </c>
      <c r="U133" t="s">
        <v>4559</v>
      </c>
      <c r="V133" t="s">
        <v>13508</v>
      </c>
    </row>
    <row r="134" spans="1:23" ht="16.5">
      <c r="A134" t="s">
        <v>13509</v>
      </c>
      <c r="B134" t="s">
        <v>13509</v>
      </c>
      <c r="C134" t="s">
        <v>13510</v>
      </c>
      <c r="D134" t="s">
        <v>13511</v>
      </c>
      <c r="E134" t="s">
        <v>6236</v>
      </c>
      <c r="F134" t="s">
        <v>2655</v>
      </c>
      <c r="G134" t="s">
        <v>13512</v>
      </c>
      <c r="H134" t="s">
        <v>4377</v>
      </c>
      <c r="I134" t="s">
        <v>4794</v>
      </c>
      <c r="J134" t="s">
        <v>13513</v>
      </c>
      <c r="K134" t="s">
        <v>13511</v>
      </c>
      <c r="L134" t="s">
        <v>13509</v>
      </c>
      <c r="M134" t="s">
        <v>25</v>
      </c>
      <c r="N134" t="s">
        <v>13514</v>
      </c>
      <c r="S134" t="s">
        <v>13511</v>
      </c>
      <c r="T134" t="s">
        <v>13509</v>
      </c>
      <c r="U134" t="s">
        <v>4559</v>
      </c>
      <c r="V134" s="9" t="s">
        <v>13515</v>
      </c>
    </row>
    <row r="135" spans="1:23">
      <c r="A135" t="s">
        <v>13704</v>
      </c>
      <c r="B135" t="s">
        <v>13704</v>
      </c>
      <c r="C135" t="s">
        <v>13746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13774</v>
      </c>
      <c r="S135" t="s">
        <v>7939</v>
      </c>
      <c r="T135" t="s">
        <v>13827</v>
      </c>
      <c r="U135" t="s">
        <v>4559</v>
      </c>
      <c r="V135" t="s">
        <v>13828</v>
      </c>
      <c r="W135" t="s">
        <v>4727</v>
      </c>
    </row>
    <row r="136" spans="1:23">
      <c r="A136" t="s">
        <v>13705</v>
      </c>
      <c r="B136" t="s">
        <v>13705</v>
      </c>
      <c r="C136" t="s">
        <v>13755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13775</v>
      </c>
      <c r="S136" t="s">
        <v>7939</v>
      </c>
      <c r="T136" t="s">
        <v>13829</v>
      </c>
      <c r="U136" t="s">
        <v>4559</v>
      </c>
      <c r="V136" t="s">
        <v>13830</v>
      </c>
      <c r="W136" t="s">
        <v>4727</v>
      </c>
    </row>
    <row r="137" spans="1:23">
      <c r="A137" t="s">
        <v>13706</v>
      </c>
      <c r="B137" t="s">
        <v>13706</v>
      </c>
      <c r="C137" t="s">
        <v>13764</v>
      </c>
      <c r="D137" t="s">
        <v>10678</v>
      </c>
      <c r="E137" t="s">
        <v>7945</v>
      </c>
      <c r="F137" t="s">
        <v>10679</v>
      </c>
      <c r="G137" t="s">
        <v>13733</v>
      </c>
      <c r="H137" t="s">
        <v>10702</v>
      </c>
      <c r="I137" t="s">
        <v>10771</v>
      </c>
      <c r="J137" s="26" t="s">
        <v>13776</v>
      </c>
      <c r="K137" t="s">
        <v>7939</v>
      </c>
      <c r="L137" t="s">
        <v>13791</v>
      </c>
      <c r="M137" t="s">
        <v>25</v>
      </c>
      <c r="N137" t="s">
        <v>13792</v>
      </c>
      <c r="O137" t="s">
        <v>7939</v>
      </c>
      <c r="P137" t="s">
        <v>13793</v>
      </c>
      <c r="Q137" t="s">
        <v>25</v>
      </c>
      <c r="R137" t="s">
        <v>13794</v>
      </c>
      <c r="S137" t="s">
        <v>7939</v>
      </c>
      <c r="T137" t="s">
        <v>13791</v>
      </c>
      <c r="U137" t="s">
        <v>4559</v>
      </c>
      <c r="V137" t="s">
        <v>13831</v>
      </c>
      <c r="W137" t="s">
        <v>4727</v>
      </c>
    </row>
    <row r="138" spans="1:23">
      <c r="A138" t="s">
        <v>13710</v>
      </c>
      <c r="B138" t="s">
        <v>13710</v>
      </c>
      <c r="C138" t="s">
        <v>13747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13777</v>
      </c>
      <c r="K138" t="s">
        <v>7939</v>
      </c>
      <c r="L138" t="s">
        <v>13797</v>
      </c>
      <c r="M138" t="s">
        <v>25</v>
      </c>
      <c r="N138" t="s">
        <v>13798</v>
      </c>
      <c r="O138" t="s">
        <v>7939</v>
      </c>
      <c r="P138" t="s">
        <v>13799</v>
      </c>
      <c r="Q138" t="s">
        <v>25</v>
      </c>
      <c r="R138" t="s">
        <v>13800</v>
      </c>
      <c r="S138" t="s">
        <v>7939</v>
      </c>
      <c r="T138" t="s">
        <v>13797</v>
      </c>
      <c r="U138" t="s">
        <v>4559</v>
      </c>
      <c r="V138" t="s">
        <v>13832</v>
      </c>
      <c r="W138" t="s">
        <v>4727</v>
      </c>
    </row>
    <row r="139" spans="1:23">
      <c r="A139" t="s">
        <v>13711</v>
      </c>
      <c r="B139" t="s">
        <v>13711</v>
      </c>
      <c r="C139" t="s">
        <v>13756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13778</v>
      </c>
      <c r="K139" t="s">
        <v>7939</v>
      </c>
      <c r="L139" t="s">
        <v>13801</v>
      </c>
      <c r="M139" t="s">
        <v>25</v>
      </c>
      <c r="N139" t="s">
        <v>13802</v>
      </c>
      <c r="O139" t="s">
        <v>7939</v>
      </c>
      <c r="P139" t="s">
        <v>13803</v>
      </c>
      <c r="Q139" t="s">
        <v>25</v>
      </c>
      <c r="R139" t="s">
        <v>13804</v>
      </c>
      <c r="S139" t="s">
        <v>7939</v>
      </c>
      <c r="T139" t="s">
        <v>13801</v>
      </c>
      <c r="U139" t="s">
        <v>4559</v>
      </c>
      <c r="V139" t="s">
        <v>13833</v>
      </c>
      <c r="W139" t="s">
        <v>4727</v>
      </c>
    </row>
    <row r="140" spans="1:23">
      <c r="A140" t="s">
        <v>13712</v>
      </c>
      <c r="B140" t="s">
        <v>13712</v>
      </c>
      <c r="C140" t="s">
        <v>13765</v>
      </c>
      <c r="D140" t="s">
        <v>10678</v>
      </c>
      <c r="E140" t="s">
        <v>10683</v>
      </c>
      <c r="F140" t="s">
        <v>10679</v>
      </c>
      <c r="G140" t="s">
        <v>13740</v>
      </c>
      <c r="H140" t="s">
        <v>10702</v>
      </c>
      <c r="I140" t="s">
        <v>10772</v>
      </c>
      <c r="J140" s="26" t="s">
        <v>13773</v>
      </c>
      <c r="K140" t="s">
        <v>7939</v>
      </c>
      <c r="L140" t="s">
        <v>13805</v>
      </c>
      <c r="M140" t="s">
        <v>25</v>
      </c>
      <c r="N140" t="s">
        <v>13806</v>
      </c>
      <c r="O140" t="s">
        <v>7939</v>
      </c>
      <c r="P140" t="s">
        <v>13807</v>
      </c>
      <c r="Q140" t="s">
        <v>25</v>
      </c>
      <c r="R140" t="s">
        <v>13808</v>
      </c>
      <c r="S140" t="s">
        <v>7939</v>
      </c>
      <c r="T140" t="s">
        <v>13805</v>
      </c>
      <c r="U140" t="s">
        <v>4559</v>
      </c>
      <c r="V140" t="s">
        <v>13834</v>
      </c>
      <c r="W140" t="s">
        <v>4727</v>
      </c>
    </row>
    <row r="141" spans="1:23">
      <c r="A141" t="s">
        <v>13713</v>
      </c>
      <c r="B141" t="s">
        <v>13713</v>
      </c>
      <c r="C141" t="s">
        <v>13748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13779</v>
      </c>
      <c r="S141" t="s">
        <v>7939</v>
      </c>
      <c r="T141" t="s">
        <v>13835</v>
      </c>
      <c r="U141" t="s">
        <v>4559</v>
      </c>
      <c r="V141" t="s">
        <v>13836</v>
      </c>
      <c r="W141" t="s">
        <v>4727</v>
      </c>
    </row>
    <row r="142" spans="1:23">
      <c r="A142" t="s">
        <v>13714</v>
      </c>
      <c r="B142" t="s">
        <v>13714</v>
      </c>
      <c r="C142" t="s">
        <v>13757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13780</v>
      </c>
      <c r="S142" t="s">
        <v>7939</v>
      </c>
      <c r="T142" t="s">
        <v>13837</v>
      </c>
      <c r="U142" t="s">
        <v>4559</v>
      </c>
      <c r="V142" t="s">
        <v>13838</v>
      </c>
      <c r="W142" t="s">
        <v>4727</v>
      </c>
    </row>
    <row r="143" spans="1:23">
      <c r="A143" t="s">
        <v>13715</v>
      </c>
      <c r="B143" t="s">
        <v>13715</v>
      </c>
      <c r="C143" t="s">
        <v>13766</v>
      </c>
      <c r="D143" t="s">
        <v>10678</v>
      </c>
      <c r="E143" t="s">
        <v>13737</v>
      </c>
      <c r="F143" t="s">
        <v>10679</v>
      </c>
      <c r="G143" t="s">
        <v>13741</v>
      </c>
      <c r="H143" t="s">
        <v>10702</v>
      </c>
      <c r="I143" t="s">
        <v>13858</v>
      </c>
      <c r="J143" s="26" t="s">
        <v>13781</v>
      </c>
      <c r="K143" t="s">
        <v>7939</v>
      </c>
      <c r="L143" t="s">
        <v>13809</v>
      </c>
      <c r="M143" t="s">
        <v>25</v>
      </c>
      <c r="N143" t="s">
        <v>13810</v>
      </c>
      <c r="O143" t="s">
        <v>7939</v>
      </c>
      <c r="P143" t="s">
        <v>13811</v>
      </c>
      <c r="Q143" t="s">
        <v>25</v>
      </c>
      <c r="R143" t="s">
        <v>13812</v>
      </c>
      <c r="S143" t="s">
        <v>7939</v>
      </c>
      <c r="T143" t="s">
        <v>13809</v>
      </c>
      <c r="U143" t="s">
        <v>4559</v>
      </c>
      <c r="V143" t="s">
        <v>13839</v>
      </c>
      <c r="W143" t="s">
        <v>4727</v>
      </c>
    </row>
    <row r="144" spans="1:23">
      <c r="A144" t="s">
        <v>13716</v>
      </c>
      <c r="B144" t="s">
        <v>13716</v>
      </c>
      <c r="C144" t="s">
        <v>13749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13782</v>
      </c>
      <c r="K144" t="s">
        <v>7939</v>
      </c>
      <c r="L144" t="s">
        <v>13813</v>
      </c>
      <c r="M144" t="s">
        <v>25</v>
      </c>
      <c r="N144" t="s">
        <v>13814</v>
      </c>
      <c r="S144" t="s">
        <v>7939</v>
      </c>
      <c r="T144" t="s">
        <v>13813</v>
      </c>
      <c r="U144" t="s">
        <v>4559</v>
      </c>
      <c r="V144" t="s">
        <v>13840</v>
      </c>
      <c r="W144" t="s">
        <v>4727</v>
      </c>
    </row>
    <row r="145" spans="1:23">
      <c r="A145" t="s">
        <v>13717</v>
      </c>
      <c r="B145" t="s">
        <v>13717</v>
      </c>
      <c r="C145" t="s">
        <v>13758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13783</v>
      </c>
      <c r="S145" t="s">
        <v>7939</v>
      </c>
      <c r="T145" t="s">
        <v>13841</v>
      </c>
      <c r="U145" t="s">
        <v>4559</v>
      </c>
      <c r="V145" t="s">
        <v>13842</v>
      </c>
      <c r="W145" t="s">
        <v>4727</v>
      </c>
    </row>
    <row r="146" spans="1:23">
      <c r="A146" t="s">
        <v>13718</v>
      </c>
      <c r="B146" t="s">
        <v>13718</v>
      </c>
      <c r="C146" t="s">
        <v>13767</v>
      </c>
      <c r="D146" t="s">
        <v>10678</v>
      </c>
      <c r="E146" t="s">
        <v>13738</v>
      </c>
      <c r="F146" t="s">
        <v>10679</v>
      </c>
      <c r="G146" t="s">
        <v>13742</v>
      </c>
      <c r="H146" t="s">
        <v>10702</v>
      </c>
      <c r="I146" t="s">
        <v>13859</v>
      </c>
      <c r="J146" s="26" t="s">
        <v>13784</v>
      </c>
      <c r="K146" t="s">
        <v>7939</v>
      </c>
      <c r="L146" t="s">
        <v>13815</v>
      </c>
      <c r="M146" t="s">
        <v>25</v>
      </c>
      <c r="N146" t="s">
        <v>13816</v>
      </c>
      <c r="O146" t="s">
        <v>7939</v>
      </c>
      <c r="P146" t="s">
        <v>13817</v>
      </c>
      <c r="Q146" t="s">
        <v>25</v>
      </c>
      <c r="R146" t="s">
        <v>13818</v>
      </c>
      <c r="S146" t="s">
        <v>7939</v>
      </c>
      <c r="T146" t="s">
        <v>13843</v>
      </c>
      <c r="U146" t="s">
        <v>4559</v>
      </c>
      <c r="V146" t="s">
        <v>13844</v>
      </c>
      <c r="W146" t="s">
        <v>4727</v>
      </c>
    </row>
    <row r="147" spans="1:23">
      <c r="A147" t="s">
        <v>13719</v>
      </c>
      <c r="B147" t="s">
        <v>13719</v>
      </c>
      <c r="C147" t="s">
        <v>13750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13785</v>
      </c>
      <c r="K147" t="s">
        <v>7939</v>
      </c>
      <c r="L147" t="s">
        <v>13821</v>
      </c>
      <c r="M147" t="s">
        <v>25</v>
      </c>
      <c r="N147" t="s">
        <v>13822</v>
      </c>
      <c r="S147" t="s">
        <v>7939</v>
      </c>
      <c r="T147" t="s">
        <v>13821</v>
      </c>
      <c r="U147" t="s">
        <v>4559</v>
      </c>
      <c r="V147" t="s">
        <v>13845</v>
      </c>
      <c r="W147" t="s">
        <v>4727</v>
      </c>
    </row>
    <row r="148" spans="1:23">
      <c r="A148" t="s">
        <v>13720</v>
      </c>
      <c r="B148" t="s">
        <v>13720</v>
      </c>
      <c r="C148" t="s">
        <v>13759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13786</v>
      </c>
      <c r="S148" t="s">
        <v>7939</v>
      </c>
      <c r="T148" t="s">
        <v>13846</v>
      </c>
      <c r="U148" t="s">
        <v>4559</v>
      </c>
      <c r="V148" t="s">
        <v>13847</v>
      </c>
      <c r="W148" t="s">
        <v>4727</v>
      </c>
    </row>
    <row r="149" spans="1:23">
      <c r="A149" t="s">
        <v>13721</v>
      </c>
      <c r="B149" t="s">
        <v>13721</v>
      </c>
      <c r="C149" t="s">
        <v>13768</v>
      </c>
      <c r="D149" t="s">
        <v>10678</v>
      </c>
      <c r="E149" t="s">
        <v>13739</v>
      </c>
      <c r="F149" t="s">
        <v>10679</v>
      </c>
      <c r="G149" t="s">
        <v>13743</v>
      </c>
      <c r="H149" t="s">
        <v>10702</v>
      </c>
      <c r="I149" t="s">
        <v>13860</v>
      </c>
      <c r="J149" s="26" t="s">
        <v>13787</v>
      </c>
      <c r="K149" t="s">
        <v>7939</v>
      </c>
      <c r="L149" t="s">
        <v>13823</v>
      </c>
      <c r="M149" t="s">
        <v>25</v>
      </c>
      <c r="N149" t="s">
        <v>13824</v>
      </c>
      <c r="O149" t="s">
        <v>7939</v>
      </c>
      <c r="P149" t="s">
        <v>13825</v>
      </c>
      <c r="Q149" t="s">
        <v>25</v>
      </c>
      <c r="R149" t="s">
        <v>13826</v>
      </c>
      <c r="S149" t="s">
        <v>7939</v>
      </c>
      <c r="T149" t="s">
        <v>13823</v>
      </c>
      <c r="U149" t="s">
        <v>4559</v>
      </c>
      <c r="V149" t="s">
        <v>13848</v>
      </c>
      <c r="W149" t="s">
        <v>4727</v>
      </c>
    </row>
    <row r="150" spans="1:23">
      <c r="A150" t="s">
        <v>13707</v>
      </c>
      <c r="B150" t="s">
        <v>13707</v>
      </c>
      <c r="C150" t="s">
        <v>13751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13774</v>
      </c>
      <c r="S150" t="s">
        <v>7939</v>
      </c>
      <c r="T150" t="s">
        <v>13849</v>
      </c>
      <c r="U150" t="s">
        <v>4559</v>
      </c>
      <c r="V150" t="s">
        <v>13850</v>
      </c>
      <c r="W150" t="s">
        <v>4727</v>
      </c>
    </row>
    <row r="151" spans="1:23">
      <c r="A151" t="s">
        <v>13708</v>
      </c>
      <c r="B151" t="s">
        <v>13708</v>
      </c>
      <c r="C151" t="s">
        <v>13760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13775</v>
      </c>
      <c r="S151" t="s">
        <v>7939</v>
      </c>
      <c r="T151" t="s">
        <v>13851</v>
      </c>
      <c r="U151" t="s">
        <v>4559</v>
      </c>
      <c r="V151" t="s">
        <v>13852</v>
      </c>
      <c r="W151" t="s">
        <v>4727</v>
      </c>
    </row>
    <row r="152" spans="1:23">
      <c r="A152" t="s">
        <v>13709</v>
      </c>
      <c r="B152" t="s">
        <v>13709</v>
      </c>
      <c r="C152" t="s">
        <v>13769</v>
      </c>
      <c r="D152" t="s">
        <v>10678</v>
      </c>
      <c r="E152" t="s">
        <v>7947</v>
      </c>
      <c r="F152" t="s">
        <v>10679</v>
      </c>
      <c r="G152" t="s">
        <v>13734</v>
      </c>
      <c r="H152" t="s">
        <v>6243</v>
      </c>
      <c r="I152" t="s">
        <v>13857</v>
      </c>
      <c r="J152" s="26" t="s">
        <v>13776</v>
      </c>
      <c r="K152" t="s">
        <v>7939</v>
      </c>
      <c r="L152" t="s">
        <v>13795</v>
      </c>
      <c r="M152" t="s">
        <v>25</v>
      </c>
      <c r="N152" t="s">
        <v>13796</v>
      </c>
      <c r="S152" t="s">
        <v>7939</v>
      </c>
      <c r="T152" t="s">
        <v>13795</v>
      </c>
      <c r="U152" t="s">
        <v>4559</v>
      </c>
      <c r="V152" t="s">
        <v>13853</v>
      </c>
      <c r="W152" t="s">
        <v>4727</v>
      </c>
    </row>
    <row r="153" spans="1:23">
      <c r="A153" t="s">
        <v>13722</v>
      </c>
      <c r="B153" t="s">
        <v>13722</v>
      </c>
      <c r="C153" t="s">
        <v>13752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13779</v>
      </c>
      <c r="W153" t="s">
        <v>4727</v>
      </c>
    </row>
    <row r="154" spans="1:23">
      <c r="A154" t="s">
        <v>13723</v>
      </c>
      <c r="B154" t="s">
        <v>13723</v>
      </c>
      <c r="C154" t="s">
        <v>13761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13780</v>
      </c>
      <c r="W154" t="s">
        <v>4727</v>
      </c>
    </row>
    <row r="155" spans="1:23">
      <c r="A155" t="s">
        <v>13724</v>
      </c>
      <c r="B155" t="s">
        <v>13724</v>
      </c>
      <c r="C155" t="s">
        <v>13770</v>
      </c>
      <c r="D155" t="s">
        <v>10678</v>
      </c>
      <c r="E155" t="s">
        <v>13744</v>
      </c>
      <c r="F155" t="s">
        <v>10679</v>
      </c>
      <c r="G155" t="s">
        <v>13745</v>
      </c>
      <c r="H155" t="s">
        <v>10703</v>
      </c>
      <c r="I155" t="s">
        <v>13863</v>
      </c>
      <c r="J155" s="26" t="s">
        <v>13781</v>
      </c>
      <c r="S155" t="s">
        <v>7939</v>
      </c>
      <c r="T155" t="s">
        <v>13854</v>
      </c>
      <c r="U155" t="s">
        <v>4559</v>
      </c>
      <c r="V155" t="s">
        <v>13855</v>
      </c>
      <c r="W155" t="s">
        <v>4727</v>
      </c>
    </row>
    <row r="156" spans="1:23">
      <c r="A156" t="s">
        <v>13728</v>
      </c>
      <c r="B156" t="s">
        <v>13728</v>
      </c>
      <c r="C156" t="s">
        <v>13753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13782</v>
      </c>
      <c r="W156" t="s">
        <v>4727</v>
      </c>
    </row>
    <row r="157" spans="1:23">
      <c r="A157" t="s">
        <v>13729</v>
      </c>
      <c r="B157" t="s">
        <v>13729</v>
      </c>
      <c r="C157" t="s">
        <v>13762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13783</v>
      </c>
      <c r="W157" t="s">
        <v>4727</v>
      </c>
    </row>
    <row r="158" spans="1:23">
      <c r="A158" t="s">
        <v>13730</v>
      </c>
      <c r="B158" t="s">
        <v>13730</v>
      </c>
      <c r="C158" t="s">
        <v>13771</v>
      </c>
      <c r="D158" t="s">
        <v>10678</v>
      </c>
      <c r="E158" t="s">
        <v>13731</v>
      </c>
      <c r="F158" t="s">
        <v>10679</v>
      </c>
      <c r="G158" t="s">
        <v>13735</v>
      </c>
      <c r="H158" t="s">
        <v>10703</v>
      </c>
      <c r="I158" t="s">
        <v>13861</v>
      </c>
      <c r="J158" s="26" t="s">
        <v>13784</v>
      </c>
      <c r="K158" t="s">
        <v>7939</v>
      </c>
      <c r="L158" t="s">
        <v>13819</v>
      </c>
      <c r="M158" t="s">
        <v>25</v>
      </c>
      <c r="N158" t="s">
        <v>13820</v>
      </c>
      <c r="S158" t="s">
        <v>7939</v>
      </c>
      <c r="T158" t="s">
        <v>13819</v>
      </c>
      <c r="U158" t="s">
        <v>4559</v>
      </c>
      <c r="V158" t="s">
        <v>13856</v>
      </c>
      <c r="W158" t="s">
        <v>4727</v>
      </c>
    </row>
    <row r="159" spans="1:23">
      <c r="A159" t="s">
        <v>13725</v>
      </c>
      <c r="B159" t="s">
        <v>13725</v>
      </c>
      <c r="C159" t="s">
        <v>13754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13788</v>
      </c>
      <c r="W159" t="s">
        <v>4727</v>
      </c>
    </row>
    <row r="160" spans="1:23">
      <c r="A160" t="s">
        <v>13726</v>
      </c>
      <c r="B160" t="s">
        <v>13726</v>
      </c>
      <c r="C160" t="s">
        <v>13763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13789</v>
      </c>
      <c r="W160" t="s">
        <v>4727</v>
      </c>
    </row>
    <row r="161" spans="1:23">
      <c r="A161" t="s">
        <v>13727</v>
      </c>
      <c r="B161" t="s">
        <v>13727</v>
      </c>
      <c r="C161" t="s">
        <v>13772</v>
      </c>
      <c r="D161" t="s">
        <v>10678</v>
      </c>
      <c r="E161" t="s">
        <v>13732</v>
      </c>
      <c r="F161" t="s">
        <v>10679</v>
      </c>
      <c r="G161" t="s">
        <v>13736</v>
      </c>
      <c r="H161" t="s">
        <v>10703</v>
      </c>
      <c r="I161" t="s">
        <v>13862</v>
      </c>
      <c r="J161" s="26" t="s">
        <v>13790</v>
      </c>
      <c r="W161" t="s">
        <v>4727</v>
      </c>
    </row>
    <row r="162" spans="1:23">
      <c r="A162" t="s">
        <v>13901</v>
      </c>
      <c r="B162" t="s">
        <v>13901</v>
      </c>
      <c r="C162" t="s">
        <v>13902</v>
      </c>
      <c r="D162" t="s">
        <v>6341</v>
      </c>
      <c r="E162" t="s">
        <v>8087</v>
      </c>
      <c r="F162" t="s">
        <v>2655</v>
      </c>
      <c r="G162" t="s">
        <v>13903</v>
      </c>
      <c r="H162" t="s">
        <v>6741</v>
      </c>
      <c r="I162" t="s">
        <v>13904</v>
      </c>
      <c r="J162" t="s">
        <v>13905</v>
      </c>
      <c r="K162" t="s">
        <v>13906</v>
      </c>
      <c r="L162" t="s">
        <v>13908</v>
      </c>
      <c r="M162" t="s">
        <v>25</v>
      </c>
      <c r="N162" t="s">
        <v>13909</v>
      </c>
      <c r="O162" t="s">
        <v>13906</v>
      </c>
      <c r="P162" t="s">
        <v>13901</v>
      </c>
      <c r="Q162" t="s">
        <v>25</v>
      </c>
      <c r="R162" t="s">
        <v>13907</v>
      </c>
      <c r="S162" t="s">
        <v>6341</v>
      </c>
      <c r="T162" t="s">
        <v>13901</v>
      </c>
      <c r="U162" t="s">
        <v>4559</v>
      </c>
      <c r="V162" t="s">
        <v>13910</v>
      </c>
      <c r="W162" t="s">
        <v>4727</v>
      </c>
    </row>
    <row r="163" spans="1:23">
      <c r="A163" t="s">
        <v>13935</v>
      </c>
      <c r="B163" t="s">
        <v>13935</v>
      </c>
      <c r="C163" t="s">
        <v>13936</v>
      </c>
      <c r="D163" t="s">
        <v>4517</v>
      </c>
      <c r="E163" t="s">
        <v>13937</v>
      </c>
      <c r="F163" t="s">
        <v>2655</v>
      </c>
      <c r="G163" t="s">
        <v>13951</v>
      </c>
      <c r="H163" t="s">
        <v>4376</v>
      </c>
      <c r="I163" t="s">
        <v>13957</v>
      </c>
      <c r="J163" t="s">
        <v>13939</v>
      </c>
      <c r="K163" t="s">
        <v>4517</v>
      </c>
      <c r="L163" t="s">
        <v>13935</v>
      </c>
      <c r="M163" t="s">
        <v>25</v>
      </c>
      <c r="N163" t="s">
        <v>13941</v>
      </c>
      <c r="S163" t="s">
        <v>6665</v>
      </c>
      <c r="T163" t="s">
        <v>13935</v>
      </c>
      <c r="U163" t="s">
        <v>4559</v>
      </c>
      <c r="V163" t="s">
        <v>13943</v>
      </c>
      <c r="W163" t="s">
        <v>4727</v>
      </c>
    </row>
    <row r="164" spans="1:23">
      <c r="A164" t="s">
        <v>13938</v>
      </c>
      <c r="B164" t="s">
        <v>13938</v>
      </c>
      <c r="C164" t="s">
        <v>13936</v>
      </c>
      <c r="D164" t="s">
        <v>4517</v>
      </c>
      <c r="E164" t="s">
        <v>13940</v>
      </c>
      <c r="F164" t="s">
        <v>2655</v>
      </c>
      <c r="G164" t="s">
        <v>13952</v>
      </c>
      <c r="H164" t="s">
        <v>10703</v>
      </c>
      <c r="I164" t="s">
        <v>13958</v>
      </c>
      <c r="J164" t="s">
        <v>13939</v>
      </c>
      <c r="K164" t="s">
        <v>4517</v>
      </c>
      <c r="L164" t="s">
        <v>13938</v>
      </c>
      <c r="M164" t="s">
        <v>25</v>
      </c>
      <c r="N164" t="s">
        <v>13942</v>
      </c>
    </row>
    <row r="165" spans="1:23">
      <c r="A165" t="s">
        <v>13945</v>
      </c>
      <c r="B165" t="s">
        <v>13945</v>
      </c>
      <c r="C165" t="s">
        <v>13947</v>
      </c>
      <c r="D165" t="s">
        <v>4517</v>
      </c>
      <c r="E165" t="s">
        <v>13937</v>
      </c>
      <c r="F165" t="s">
        <v>2655</v>
      </c>
      <c r="G165" t="s">
        <v>13953</v>
      </c>
      <c r="H165" t="s">
        <v>4376</v>
      </c>
      <c r="I165" t="s">
        <v>13957</v>
      </c>
      <c r="J165" t="s">
        <v>13944</v>
      </c>
      <c r="K165" t="s">
        <v>4517</v>
      </c>
      <c r="L165" t="s">
        <v>13945</v>
      </c>
      <c r="M165" t="s">
        <v>25</v>
      </c>
      <c r="N165" t="s">
        <v>13948</v>
      </c>
      <c r="S165" t="s">
        <v>6665</v>
      </c>
      <c r="T165" t="s">
        <v>13945</v>
      </c>
      <c r="U165" t="s">
        <v>4559</v>
      </c>
      <c r="V165" t="s">
        <v>13950</v>
      </c>
      <c r="W165" t="s">
        <v>4727</v>
      </c>
    </row>
    <row r="166" spans="1:23">
      <c r="A166" t="s">
        <v>13946</v>
      </c>
      <c r="B166" t="s">
        <v>13946</v>
      </c>
      <c r="C166" t="s">
        <v>13947</v>
      </c>
      <c r="D166" t="s">
        <v>4517</v>
      </c>
      <c r="E166" t="s">
        <v>13940</v>
      </c>
      <c r="F166" t="s">
        <v>2655</v>
      </c>
      <c r="G166" t="s">
        <v>13954</v>
      </c>
      <c r="H166" t="s">
        <v>10703</v>
      </c>
      <c r="I166" t="s">
        <v>13958</v>
      </c>
      <c r="J166" t="s">
        <v>13944</v>
      </c>
      <c r="K166" t="s">
        <v>4517</v>
      </c>
      <c r="L166" t="s">
        <v>13946</v>
      </c>
      <c r="M166" t="s">
        <v>25</v>
      </c>
      <c r="N166" t="s">
        <v>13949</v>
      </c>
    </row>
    <row r="167" spans="1:23">
      <c r="A167" t="s">
        <v>14040</v>
      </c>
      <c r="B167" t="s">
        <v>14040</v>
      </c>
      <c r="C167" t="s">
        <v>14042</v>
      </c>
      <c r="D167" t="s">
        <v>4517</v>
      </c>
      <c r="E167" t="s">
        <v>14043</v>
      </c>
      <c r="F167" t="s">
        <v>2655</v>
      </c>
      <c r="G167" t="s">
        <v>14040</v>
      </c>
      <c r="H167" t="s">
        <v>4377</v>
      </c>
      <c r="I167" t="s">
        <v>14056</v>
      </c>
      <c r="J167" t="s">
        <v>14044</v>
      </c>
      <c r="K167" t="s">
        <v>4517</v>
      </c>
      <c r="L167" t="s">
        <v>14045</v>
      </c>
      <c r="M167" t="s">
        <v>25</v>
      </c>
      <c r="N167" t="s">
        <v>14046</v>
      </c>
      <c r="O167" t="s">
        <v>4517</v>
      </c>
      <c r="P167" t="s">
        <v>14047</v>
      </c>
      <c r="Q167" t="s">
        <v>25</v>
      </c>
      <c r="R167" t="s">
        <v>14048</v>
      </c>
      <c r="S167" t="s">
        <v>6665</v>
      </c>
      <c r="T167" t="s">
        <v>14045</v>
      </c>
      <c r="U167" t="s">
        <v>4559</v>
      </c>
      <c r="V167" t="s">
        <v>14049</v>
      </c>
      <c r="W167" t="s">
        <v>4727</v>
      </c>
    </row>
    <row r="168" spans="1:23">
      <c r="A168" t="s">
        <v>14041</v>
      </c>
      <c r="B168" t="s">
        <v>14041</v>
      </c>
      <c r="C168" t="s">
        <v>14042</v>
      </c>
      <c r="D168" t="s">
        <v>4517</v>
      </c>
      <c r="E168" t="s">
        <v>6248</v>
      </c>
      <c r="F168" t="s">
        <v>2655</v>
      </c>
      <c r="G168" t="s">
        <v>14041</v>
      </c>
      <c r="H168" t="s">
        <v>6243</v>
      </c>
      <c r="I168" t="s">
        <v>14055</v>
      </c>
      <c r="J168" t="s">
        <v>14044</v>
      </c>
      <c r="K168" t="s">
        <v>4517</v>
      </c>
      <c r="L168" t="s">
        <v>14050</v>
      </c>
      <c r="M168" t="s">
        <v>25</v>
      </c>
      <c r="N168" t="s">
        <v>14051</v>
      </c>
      <c r="O168" t="s">
        <v>4517</v>
      </c>
      <c r="P168" t="s">
        <v>14052</v>
      </c>
      <c r="Q168" t="s">
        <v>25</v>
      </c>
      <c r="R168" t="s">
        <v>14053</v>
      </c>
      <c r="S168" t="s">
        <v>6665</v>
      </c>
      <c r="T168" t="s">
        <v>14050</v>
      </c>
      <c r="U168" t="s">
        <v>4559</v>
      </c>
      <c r="V168" t="s">
        <v>14054</v>
      </c>
      <c r="W168" t="s">
        <v>4727</v>
      </c>
    </row>
    <row r="169" spans="1:23">
      <c r="A169" t="s">
        <v>14124</v>
      </c>
      <c r="B169" t="s">
        <v>14124</v>
      </c>
      <c r="C169" t="s">
        <v>14125</v>
      </c>
      <c r="D169" t="s">
        <v>4517</v>
      </c>
      <c r="E169" t="s">
        <v>14126</v>
      </c>
      <c r="F169" t="s">
        <v>2655</v>
      </c>
      <c r="G169" t="s">
        <v>14124</v>
      </c>
      <c r="H169" t="s">
        <v>6243</v>
      </c>
      <c r="I169" t="s">
        <v>14131</v>
      </c>
      <c r="J169" t="s">
        <v>14127</v>
      </c>
      <c r="K169" t="s">
        <v>4517</v>
      </c>
      <c r="L169" t="s">
        <v>14128</v>
      </c>
      <c r="M169" t="s">
        <v>25</v>
      </c>
      <c r="N169" t="s">
        <v>14129</v>
      </c>
      <c r="S169" t="s">
        <v>6665</v>
      </c>
      <c r="T169" t="s">
        <v>14128</v>
      </c>
      <c r="U169" t="s">
        <v>4559</v>
      </c>
      <c r="V169" t="s">
        <v>14130</v>
      </c>
      <c r="W169" t="s">
        <v>4727</v>
      </c>
    </row>
    <row r="170" spans="1:23">
      <c r="A170" t="s">
        <v>14147</v>
      </c>
      <c r="B170" t="s">
        <v>14147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14169</v>
      </c>
      <c r="M170" t="s">
        <v>25</v>
      </c>
      <c r="N170" t="s">
        <v>14170</v>
      </c>
      <c r="O170" t="s">
        <v>4517</v>
      </c>
      <c r="P170" t="s">
        <v>14171</v>
      </c>
      <c r="Q170" t="s">
        <v>25</v>
      </c>
      <c r="R170" t="s">
        <v>14172</v>
      </c>
      <c r="S170" t="s">
        <v>6665</v>
      </c>
      <c r="T170" t="s">
        <v>14169</v>
      </c>
      <c r="U170" t="s">
        <v>4559</v>
      </c>
      <c r="V170" t="s">
        <v>14173</v>
      </c>
      <c r="W170" t="s">
        <v>4727</v>
      </c>
    </row>
    <row r="171" spans="1:23">
      <c r="A171" t="s">
        <v>14154</v>
      </c>
      <c r="B171" t="s">
        <v>14154</v>
      </c>
      <c r="C171" t="s">
        <v>14164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14174</v>
      </c>
      <c r="M171" t="s">
        <v>25</v>
      </c>
      <c r="N171" t="s">
        <v>14175</v>
      </c>
      <c r="O171" t="s">
        <v>4517</v>
      </c>
      <c r="P171" t="s">
        <v>14176</v>
      </c>
      <c r="Q171" t="s">
        <v>25</v>
      </c>
      <c r="R171" t="s">
        <v>14177</v>
      </c>
      <c r="S171" t="s">
        <v>6665</v>
      </c>
      <c r="T171" t="s">
        <v>14174</v>
      </c>
      <c r="U171" t="s">
        <v>4559</v>
      </c>
      <c r="V171" t="s">
        <v>14178</v>
      </c>
      <c r="W171" t="s">
        <v>4727</v>
      </c>
    </row>
    <row r="172" spans="1:23">
      <c r="A172" t="s">
        <v>14148</v>
      </c>
      <c r="B172" t="s">
        <v>14148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14179</v>
      </c>
      <c r="M172" t="s">
        <v>25</v>
      </c>
      <c r="N172" t="s">
        <v>14180</v>
      </c>
      <c r="O172" t="s">
        <v>4517</v>
      </c>
      <c r="P172" t="s">
        <v>14181</v>
      </c>
      <c r="Q172" t="s">
        <v>25</v>
      </c>
      <c r="R172" t="s">
        <v>14182</v>
      </c>
      <c r="S172" t="s">
        <v>6665</v>
      </c>
      <c r="T172" t="s">
        <v>14179</v>
      </c>
      <c r="U172" t="s">
        <v>4559</v>
      </c>
      <c r="V172" t="s">
        <v>14183</v>
      </c>
      <c r="W172" t="s">
        <v>4727</v>
      </c>
    </row>
    <row r="173" spans="1:23">
      <c r="A173" t="s">
        <v>14155</v>
      </c>
      <c r="B173" t="s">
        <v>14155</v>
      </c>
      <c r="C173" t="s">
        <v>14165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14184</v>
      </c>
      <c r="M173" t="s">
        <v>25</v>
      </c>
      <c r="N173" t="s">
        <v>14185</v>
      </c>
      <c r="O173" t="s">
        <v>4517</v>
      </c>
      <c r="P173" t="s">
        <v>14186</v>
      </c>
      <c r="Q173" t="s">
        <v>25</v>
      </c>
      <c r="R173" t="s">
        <v>14187</v>
      </c>
      <c r="S173" t="s">
        <v>6665</v>
      </c>
      <c r="T173" t="s">
        <v>14184</v>
      </c>
      <c r="U173" t="s">
        <v>4559</v>
      </c>
      <c r="V173" t="s">
        <v>14188</v>
      </c>
      <c r="W173" t="s">
        <v>4727</v>
      </c>
    </row>
    <row r="174" spans="1:23">
      <c r="A174" t="s">
        <v>14149</v>
      </c>
      <c r="B174" t="s">
        <v>14149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14189</v>
      </c>
      <c r="M174" t="s">
        <v>25</v>
      </c>
      <c r="N174" t="s">
        <v>14190</v>
      </c>
      <c r="O174" t="s">
        <v>4517</v>
      </c>
      <c r="P174" t="s">
        <v>14191</v>
      </c>
      <c r="Q174" t="s">
        <v>25</v>
      </c>
      <c r="R174" t="s">
        <v>14192</v>
      </c>
      <c r="S174" t="s">
        <v>6665</v>
      </c>
      <c r="T174" t="s">
        <v>14189</v>
      </c>
      <c r="U174" t="s">
        <v>4559</v>
      </c>
      <c r="V174" t="s">
        <v>14193</v>
      </c>
      <c r="W174" t="s">
        <v>4727</v>
      </c>
    </row>
    <row r="175" spans="1:23">
      <c r="A175" t="s">
        <v>14156</v>
      </c>
      <c r="B175" t="s">
        <v>14156</v>
      </c>
      <c r="C175" t="s">
        <v>14166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14194</v>
      </c>
      <c r="M175" t="s">
        <v>25</v>
      </c>
      <c r="N175" t="s">
        <v>14195</v>
      </c>
      <c r="O175" t="s">
        <v>4517</v>
      </c>
      <c r="P175" t="s">
        <v>14196</v>
      </c>
      <c r="Q175" t="s">
        <v>25</v>
      </c>
      <c r="R175" t="s">
        <v>14197</v>
      </c>
      <c r="S175" t="s">
        <v>6665</v>
      </c>
      <c r="T175" t="s">
        <v>14194</v>
      </c>
      <c r="U175" t="s">
        <v>4559</v>
      </c>
      <c r="V175" t="s">
        <v>14198</v>
      </c>
      <c r="W175" t="s">
        <v>4727</v>
      </c>
    </row>
    <row r="176" spans="1:23">
      <c r="A176" t="s">
        <v>14150</v>
      </c>
      <c r="B176" t="s">
        <v>14150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14199</v>
      </c>
      <c r="M176" t="s">
        <v>25</v>
      </c>
      <c r="N176" t="s">
        <v>14200</v>
      </c>
      <c r="O176" t="s">
        <v>4517</v>
      </c>
      <c r="P176" t="s">
        <v>14201</v>
      </c>
      <c r="Q176" t="s">
        <v>25</v>
      </c>
      <c r="R176" t="s">
        <v>14202</v>
      </c>
      <c r="S176" t="s">
        <v>6665</v>
      </c>
      <c r="T176" t="s">
        <v>14199</v>
      </c>
      <c r="U176" t="s">
        <v>4559</v>
      </c>
      <c r="V176" t="s">
        <v>14203</v>
      </c>
      <c r="W176" t="s">
        <v>4727</v>
      </c>
    </row>
    <row r="177" spans="1:23">
      <c r="A177" t="s">
        <v>14157</v>
      </c>
      <c r="B177" t="s">
        <v>14157</v>
      </c>
      <c r="C177" t="s">
        <v>14167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14204</v>
      </c>
      <c r="M177" t="s">
        <v>25</v>
      </c>
      <c r="N177" t="s">
        <v>14205</v>
      </c>
      <c r="O177" t="s">
        <v>4517</v>
      </c>
      <c r="P177" t="s">
        <v>14206</v>
      </c>
      <c r="Q177" t="s">
        <v>25</v>
      </c>
      <c r="R177" t="s">
        <v>14207</v>
      </c>
      <c r="S177" t="s">
        <v>6665</v>
      </c>
      <c r="T177" t="s">
        <v>14204</v>
      </c>
      <c r="U177" t="s">
        <v>4559</v>
      </c>
      <c r="V177" t="s">
        <v>14208</v>
      </c>
      <c r="W177" t="s">
        <v>4727</v>
      </c>
    </row>
    <row r="178" spans="1:23">
      <c r="A178" t="s">
        <v>14151</v>
      </c>
      <c r="B178" t="s">
        <v>14151</v>
      </c>
      <c r="C178" t="s">
        <v>14168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14209</v>
      </c>
      <c r="M178" t="s">
        <v>25</v>
      </c>
      <c r="N178" t="s">
        <v>14210</v>
      </c>
      <c r="O178" t="s">
        <v>4517</v>
      </c>
      <c r="P178" t="s">
        <v>14211</v>
      </c>
      <c r="Q178" t="s">
        <v>25</v>
      </c>
      <c r="R178" t="s">
        <v>14212</v>
      </c>
      <c r="S178" t="s">
        <v>6665</v>
      </c>
      <c r="T178" t="s">
        <v>14209</v>
      </c>
      <c r="U178" t="s">
        <v>4559</v>
      </c>
      <c r="V178" t="s">
        <v>14213</v>
      </c>
      <c r="W178" t="s">
        <v>4727</v>
      </c>
    </row>
    <row r="179" spans="1:23">
      <c r="A179" t="s">
        <v>14158</v>
      </c>
      <c r="B179" t="s">
        <v>14158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14214</v>
      </c>
      <c r="M179" t="s">
        <v>25</v>
      </c>
      <c r="N179" t="s">
        <v>14215</v>
      </c>
      <c r="O179" t="s">
        <v>4517</v>
      </c>
      <c r="P179" t="s">
        <v>14216</v>
      </c>
      <c r="Q179" t="s">
        <v>25</v>
      </c>
      <c r="R179" t="s">
        <v>14217</v>
      </c>
      <c r="S179" t="s">
        <v>6665</v>
      </c>
      <c r="T179" t="s">
        <v>14214</v>
      </c>
      <c r="U179" t="s">
        <v>4559</v>
      </c>
      <c r="V179" t="s">
        <v>14218</v>
      </c>
      <c r="W179" t="s">
        <v>4727</v>
      </c>
    </row>
    <row r="180" spans="1:23">
      <c r="A180" t="s">
        <v>14152</v>
      </c>
      <c r="B180" t="s">
        <v>14152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14219</v>
      </c>
      <c r="M180" t="s">
        <v>25</v>
      </c>
      <c r="N180" t="s">
        <v>14220</v>
      </c>
      <c r="O180" t="s">
        <v>4517</v>
      </c>
      <c r="P180" t="s">
        <v>14221</v>
      </c>
      <c r="Q180" t="s">
        <v>25</v>
      </c>
      <c r="R180" t="s">
        <v>14222</v>
      </c>
      <c r="S180" t="s">
        <v>6665</v>
      </c>
      <c r="T180" t="s">
        <v>14219</v>
      </c>
      <c r="U180" t="s">
        <v>4559</v>
      </c>
      <c r="V180" t="s">
        <v>14223</v>
      </c>
      <c r="W180" t="s">
        <v>4727</v>
      </c>
    </row>
    <row r="181" spans="1:23">
      <c r="A181" t="s">
        <v>14159</v>
      </c>
      <c r="B181" t="s">
        <v>14159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14224</v>
      </c>
      <c r="M181" t="s">
        <v>25</v>
      </c>
      <c r="N181" t="s">
        <v>14225</v>
      </c>
      <c r="O181" t="s">
        <v>4517</v>
      </c>
      <c r="P181" t="s">
        <v>14226</v>
      </c>
      <c r="Q181" t="s">
        <v>25</v>
      </c>
      <c r="R181" t="s">
        <v>14227</v>
      </c>
      <c r="S181" t="s">
        <v>6665</v>
      </c>
      <c r="T181" t="s">
        <v>14224</v>
      </c>
      <c r="U181" t="s">
        <v>4559</v>
      </c>
      <c r="V181" t="s">
        <v>14228</v>
      </c>
      <c r="W181" t="s">
        <v>4727</v>
      </c>
    </row>
    <row r="182" spans="1:23">
      <c r="A182" t="s">
        <v>14153</v>
      </c>
      <c r="B182" t="s">
        <v>14153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14229</v>
      </c>
      <c r="M182" t="s">
        <v>25</v>
      </c>
      <c r="N182" t="s">
        <v>14230</v>
      </c>
      <c r="O182" t="s">
        <v>4517</v>
      </c>
      <c r="P182" t="s">
        <v>14231</v>
      </c>
      <c r="Q182" t="s">
        <v>25</v>
      </c>
      <c r="R182" t="s">
        <v>14232</v>
      </c>
      <c r="S182" t="s">
        <v>6665</v>
      </c>
      <c r="T182" t="s">
        <v>14229</v>
      </c>
      <c r="U182" t="s">
        <v>4559</v>
      </c>
      <c r="V182" t="s">
        <v>14233</v>
      </c>
      <c r="W182" t="s">
        <v>4727</v>
      </c>
    </row>
    <row r="183" spans="1:23">
      <c r="A183" t="s">
        <v>14160</v>
      </c>
      <c r="B183" t="s">
        <v>14160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14234</v>
      </c>
      <c r="M183" t="s">
        <v>25</v>
      </c>
      <c r="N183" t="s">
        <v>14235</v>
      </c>
      <c r="O183" t="s">
        <v>4517</v>
      </c>
      <c r="P183" t="s">
        <v>14236</v>
      </c>
      <c r="Q183" t="s">
        <v>25</v>
      </c>
      <c r="R183" t="s">
        <v>14237</v>
      </c>
      <c r="S183" t="s">
        <v>6665</v>
      </c>
      <c r="T183" t="s">
        <v>14234</v>
      </c>
      <c r="U183" t="s">
        <v>4559</v>
      </c>
      <c r="V183" t="s">
        <v>14238</v>
      </c>
      <c r="W183" t="s">
        <v>4727</v>
      </c>
    </row>
    <row r="184" spans="1:23">
      <c r="A184" t="s">
        <v>14161</v>
      </c>
      <c r="B184" t="s">
        <v>14161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14239</v>
      </c>
      <c r="M184" t="s">
        <v>25</v>
      </c>
      <c r="N184" t="s">
        <v>14240</v>
      </c>
      <c r="O184" t="s">
        <v>4517</v>
      </c>
      <c r="P184" t="s">
        <v>14241</v>
      </c>
      <c r="Q184" t="s">
        <v>25</v>
      </c>
      <c r="R184" t="s">
        <v>14242</v>
      </c>
      <c r="S184" t="s">
        <v>6665</v>
      </c>
      <c r="T184" t="s">
        <v>14239</v>
      </c>
      <c r="U184" t="s">
        <v>4559</v>
      </c>
      <c r="V184" t="s">
        <v>14243</v>
      </c>
      <c r="W184" t="s">
        <v>4727</v>
      </c>
    </row>
    <row r="185" spans="1:23">
      <c r="A185" t="s">
        <v>14162</v>
      </c>
      <c r="B185" t="s">
        <v>14162</v>
      </c>
      <c r="C185" t="s">
        <v>14165</v>
      </c>
      <c r="D185" t="s">
        <v>4517</v>
      </c>
      <c r="E185" t="s">
        <v>4553</v>
      </c>
      <c r="F185" t="s">
        <v>2655</v>
      </c>
      <c r="G185" t="s">
        <v>14146</v>
      </c>
      <c r="H185" t="s">
        <v>4376</v>
      </c>
      <c r="I185" t="s">
        <v>4799</v>
      </c>
      <c r="J185" t="s">
        <v>14163</v>
      </c>
      <c r="K185" t="s">
        <v>4517</v>
      </c>
      <c r="L185" t="s">
        <v>14244</v>
      </c>
      <c r="M185" t="s">
        <v>25</v>
      </c>
      <c r="N185" t="s">
        <v>14245</v>
      </c>
      <c r="O185" t="s">
        <v>4517</v>
      </c>
      <c r="P185" t="s">
        <v>14246</v>
      </c>
      <c r="Q185" t="s">
        <v>25</v>
      </c>
      <c r="R185" t="s">
        <v>14247</v>
      </c>
      <c r="S185" t="s">
        <v>6665</v>
      </c>
      <c r="T185" t="s">
        <v>14248</v>
      </c>
      <c r="U185" t="s">
        <v>4559</v>
      </c>
      <c r="V185" t="s">
        <v>14249</v>
      </c>
      <c r="W185" t="s">
        <v>4727</v>
      </c>
    </row>
    <row r="186" spans="1:23">
      <c r="A186" t="s">
        <v>14250</v>
      </c>
      <c r="B186" t="s">
        <v>14250</v>
      </c>
      <c r="C186" t="s">
        <v>14251</v>
      </c>
      <c r="D186" t="s">
        <v>14252</v>
      </c>
      <c r="E186" t="s">
        <v>4372</v>
      </c>
      <c r="F186" t="s">
        <v>2655</v>
      </c>
      <c r="G186" t="s">
        <v>14253</v>
      </c>
      <c r="H186" t="s">
        <v>4376</v>
      </c>
      <c r="I186" t="s">
        <v>4798</v>
      </c>
      <c r="J186" t="s">
        <v>14254</v>
      </c>
      <c r="K186" t="s">
        <v>14255</v>
      </c>
      <c r="L186" t="s">
        <v>14250</v>
      </c>
      <c r="M186" t="s">
        <v>25</v>
      </c>
      <c r="N186" t="s">
        <v>14256</v>
      </c>
      <c r="S186" t="s">
        <v>14257</v>
      </c>
      <c r="T186" t="s">
        <v>14250</v>
      </c>
      <c r="U186" t="s">
        <v>4559</v>
      </c>
      <c r="V186" t="s">
        <v>14258</v>
      </c>
      <c r="W186" t="s">
        <v>4728</v>
      </c>
    </row>
    <row r="187" spans="1:23">
      <c r="A187" t="s">
        <v>14259</v>
      </c>
      <c r="B187" t="s">
        <v>14259</v>
      </c>
      <c r="C187" t="s">
        <v>14260</v>
      </c>
      <c r="D187" t="s">
        <v>14261</v>
      </c>
      <c r="E187" t="s">
        <v>14262</v>
      </c>
      <c r="F187" t="s">
        <v>2655</v>
      </c>
      <c r="G187" t="s">
        <v>14291</v>
      </c>
      <c r="J187" t="s">
        <v>14263</v>
      </c>
      <c r="S187" t="s">
        <v>14264</v>
      </c>
      <c r="T187" t="s">
        <v>14259</v>
      </c>
      <c r="U187" t="s">
        <v>4559</v>
      </c>
      <c r="V187" t="s">
        <v>14265</v>
      </c>
      <c r="W187" t="s">
        <v>4728</v>
      </c>
    </row>
    <row r="188" spans="1:23">
      <c r="A188" t="s">
        <v>14266</v>
      </c>
      <c r="B188" t="s">
        <v>14266</v>
      </c>
      <c r="C188" t="s">
        <v>14292</v>
      </c>
      <c r="D188" t="s">
        <v>14268</v>
      </c>
      <c r="E188" t="s">
        <v>14262</v>
      </c>
      <c r="F188" t="s">
        <v>2655</v>
      </c>
      <c r="G188" t="s">
        <v>14290</v>
      </c>
      <c r="J188" t="s">
        <v>14267</v>
      </c>
      <c r="S188" t="s">
        <v>14268</v>
      </c>
      <c r="T188" t="s">
        <v>14266</v>
      </c>
      <c r="U188" t="s">
        <v>4559</v>
      </c>
      <c r="V188" t="s">
        <v>14269</v>
      </c>
      <c r="W188" t="s">
        <v>4728</v>
      </c>
    </row>
    <row r="189" spans="1:23">
      <c r="A189" t="s">
        <v>14270</v>
      </c>
      <c r="B189" t="s">
        <v>14270</v>
      </c>
      <c r="C189" t="s">
        <v>14288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14272</v>
      </c>
      <c r="S189" t="s">
        <v>14273</v>
      </c>
      <c r="T189" t="s">
        <v>14270</v>
      </c>
      <c r="U189" t="s">
        <v>4559</v>
      </c>
      <c r="V189" t="s">
        <v>14274</v>
      </c>
      <c r="W189" t="s">
        <v>4728</v>
      </c>
    </row>
    <row r="190" spans="1:23">
      <c r="A190" t="s">
        <v>14276</v>
      </c>
      <c r="B190" t="s">
        <v>14276</v>
      </c>
      <c r="C190" t="s">
        <v>14289</v>
      </c>
      <c r="D190" t="s">
        <v>14275</v>
      </c>
      <c r="E190" t="s">
        <v>14271</v>
      </c>
      <c r="F190" t="s">
        <v>2655</v>
      </c>
      <c r="G190" t="s">
        <v>14287</v>
      </c>
      <c r="H190" t="s">
        <v>4376</v>
      </c>
      <c r="I190" t="s">
        <v>12562</v>
      </c>
      <c r="J190" t="s">
        <v>14277</v>
      </c>
      <c r="S190" t="s">
        <v>14273</v>
      </c>
      <c r="T190" t="s">
        <v>14276</v>
      </c>
      <c r="U190" t="s">
        <v>4559</v>
      </c>
      <c r="V190" t="s">
        <v>14278</v>
      </c>
      <c r="W190" t="s">
        <v>4728</v>
      </c>
    </row>
    <row r="191" spans="1:23">
      <c r="A191" t="s">
        <v>14279</v>
      </c>
      <c r="B191" t="s">
        <v>14279</v>
      </c>
      <c r="C191" t="s">
        <v>14286</v>
      </c>
      <c r="D191" t="s">
        <v>10678</v>
      </c>
      <c r="E191" t="s">
        <v>14280</v>
      </c>
      <c r="F191" t="s">
        <v>2655</v>
      </c>
      <c r="G191" t="s">
        <v>14285</v>
      </c>
      <c r="H191" t="s">
        <v>6704</v>
      </c>
      <c r="I191" t="s">
        <v>6973</v>
      </c>
      <c r="J191" t="s">
        <v>14281</v>
      </c>
      <c r="K191" t="s">
        <v>7939</v>
      </c>
      <c r="L191" t="s">
        <v>14279</v>
      </c>
      <c r="M191" t="s">
        <v>25</v>
      </c>
      <c r="N191" t="s">
        <v>14282</v>
      </c>
      <c r="S191" t="s">
        <v>14283</v>
      </c>
      <c r="T191" t="s">
        <v>14279</v>
      </c>
      <c r="U191" t="s">
        <v>4559</v>
      </c>
      <c r="V191" t="s">
        <v>14284</v>
      </c>
      <c r="W191" t="s">
        <v>4728</v>
      </c>
    </row>
    <row r="192" spans="1:23">
      <c r="A192" t="s">
        <v>14764</v>
      </c>
      <c r="B192" t="s">
        <v>14764</v>
      </c>
      <c r="C192" t="s">
        <v>14789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14769</v>
      </c>
      <c r="M192" t="s">
        <v>25</v>
      </c>
      <c r="N192" t="s">
        <v>14770</v>
      </c>
      <c r="O192" t="s">
        <v>4517</v>
      </c>
      <c r="P192" t="s">
        <v>14771</v>
      </c>
      <c r="Q192" t="s">
        <v>25</v>
      </c>
      <c r="R192" t="s">
        <v>14772</v>
      </c>
      <c r="S192" t="s">
        <v>6665</v>
      </c>
      <c r="T192" t="s">
        <v>14769</v>
      </c>
      <c r="U192" t="s">
        <v>4559</v>
      </c>
      <c r="V192" t="s">
        <v>14785</v>
      </c>
      <c r="W192" t="s">
        <v>4727</v>
      </c>
    </row>
    <row r="193" spans="1:23">
      <c r="A193" t="s">
        <v>14765</v>
      </c>
      <c r="B193" t="s">
        <v>14765</v>
      </c>
      <c r="C193" t="s">
        <v>14790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14773</v>
      </c>
      <c r="M193" t="s">
        <v>25</v>
      </c>
      <c r="N193" t="s">
        <v>14774</v>
      </c>
      <c r="O193" t="s">
        <v>4517</v>
      </c>
      <c r="P193" t="s">
        <v>14775</v>
      </c>
      <c r="Q193" t="s">
        <v>25</v>
      </c>
      <c r="R193" t="s">
        <v>14776</v>
      </c>
      <c r="S193" t="s">
        <v>6665</v>
      </c>
      <c r="T193" t="s">
        <v>14773</v>
      </c>
      <c r="U193" t="s">
        <v>4559</v>
      </c>
      <c r="V193" t="s">
        <v>14786</v>
      </c>
      <c r="W193" t="s">
        <v>4727</v>
      </c>
    </row>
    <row r="194" spans="1:23">
      <c r="A194" t="s">
        <v>14766</v>
      </c>
      <c r="B194" t="s">
        <v>14766</v>
      </c>
      <c r="C194" t="s">
        <v>14791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14777</v>
      </c>
      <c r="M194" t="s">
        <v>25</v>
      </c>
      <c r="N194" t="s">
        <v>14778</v>
      </c>
      <c r="O194" t="s">
        <v>4517</v>
      </c>
      <c r="P194" t="s">
        <v>14779</v>
      </c>
      <c r="Q194" t="s">
        <v>25</v>
      </c>
      <c r="R194" t="s">
        <v>14780</v>
      </c>
      <c r="S194" t="s">
        <v>6665</v>
      </c>
      <c r="T194" t="s">
        <v>14777</v>
      </c>
      <c r="U194" t="s">
        <v>4559</v>
      </c>
      <c r="V194" t="s">
        <v>14787</v>
      </c>
      <c r="W194" t="s">
        <v>4727</v>
      </c>
    </row>
    <row r="195" spans="1:23">
      <c r="A195" t="s">
        <v>14767</v>
      </c>
      <c r="B195" t="s">
        <v>14767</v>
      </c>
      <c r="C195" t="s">
        <v>14792</v>
      </c>
      <c r="D195" t="s">
        <v>4517</v>
      </c>
      <c r="E195" t="s">
        <v>4553</v>
      </c>
      <c r="F195" t="s">
        <v>2655</v>
      </c>
      <c r="G195" t="s">
        <v>14793</v>
      </c>
      <c r="H195" t="s">
        <v>4376</v>
      </c>
      <c r="I195" t="s">
        <v>4799</v>
      </c>
      <c r="J195" t="s">
        <v>14768</v>
      </c>
      <c r="K195" t="s">
        <v>4517</v>
      </c>
      <c r="L195" t="s">
        <v>14781</v>
      </c>
      <c r="M195" t="s">
        <v>25</v>
      </c>
      <c r="N195" t="s">
        <v>14782</v>
      </c>
      <c r="O195" t="s">
        <v>4517</v>
      </c>
      <c r="P195" t="s">
        <v>14783</v>
      </c>
      <c r="Q195" t="s">
        <v>25</v>
      </c>
      <c r="R195" t="s">
        <v>14784</v>
      </c>
      <c r="S195" t="s">
        <v>6665</v>
      </c>
      <c r="T195" t="s">
        <v>14781</v>
      </c>
      <c r="U195" t="s">
        <v>4559</v>
      </c>
      <c r="V195" t="s">
        <v>14788</v>
      </c>
      <c r="W195" t="s">
        <v>4727</v>
      </c>
    </row>
    <row r="196" spans="1:23">
      <c r="A196" t="s">
        <v>14796</v>
      </c>
      <c r="B196" t="s">
        <v>14796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14799</v>
      </c>
      <c r="M196" t="s">
        <v>25</v>
      </c>
      <c r="N196" t="s">
        <v>14800</v>
      </c>
    </row>
    <row r="197" spans="1:23">
      <c r="A197" t="s">
        <v>14797</v>
      </c>
      <c r="B197" t="s">
        <v>14797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14801</v>
      </c>
      <c r="M197" t="s">
        <v>25</v>
      </c>
      <c r="N197" t="s">
        <v>14802</v>
      </c>
      <c r="S197" t="s">
        <v>14814</v>
      </c>
      <c r="T197" t="s">
        <v>14815</v>
      </c>
      <c r="U197" t="s">
        <v>4559</v>
      </c>
      <c r="V197" t="s">
        <v>14816</v>
      </c>
      <c r="W197" t="s">
        <v>4727</v>
      </c>
    </row>
    <row r="198" spans="1:23">
      <c r="A198" t="s">
        <v>14798</v>
      </c>
      <c r="B198" t="s">
        <v>14798</v>
      </c>
      <c r="C198" t="s">
        <v>14794</v>
      </c>
      <c r="D198" t="s">
        <v>6218</v>
      </c>
      <c r="E198" t="s">
        <v>14820</v>
      </c>
      <c r="F198" t="s">
        <v>2655</v>
      </c>
      <c r="G198" t="s">
        <v>14795</v>
      </c>
      <c r="H198" t="s">
        <v>4377</v>
      </c>
      <c r="I198" t="s">
        <v>14822</v>
      </c>
      <c r="J198" t="s">
        <v>14819</v>
      </c>
      <c r="K198" t="s">
        <v>6218</v>
      </c>
      <c r="L198" t="s">
        <v>14803</v>
      </c>
      <c r="M198" t="s">
        <v>25</v>
      </c>
      <c r="N198" t="s">
        <v>14804</v>
      </c>
      <c r="S198" t="s">
        <v>14814</v>
      </c>
      <c r="T198" t="s">
        <v>14817</v>
      </c>
      <c r="U198" t="s">
        <v>4559</v>
      </c>
      <c r="V198" t="s">
        <v>14818</v>
      </c>
      <c r="W198" t="s">
        <v>4727</v>
      </c>
    </row>
    <row r="199" spans="1:23">
      <c r="A199" t="s">
        <v>14805</v>
      </c>
      <c r="B199" t="s">
        <v>14805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14808</v>
      </c>
      <c r="M199" t="s">
        <v>25</v>
      </c>
      <c r="N199" t="s">
        <v>14809</v>
      </c>
    </row>
    <row r="200" spans="1:23">
      <c r="A200" t="s">
        <v>14806</v>
      </c>
      <c r="B200" t="s">
        <v>14806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14810</v>
      </c>
      <c r="M200" t="s">
        <v>25</v>
      </c>
      <c r="N200" t="s">
        <v>14811</v>
      </c>
    </row>
    <row r="201" spans="1:23">
      <c r="A201" t="s">
        <v>14807</v>
      </c>
      <c r="B201" t="s">
        <v>14807</v>
      </c>
      <c r="C201" t="s">
        <v>14794</v>
      </c>
      <c r="D201" t="s">
        <v>6218</v>
      </c>
      <c r="E201" t="s">
        <v>14821</v>
      </c>
      <c r="F201" t="s">
        <v>2655</v>
      </c>
      <c r="G201" t="s">
        <v>14795</v>
      </c>
      <c r="H201" t="s">
        <v>4377</v>
      </c>
      <c r="I201" t="s">
        <v>14823</v>
      </c>
      <c r="J201" t="s">
        <v>14819</v>
      </c>
      <c r="K201" t="s">
        <v>6218</v>
      </c>
      <c r="L201" t="s">
        <v>14812</v>
      </c>
      <c r="M201" t="s">
        <v>25</v>
      </c>
      <c r="N201" t="s">
        <v>14813</v>
      </c>
    </row>
    <row r="202" spans="1:23">
      <c r="A202" t="s">
        <v>16867</v>
      </c>
      <c r="B202" t="s">
        <v>16867</v>
      </c>
      <c r="C202" t="s">
        <v>16868</v>
      </c>
      <c r="D202" t="s">
        <v>4517</v>
      </c>
      <c r="E202" t="s">
        <v>11104</v>
      </c>
      <c r="F202" t="s">
        <v>2655</v>
      </c>
      <c r="G202" t="s">
        <v>16867</v>
      </c>
      <c r="H202" t="s">
        <v>6243</v>
      </c>
      <c r="I202" t="s">
        <v>11107</v>
      </c>
      <c r="J202" t="s">
        <v>16869</v>
      </c>
      <c r="K202" t="s">
        <v>4517</v>
      </c>
      <c r="L202" t="s">
        <v>16871</v>
      </c>
      <c r="M202" t="s">
        <v>25</v>
      </c>
      <c r="N202" t="s">
        <v>16870</v>
      </c>
      <c r="S202" t="s">
        <v>4517</v>
      </c>
      <c r="T202" t="s">
        <v>16871</v>
      </c>
      <c r="U202" t="s">
        <v>4559</v>
      </c>
      <c r="V202" t="s">
        <v>16872</v>
      </c>
    </row>
    <row r="203" spans="1:23">
      <c r="A203" t="s">
        <v>16873</v>
      </c>
      <c r="B203" t="s">
        <v>16873</v>
      </c>
      <c r="C203" t="s">
        <v>16883</v>
      </c>
      <c r="D203" t="s">
        <v>16874</v>
      </c>
      <c r="E203" t="s">
        <v>16875</v>
      </c>
      <c r="F203" t="s">
        <v>7015</v>
      </c>
      <c r="G203" t="s">
        <v>16876</v>
      </c>
      <c r="H203" t="s">
        <v>10703</v>
      </c>
      <c r="I203" t="s">
        <v>16877</v>
      </c>
      <c r="J203" t="s">
        <v>16878</v>
      </c>
      <c r="K203" t="s">
        <v>16879</v>
      </c>
      <c r="L203" t="s">
        <v>16880</v>
      </c>
      <c r="M203" t="s">
        <v>25</v>
      </c>
      <c r="N203" t="s">
        <v>16881</v>
      </c>
      <c r="S203" t="s">
        <v>16879</v>
      </c>
      <c r="T203" t="s">
        <v>16881</v>
      </c>
      <c r="U203" t="s">
        <v>4559</v>
      </c>
      <c r="V203" t="s">
        <v>16882</v>
      </c>
    </row>
    <row r="204" spans="1:23">
      <c r="A204" t="s">
        <v>16884</v>
      </c>
      <c r="B204" t="s">
        <v>16887</v>
      </c>
      <c r="C204" t="s">
        <v>16888</v>
      </c>
      <c r="D204" t="s">
        <v>6322</v>
      </c>
      <c r="E204" t="s">
        <v>16875</v>
      </c>
      <c r="F204" t="s">
        <v>7015</v>
      </c>
      <c r="G204" t="s">
        <v>11136</v>
      </c>
      <c r="H204" t="s">
        <v>10703</v>
      </c>
      <c r="I204" t="s">
        <v>16891</v>
      </c>
      <c r="J204" t="s">
        <v>16893</v>
      </c>
      <c r="K204" t="s">
        <v>6322</v>
      </c>
      <c r="L204" t="s">
        <v>16884</v>
      </c>
      <c r="M204" t="s">
        <v>25</v>
      </c>
      <c r="N204" t="s">
        <v>16894</v>
      </c>
      <c r="S204" t="s">
        <v>6322</v>
      </c>
      <c r="T204" t="s">
        <v>16884</v>
      </c>
      <c r="U204" t="s">
        <v>4559</v>
      </c>
      <c r="V204" t="s">
        <v>16896</v>
      </c>
    </row>
    <row r="205" spans="1:23">
      <c r="A205" t="s">
        <v>16885</v>
      </c>
      <c r="B205" t="s">
        <v>16886</v>
      </c>
      <c r="C205" t="s">
        <v>16889</v>
      </c>
      <c r="D205" t="s">
        <v>6322</v>
      </c>
      <c r="E205" t="s">
        <v>16875</v>
      </c>
      <c r="F205" t="s">
        <v>7015</v>
      </c>
      <c r="G205" t="s">
        <v>16890</v>
      </c>
      <c r="H205" t="s">
        <v>10703</v>
      </c>
      <c r="I205" t="s">
        <v>16892</v>
      </c>
      <c r="J205" t="s">
        <v>16893</v>
      </c>
      <c r="K205" t="s">
        <v>6322</v>
      </c>
      <c r="L205" t="s">
        <v>16885</v>
      </c>
      <c r="M205" t="s">
        <v>25</v>
      </c>
      <c r="N205" t="s">
        <v>16895</v>
      </c>
      <c r="S205" t="s">
        <v>6322</v>
      </c>
      <c r="T205" t="s">
        <v>16885</v>
      </c>
      <c r="U205" t="s">
        <v>4559</v>
      </c>
      <c r="V205" t="s">
        <v>16897</v>
      </c>
    </row>
    <row r="206" spans="1:23">
      <c r="A206" t="s">
        <v>16899</v>
      </c>
      <c r="B206" t="s">
        <v>16899</v>
      </c>
      <c r="C206" t="s">
        <v>16900</v>
      </c>
      <c r="D206" t="s">
        <v>16901</v>
      </c>
      <c r="E206" t="s">
        <v>16902</v>
      </c>
      <c r="F206" t="s">
        <v>2655</v>
      </c>
      <c r="G206" t="s">
        <v>16903</v>
      </c>
      <c r="H206" t="s">
        <v>6243</v>
      </c>
      <c r="I206" t="s">
        <v>16898</v>
      </c>
      <c r="J206" t="s">
        <v>16904</v>
      </c>
      <c r="K206" t="s">
        <v>16901</v>
      </c>
      <c r="L206" t="s">
        <v>16905</v>
      </c>
      <c r="M206" t="s">
        <v>25</v>
      </c>
      <c r="N206" t="s">
        <v>16906</v>
      </c>
      <c r="S206" t="s">
        <v>16901</v>
      </c>
      <c r="T206" t="s">
        <v>16905</v>
      </c>
      <c r="U206" t="s">
        <v>4559</v>
      </c>
      <c r="V206" t="s">
        <v>16907</v>
      </c>
    </row>
    <row r="207" spans="1:23">
      <c r="A207" t="s">
        <v>16908</v>
      </c>
      <c r="B207" t="s">
        <v>16908</v>
      </c>
      <c r="C207" t="s">
        <v>16911</v>
      </c>
      <c r="D207" t="s">
        <v>6322</v>
      </c>
      <c r="E207" t="s">
        <v>6236</v>
      </c>
      <c r="F207" t="s">
        <v>2655</v>
      </c>
      <c r="G207" t="s">
        <v>16914</v>
      </c>
      <c r="H207" t="s">
        <v>4377</v>
      </c>
      <c r="I207" t="s">
        <v>10880</v>
      </c>
      <c r="J207" t="s">
        <v>16912</v>
      </c>
      <c r="K207" t="s">
        <v>6322</v>
      </c>
      <c r="L207" t="s">
        <v>16917</v>
      </c>
      <c r="M207" t="s">
        <v>25</v>
      </c>
      <c r="N207" t="s">
        <v>16916</v>
      </c>
    </row>
    <row r="208" spans="1:23">
      <c r="A208" t="s">
        <v>16909</v>
      </c>
      <c r="B208" t="s">
        <v>16909</v>
      </c>
      <c r="C208" t="s">
        <v>16911</v>
      </c>
      <c r="D208" t="s">
        <v>6322</v>
      </c>
      <c r="E208" t="s">
        <v>6335</v>
      </c>
      <c r="F208" t="s">
        <v>2655</v>
      </c>
      <c r="G208" t="s">
        <v>16914</v>
      </c>
      <c r="H208" t="s">
        <v>4377</v>
      </c>
      <c r="I208" t="s">
        <v>11072</v>
      </c>
      <c r="J208" t="s">
        <v>16912</v>
      </c>
      <c r="K208" t="s">
        <v>6322</v>
      </c>
      <c r="L208" t="s">
        <v>16919</v>
      </c>
      <c r="M208" t="s">
        <v>25</v>
      </c>
      <c r="N208" t="s">
        <v>16918</v>
      </c>
      <c r="S208" t="s">
        <v>6322</v>
      </c>
      <c r="T208" t="s">
        <v>16924</v>
      </c>
      <c r="U208" t="s">
        <v>4559</v>
      </c>
      <c r="V208" t="s">
        <v>16923</v>
      </c>
    </row>
    <row r="209" spans="1:22">
      <c r="A209" t="s">
        <v>16910</v>
      </c>
      <c r="B209" t="s">
        <v>16910</v>
      </c>
      <c r="C209" t="s">
        <v>16911</v>
      </c>
      <c r="D209" t="s">
        <v>6322</v>
      </c>
      <c r="E209" t="s">
        <v>16922</v>
      </c>
      <c r="F209" t="s">
        <v>2655</v>
      </c>
      <c r="G209" t="s">
        <v>16913</v>
      </c>
      <c r="H209" t="s">
        <v>7975</v>
      </c>
      <c r="I209" t="s">
        <v>16915</v>
      </c>
      <c r="J209" t="s">
        <v>16912</v>
      </c>
      <c r="K209" t="s">
        <v>6322</v>
      </c>
      <c r="L209" t="s">
        <v>16921</v>
      </c>
      <c r="M209" t="s">
        <v>25</v>
      </c>
      <c r="N209" t="s">
        <v>16920</v>
      </c>
    </row>
    <row r="210" spans="1:22">
      <c r="A210" t="s">
        <v>16929</v>
      </c>
      <c r="B210" t="s">
        <v>16929</v>
      </c>
      <c r="C210" t="s">
        <v>16930</v>
      </c>
      <c r="D210" t="s">
        <v>16928</v>
      </c>
      <c r="E210" t="s">
        <v>16875</v>
      </c>
      <c r="F210" t="s">
        <v>18125</v>
      </c>
      <c r="G210" t="s">
        <v>16929</v>
      </c>
      <c r="H210" t="s">
        <v>10703</v>
      </c>
      <c r="I210" t="s">
        <v>16925</v>
      </c>
      <c r="J210" t="s">
        <v>16931</v>
      </c>
      <c r="K210" t="s">
        <v>16928</v>
      </c>
      <c r="L210" t="s">
        <v>16927</v>
      </c>
      <c r="M210" t="s">
        <v>25</v>
      </c>
      <c r="N210" t="s">
        <v>16926</v>
      </c>
    </row>
    <row r="211" spans="1:22">
      <c r="A211" t="s">
        <v>18078</v>
      </c>
      <c r="B211" t="s">
        <v>18078</v>
      </c>
      <c r="C211" t="s">
        <v>18079</v>
      </c>
      <c r="D211" t="s">
        <v>16928</v>
      </c>
      <c r="E211" t="s">
        <v>16875</v>
      </c>
      <c r="F211" t="s">
        <v>18125</v>
      </c>
      <c r="G211" t="s">
        <v>18078</v>
      </c>
      <c r="H211" t="s">
        <v>10703</v>
      </c>
      <c r="I211" t="s">
        <v>18080</v>
      </c>
      <c r="J211" t="s">
        <v>18081</v>
      </c>
      <c r="K211" t="s">
        <v>16928</v>
      </c>
      <c r="L211" t="s">
        <v>18077</v>
      </c>
      <c r="M211" t="s">
        <v>25</v>
      </c>
      <c r="N211" t="s">
        <v>18082</v>
      </c>
    </row>
    <row r="212" spans="1:22">
      <c r="A212" t="s">
        <v>16932</v>
      </c>
      <c r="B212" t="s">
        <v>16932</v>
      </c>
      <c r="C212" t="s">
        <v>16933</v>
      </c>
      <c r="D212" t="s">
        <v>6322</v>
      </c>
      <c r="E212" t="s">
        <v>4553</v>
      </c>
      <c r="F212" t="s">
        <v>2655</v>
      </c>
      <c r="G212" t="s">
        <v>16932</v>
      </c>
      <c r="H212" t="s">
        <v>4376</v>
      </c>
      <c r="I212" t="s">
        <v>8890</v>
      </c>
      <c r="J212" t="s">
        <v>16936</v>
      </c>
      <c r="K212" t="s">
        <v>6322</v>
      </c>
      <c r="L212" t="s">
        <v>16935</v>
      </c>
      <c r="M212" t="s">
        <v>25</v>
      </c>
      <c r="N212" t="s">
        <v>16934</v>
      </c>
    </row>
    <row r="213" spans="1:22">
      <c r="A213" t="s">
        <v>16945</v>
      </c>
      <c r="B213" t="s">
        <v>16945</v>
      </c>
      <c r="C213" t="s">
        <v>16981</v>
      </c>
      <c r="D213" t="s">
        <v>4517</v>
      </c>
      <c r="E213" t="s">
        <v>16875</v>
      </c>
      <c r="F213" t="s">
        <v>2655</v>
      </c>
      <c r="G213" t="s">
        <v>16995</v>
      </c>
      <c r="H213" t="s">
        <v>10703</v>
      </c>
      <c r="I213" t="s">
        <v>16996</v>
      </c>
      <c r="J213" t="s">
        <v>16997</v>
      </c>
      <c r="K213" t="s">
        <v>4517</v>
      </c>
      <c r="L213" t="s">
        <v>16945</v>
      </c>
      <c r="M213" t="s">
        <v>25</v>
      </c>
      <c r="N213" t="s">
        <v>16963</v>
      </c>
      <c r="S213" t="s">
        <v>4517</v>
      </c>
      <c r="T213" t="s">
        <v>16945</v>
      </c>
      <c r="U213" t="s">
        <v>4559</v>
      </c>
      <c r="V213" t="s">
        <v>17039</v>
      </c>
    </row>
    <row r="214" spans="1:22">
      <c r="A214" t="s">
        <v>16946</v>
      </c>
      <c r="B214" t="s">
        <v>16946</v>
      </c>
      <c r="C214" t="s">
        <v>16982</v>
      </c>
      <c r="D214" t="s">
        <v>4517</v>
      </c>
      <c r="E214" t="s">
        <v>16875</v>
      </c>
      <c r="F214" t="s">
        <v>2655</v>
      </c>
      <c r="G214" t="s">
        <v>16995</v>
      </c>
      <c r="H214" t="s">
        <v>10703</v>
      </c>
      <c r="I214" t="s">
        <v>16996</v>
      </c>
      <c r="J214" t="s">
        <v>16997</v>
      </c>
      <c r="K214" t="s">
        <v>4517</v>
      </c>
      <c r="L214" t="s">
        <v>16946</v>
      </c>
      <c r="M214" t="s">
        <v>25</v>
      </c>
      <c r="N214" t="s">
        <v>16964</v>
      </c>
      <c r="S214" t="s">
        <v>4517</v>
      </c>
      <c r="T214" t="s">
        <v>16946</v>
      </c>
      <c r="U214" t="s">
        <v>4559</v>
      </c>
      <c r="V214" t="s">
        <v>17040</v>
      </c>
    </row>
    <row r="215" spans="1:22">
      <c r="A215" t="s">
        <v>16947</v>
      </c>
      <c r="B215" t="s">
        <v>16947</v>
      </c>
      <c r="C215" t="s">
        <v>16983</v>
      </c>
      <c r="D215" t="s">
        <v>4517</v>
      </c>
      <c r="E215" t="s">
        <v>16875</v>
      </c>
      <c r="F215" t="s">
        <v>2655</v>
      </c>
      <c r="G215" t="s">
        <v>16995</v>
      </c>
      <c r="H215" t="s">
        <v>10703</v>
      </c>
      <c r="I215" t="s">
        <v>16996</v>
      </c>
      <c r="J215" t="s">
        <v>16997</v>
      </c>
      <c r="K215" t="s">
        <v>4517</v>
      </c>
      <c r="L215" t="s">
        <v>16947</v>
      </c>
      <c r="M215" t="s">
        <v>25</v>
      </c>
      <c r="N215" t="s">
        <v>16965</v>
      </c>
      <c r="S215" t="s">
        <v>4517</v>
      </c>
      <c r="T215" t="s">
        <v>16947</v>
      </c>
      <c r="U215" t="s">
        <v>4559</v>
      </c>
      <c r="V215" t="s">
        <v>17041</v>
      </c>
    </row>
    <row r="216" spans="1:22">
      <c r="A216" t="s">
        <v>16948</v>
      </c>
      <c r="B216" t="s">
        <v>16948</v>
      </c>
      <c r="C216" t="s">
        <v>16984</v>
      </c>
      <c r="D216" t="s">
        <v>4517</v>
      </c>
      <c r="E216" t="s">
        <v>16875</v>
      </c>
      <c r="F216" t="s">
        <v>2655</v>
      </c>
      <c r="G216" t="s">
        <v>16995</v>
      </c>
      <c r="H216" t="s">
        <v>10703</v>
      </c>
      <c r="I216" t="s">
        <v>16996</v>
      </c>
      <c r="J216" t="s">
        <v>16997</v>
      </c>
      <c r="K216" t="s">
        <v>4517</v>
      </c>
      <c r="L216" t="s">
        <v>16948</v>
      </c>
      <c r="M216" t="s">
        <v>25</v>
      </c>
      <c r="N216" t="s">
        <v>16966</v>
      </c>
      <c r="S216" t="s">
        <v>4517</v>
      </c>
      <c r="T216" t="s">
        <v>16948</v>
      </c>
      <c r="U216" t="s">
        <v>4559</v>
      </c>
      <c r="V216" t="s">
        <v>17042</v>
      </c>
    </row>
    <row r="217" spans="1:22">
      <c r="A217" t="s">
        <v>16949</v>
      </c>
      <c r="B217" t="s">
        <v>16949</v>
      </c>
      <c r="C217" t="s">
        <v>16985</v>
      </c>
      <c r="D217" t="s">
        <v>4517</v>
      </c>
      <c r="E217" t="s">
        <v>16875</v>
      </c>
      <c r="F217" t="s">
        <v>2655</v>
      </c>
      <c r="G217" t="s">
        <v>16995</v>
      </c>
      <c r="H217" t="s">
        <v>10703</v>
      </c>
      <c r="I217" t="s">
        <v>16996</v>
      </c>
      <c r="J217" t="s">
        <v>16997</v>
      </c>
      <c r="K217" t="s">
        <v>4517</v>
      </c>
      <c r="L217" t="s">
        <v>16949</v>
      </c>
      <c r="M217" t="s">
        <v>25</v>
      </c>
      <c r="N217" t="s">
        <v>16967</v>
      </c>
      <c r="S217" t="s">
        <v>4517</v>
      </c>
      <c r="T217" t="s">
        <v>16949</v>
      </c>
      <c r="U217" t="s">
        <v>4559</v>
      </c>
      <c r="V217" t="s">
        <v>17043</v>
      </c>
    </row>
    <row r="218" spans="1:22">
      <c r="A218" t="s">
        <v>16950</v>
      </c>
      <c r="B218" t="s">
        <v>16950</v>
      </c>
      <c r="C218" t="s">
        <v>16986</v>
      </c>
      <c r="D218" t="s">
        <v>4517</v>
      </c>
      <c r="E218" t="s">
        <v>16875</v>
      </c>
      <c r="F218" t="s">
        <v>2655</v>
      </c>
      <c r="G218" t="s">
        <v>16995</v>
      </c>
      <c r="H218" t="s">
        <v>10703</v>
      </c>
      <c r="I218" t="s">
        <v>16996</v>
      </c>
      <c r="J218" t="s">
        <v>16997</v>
      </c>
      <c r="K218" t="s">
        <v>4517</v>
      </c>
      <c r="L218" t="s">
        <v>16950</v>
      </c>
      <c r="M218" t="s">
        <v>25</v>
      </c>
      <c r="N218" t="s">
        <v>16968</v>
      </c>
      <c r="S218" t="s">
        <v>4517</v>
      </c>
      <c r="T218" t="s">
        <v>16950</v>
      </c>
      <c r="U218" t="s">
        <v>4559</v>
      </c>
      <c r="V218" t="s">
        <v>17044</v>
      </c>
    </row>
    <row r="219" spans="1:22">
      <c r="A219" t="s">
        <v>16951</v>
      </c>
      <c r="B219" t="s">
        <v>16951</v>
      </c>
      <c r="C219" t="s">
        <v>16987</v>
      </c>
      <c r="D219" t="s">
        <v>4517</v>
      </c>
      <c r="E219" t="s">
        <v>16875</v>
      </c>
      <c r="F219" t="s">
        <v>2655</v>
      </c>
      <c r="G219" t="s">
        <v>16995</v>
      </c>
      <c r="H219" t="s">
        <v>10703</v>
      </c>
      <c r="I219" t="s">
        <v>16996</v>
      </c>
      <c r="J219" t="s">
        <v>16997</v>
      </c>
      <c r="K219" t="s">
        <v>4517</v>
      </c>
      <c r="L219" t="s">
        <v>16951</v>
      </c>
      <c r="M219" t="s">
        <v>25</v>
      </c>
      <c r="N219" t="s">
        <v>16969</v>
      </c>
      <c r="S219" t="s">
        <v>4517</v>
      </c>
      <c r="T219" t="s">
        <v>16951</v>
      </c>
      <c r="U219" t="s">
        <v>4559</v>
      </c>
      <c r="V219" t="s">
        <v>17045</v>
      </c>
    </row>
    <row r="220" spans="1:22">
      <c r="A220" t="s">
        <v>16952</v>
      </c>
      <c r="B220" t="s">
        <v>16952</v>
      </c>
      <c r="C220" t="s">
        <v>16988</v>
      </c>
      <c r="D220" t="s">
        <v>4517</v>
      </c>
      <c r="E220" t="s">
        <v>16875</v>
      </c>
      <c r="F220" t="s">
        <v>2655</v>
      </c>
      <c r="G220" t="s">
        <v>16995</v>
      </c>
      <c r="H220" t="s">
        <v>10703</v>
      </c>
      <c r="I220" t="s">
        <v>16996</v>
      </c>
      <c r="J220" t="s">
        <v>16997</v>
      </c>
      <c r="K220" t="s">
        <v>4517</v>
      </c>
      <c r="L220" t="s">
        <v>16952</v>
      </c>
      <c r="M220" t="s">
        <v>25</v>
      </c>
      <c r="N220" t="s">
        <v>16970</v>
      </c>
      <c r="S220" t="s">
        <v>4517</v>
      </c>
      <c r="T220" t="s">
        <v>16952</v>
      </c>
      <c r="U220" t="s">
        <v>4559</v>
      </c>
      <c r="V220" t="s">
        <v>17046</v>
      </c>
    </row>
    <row r="221" spans="1:22">
      <c r="A221" t="s">
        <v>16953</v>
      </c>
      <c r="B221" t="s">
        <v>16953</v>
      </c>
      <c r="C221" t="s">
        <v>16989</v>
      </c>
      <c r="D221" t="s">
        <v>4517</v>
      </c>
      <c r="E221" t="s">
        <v>16875</v>
      </c>
      <c r="F221" t="s">
        <v>2655</v>
      </c>
      <c r="G221" t="s">
        <v>16995</v>
      </c>
      <c r="H221" t="s">
        <v>10703</v>
      </c>
      <c r="I221" t="s">
        <v>16996</v>
      </c>
      <c r="J221" t="s">
        <v>16997</v>
      </c>
      <c r="K221" t="s">
        <v>4517</v>
      </c>
      <c r="L221" t="s">
        <v>16953</v>
      </c>
      <c r="M221" t="s">
        <v>25</v>
      </c>
      <c r="N221" t="s">
        <v>16971</v>
      </c>
      <c r="S221" t="s">
        <v>4517</v>
      </c>
      <c r="T221" t="s">
        <v>16953</v>
      </c>
      <c r="U221" t="s">
        <v>4559</v>
      </c>
      <c r="V221" t="s">
        <v>17047</v>
      </c>
    </row>
    <row r="222" spans="1:22">
      <c r="A222" t="s">
        <v>16954</v>
      </c>
      <c r="B222" t="s">
        <v>16954</v>
      </c>
      <c r="C222" t="s">
        <v>16990</v>
      </c>
      <c r="D222" t="s">
        <v>4517</v>
      </c>
      <c r="E222" t="s">
        <v>16875</v>
      </c>
      <c r="F222" t="s">
        <v>2655</v>
      </c>
      <c r="G222" t="s">
        <v>16995</v>
      </c>
      <c r="H222" t="s">
        <v>10703</v>
      </c>
      <c r="I222" t="s">
        <v>16996</v>
      </c>
      <c r="J222" t="s">
        <v>16997</v>
      </c>
      <c r="K222" t="s">
        <v>4517</v>
      </c>
      <c r="L222" t="s">
        <v>16954</v>
      </c>
      <c r="M222" t="s">
        <v>25</v>
      </c>
      <c r="N222" t="s">
        <v>16972</v>
      </c>
      <c r="S222" t="s">
        <v>4517</v>
      </c>
      <c r="T222" t="s">
        <v>16954</v>
      </c>
      <c r="U222" t="s">
        <v>4559</v>
      </c>
      <c r="V222" t="s">
        <v>17048</v>
      </c>
    </row>
    <row r="223" spans="1:22">
      <c r="A223" t="s">
        <v>16955</v>
      </c>
      <c r="B223" t="s">
        <v>16955</v>
      </c>
      <c r="C223" t="s">
        <v>16986</v>
      </c>
      <c r="D223" t="s">
        <v>4517</v>
      </c>
      <c r="E223" t="s">
        <v>16875</v>
      </c>
      <c r="F223" t="s">
        <v>2655</v>
      </c>
      <c r="G223" t="s">
        <v>16995</v>
      </c>
      <c r="H223" t="s">
        <v>10703</v>
      </c>
      <c r="I223" t="s">
        <v>16996</v>
      </c>
      <c r="J223" t="s">
        <v>16997</v>
      </c>
      <c r="K223" t="s">
        <v>4517</v>
      </c>
      <c r="L223" t="s">
        <v>16955</v>
      </c>
      <c r="M223" t="s">
        <v>25</v>
      </c>
      <c r="N223" t="s">
        <v>16973</v>
      </c>
    </row>
    <row r="224" spans="1:22">
      <c r="A224" t="s">
        <v>16956</v>
      </c>
      <c r="B224" t="s">
        <v>16956</v>
      </c>
      <c r="C224" t="s">
        <v>16991</v>
      </c>
      <c r="D224" t="s">
        <v>4517</v>
      </c>
      <c r="E224" t="s">
        <v>16875</v>
      </c>
      <c r="F224" t="s">
        <v>2655</v>
      </c>
      <c r="G224" t="s">
        <v>16995</v>
      </c>
      <c r="H224" t="s">
        <v>10703</v>
      </c>
      <c r="I224" t="s">
        <v>16996</v>
      </c>
      <c r="J224" t="s">
        <v>16997</v>
      </c>
      <c r="K224" t="s">
        <v>4517</v>
      </c>
      <c r="L224" t="s">
        <v>16956</v>
      </c>
      <c r="M224" t="s">
        <v>25</v>
      </c>
      <c r="N224" t="s">
        <v>16974</v>
      </c>
    </row>
    <row r="225" spans="1:22">
      <c r="A225" t="s">
        <v>16957</v>
      </c>
      <c r="B225" t="s">
        <v>16957</v>
      </c>
      <c r="C225" t="s">
        <v>16984</v>
      </c>
      <c r="D225" t="s">
        <v>4517</v>
      </c>
      <c r="E225" t="s">
        <v>16875</v>
      </c>
      <c r="F225" t="s">
        <v>2655</v>
      </c>
      <c r="G225" t="s">
        <v>16995</v>
      </c>
      <c r="H225" t="s">
        <v>10703</v>
      </c>
      <c r="I225" t="s">
        <v>16996</v>
      </c>
      <c r="J225" t="s">
        <v>16997</v>
      </c>
      <c r="K225" t="s">
        <v>4517</v>
      </c>
      <c r="L225" t="s">
        <v>16957</v>
      </c>
      <c r="M225" t="s">
        <v>25</v>
      </c>
      <c r="N225" t="s">
        <v>16975</v>
      </c>
    </row>
    <row r="226" spans="1:22">
      <c r="A226" t="s">
        <v>16958</v>
      </c>
      <c r="B226" t="s">
        <v>16958</v>
      </c>
      <c r="C226" t="s">
        <v>16992</v>
      </c>
      <c r="D226" t="s">
        <v>4517</v>
      </c>
      <c r="E226" t="s">
        <v>16875</v>
      </c>
      <c r="F226" t="s">
        <v>2655</v>
      </c>
      <c r="G226" t="s">
        <v>16995</v>
      </c>
      <c r="H226" t="s">
        <v>10703</v>
      </c>
      <c r="I226" t="s">
        <v>16996</v>
      </c>
      <c r="J226" t="s">
        <v>16997</v>
      </c>
      <c r="K226" t="s">
        <v>4517</v>
      </c>
      <c r="L226" t="s">
        <v>16958</v>
      </c>
      <c r="M226" t="s">
        <v>25</v>
      </c>
      <c r="N226" t="s">
        <v>16976</v>
      </c>
    </row>
    <row r="227" spans="1:22">
      <c r="A227" t="s">
        <v>16959</v>
      </c>
      <c r="B227" t="s">
        <v>16959</v>
      </c>
      <c r="C227" t="s">
        <v>16993</v>
      </c>
      <c r="D227" t="s">
        <v>4517</v>
      </c>
      <c r="E227" t="s">
        <v>16875</v>
      </c>
      <c r="F227" t="s">
        <v>2655</v>
      </c>
      <c r="G227" t="s">
        <v>16995</v>
      </c>
      <c r="H227" t="s">
        <v>10703</v>
      </c>
      <c r="I227" t="s">
        <v>16996</v>
      </c>
      <c r="J227" t="s">
        <v>16997</v>
      </c>
      <c r="K227" t="s">
        <v>4517</v>
      </c>
      <c r="L227" t="s">
        <v>16959</v>
      </c>
      <c r="M227" t="s">
        <v>25</v>
      </c>
      <c r="N227" t="s">
        <v>16977</v>
      </c>
      <c r="S227" t="s">
        <v>4517</v>
      </c>
      <c r="T227" t="s">
        <v>16959</v>
      </c>
      <c r="U227" t="s">
        <v>4559</v>
      </c>
      <c r="V227" t="s">
        <v>17049</v>
      </c>
    </row>
    <row r="228" spans="1:22">
      <c r="A228" t="s">
        <v>16960</v>
      </c>
      <c r="B228" t="s">
        <v>16960</v>
      </c>
      <c r="C228" t="s">
        <v>16994</v>
      </c>
      <c r="D228" t="s">
        <v>4517</v>
      </c>
      <c r="E228" t="s">
        <v>16875</v>
      </c>
      <c r="F228" t="s">
        <v>2655</v>
      </c>
      <c r="G228" t="s">
        <v>16995</v>
      </c>
      <c r="H228" t="s">
        <v>10703</v>
      </c>
      <c r="I228" t="s">
        <v>16996</v>
      </c>
      <c r="J228" t="s">
        <v>16997</v>
      </c>
      <c r="K228" t="s">
        <v>4517</v>
      </c>
      <c r="L228" t="s">
        <v>16960</v>
      </c>
      <c r="M228" t="s">
        <v>25</v>
      </c>
      <c r="N228" t="s">
        <v>16978</v>
      </c>
      <c r="S228" t="s">
        <v>4517</v>
      </c>
      <c r="T228" t="s">
        <v>16960</v>
      </c>
      <c r="U228" t="s">
        <v>4559</v>
      </c>
      <c r="V228" t="s">
        <v>17050</v>
      </c>
    </row>
    <row r="229" spans="1:22">
      <c r="A229" t="s">
        <v>16961</v>
      </c>
      <c r="B229" t="s">
        <v>16961</v>
      </c>
      <c r="C229" t="s">
        <v>16983</v>
      </c>
      <c r="D229" t="s">
        <v>4517</v>
      </c>
      <c r="E229" t="s">
        <v>16875</v>
      </c>
      <c r="F229" t="s">
        <v>2655</v>
      </c>
      <c r="G229" t="s">
        <v>16995</v>
      </c>
      <c r="H229" t="s">
        <v>10703</v>
      </c>
      <c r="I229" t="s">
        <v>16996</v>
      </c>
      <c r="J229" t="s">
        <v>16997</v>
      </c>
      <c r="K229" t="s">
        <v>4517</v>
      </c>
      <c r="L229" t="s">
        <v>16961</v>
      </c>
      <c r="M229" t="s">
        <v>25</v>
      </c>
      <c r="N229" t="s">
        <v>16979</v>
      </c>
      <c r="S229" t="s">
        <v>4517</v>
      </c>
      <c r="T229" t="s">
        <v>16961</v>
      </c>
      <c r="U229" t="s">
        <v>4559</v>
      </c>
      <c r="V229" t="s">
        <v>17051</v>
      </c>
    </row>
    <row r="230" spans="1:22">
      <c r="A230" t="s">
        <v>16962</v>
      </c>
      <c r="B230" t="s">
        <v>16962</v>
      </c>
      <c r="C230" t="s">
        <v>16981</v>
      </c>
      <c r="D230" t="s">
        <v>4517</v>
      </c>
      <c r="E230" t="s">
        <v>16875</v>
      </c>
      <c r="F230" t="s">
        <v>2655</v>
      </c>
      <c r="G230" t="s">
        <v>16995</v>
      </c>
      <c r="H230" t="s">
        <v>10703</v>
      </c>
      <c r="I230" t="s">
        <v>16996</v>
      </c>
      <c r="J230" t="s">
        <v>16997</v>
      </c>
      <c r="K230" t="s">
        <v>4517</v>
      </c>
      <c r="L230" t="s">
        <v>16962</v>
      </c>
      <c r="M230" t="s">
        <v>25</v>
      </c>
      <c r="N230" t="s">
        <v>16980</v>
      </c>
      <c r="S230" t="s">
        <v>4517</v>
      </c>
      <c r="T230" t="s">
        <v>16962</v>
      </c>
      <c r="U230" t="s">
        <v>4559</v>
      </c>
      <c r="V230" t="s">
        <v>17052</v>
      </c>
    </row>
    <row r="231" spans="1:22">
      <c r="A231" t="s">
        <v>17023</v>
      </c>
      <c r="B231" t="s">
        <v>17023</v>
      </c>
      <c r="C231" t="s">
        <v>17015</v>
      </c>
      <c r="D231" t="s">
        <v>4517</v>
      </c>
      <c r="E231" t="s">
        <v>17031</v>
      </c>
      <c r="F231" t="s">
        <v>2655</v>
      </c>
      <c r="G231" t="s">
        <v>17032</v>
      </c>
      <c r="H231" t="s">
        <v>6243</v>
      </c>
      <c r="I231" t="s">
        <v>17033</v>
      </c>
      <c r="J231" t="s">
        <v>16998</v>
      </c>
      <c r="K231" t="s">
        <v>4517</v>
      </c>
      <c r="L231" t="s">
        <v>16999</v>
      </c>
      <c r="M231" t="s">
        <v>25</v>
      </c>
      <c r="N231" t="s">
        <v>17007</v>
      </c>
      <c r="S231" t="s">
        <v>4517</v>
      </c>
      <c r="T231" t="s">
        <v>16999</v>
      </c>
      <c r="U231" t="s">
        <v>4559</v>
      </c>
      <c r="V231" t="s">
        <v>17034</v>
      </c>
    </row>
    <row r="232" spans="1:22">
      <c r="A232" t="s">
        <v>17024</v>
      </c>
      <c r="B232" t="s">
        <v>17024</v>
      </c>
      <c r="C232" t="s">
        <v>17016</v>
      </c>
      <c r="D232" t="s">
        <v>4517</v>
      </c>
      <c r="E232" t="s">
        <v>17031</v>
      </c>
      <c r="F232" t="s">
        <v>2655</v>
      </c>
      <c r="G232" t="s">
        <v>17032</v>
      </c>
      <c r="H232" t="s">
        <v>6243</v>
      </c>
      <c r="I232" t="s">
        <v>17033</v>
      </c>
      <c r="J232" t="s">
        <v>16998</v>
      </c>
      <c r="K232" t="s">
        <v>4517</v>
      </c>
      <c r="L232" t="s">
        <v>17000</v>
      </c>
      <c r="M232" t="s">
        <v>25</v>
      </c>
      <c r="N232" t="s">
        <v>17008</v>
      </c>
      <c r="S232" t="s">
        <v>4517</v>
      </c>
      <c r="T232" t="s">
        <v>17000</v>
      </c>
      <c r="U232" t="s">
        <v>4559</v>
      </c>
      <c r="V232" t="s">
        <v>17035</v>
      </c>
    </row>
    <row r="233" spans="1:22">
      <c r="A233" t="s">
        <v>17025</v>
      </c>
      <c r="B233" t="s">
        <v>17025</v>
      </c>
      <c r="C233" t="s">
        <v>17017</v>
      </c>
      <c r="D233" t="s">
        <v>4517</v>
      </c>
      <c r="E233" t="s">
        <v>17031</v>
      </c>
      <c r="F233" t="s">
        <v>2655</v>
      </c>
      <c r="G233" t="s">
        <v>17032</v>
      </c>
      <c r="H233" t="s">
        <v>6243</v>
      </c>
      <c r="I233" t="s">
        <v>17033</v>
      </c>
      <c r="J233" t="s">
        <v>16998</v>
      </c>
      <c r="K233" t="s">
        <v>4517</v>
      </c>
      <c r="L233" t="s">
        <v>17001</v>
      </c>
      <c r="M233" t="s">
        <v>25</v>
      </c>
      <c r="N233" t="s">
        <v>17009</v>
      </c>
    </row>
    <row r="234" spans="1:22">
      <c r="A234" t="s">
        <v>17026</v>
      </c>
      <c r="B234" t="s">
        <v>17026</v>
      </c>
      <c r="C234" t="s">
        <v>17018</v>
      </c>
      <c r="D234" t="s">
        <v>4517</v>
      </c>
      <c r="E234" t="s">
        <v>17031</v>
      </c>
      <c r="F234" t="s">
        <v>2655</v>
      </c>
      <c r="G234" t="s">
        <v>17032</v>
      </c>
      <c r="H234" t="s">
        <v>6243</v>
      </c>
      <c r="I234" t="s">
        <v>17033</v>
      </c>
      <c r="J234" t="s">
        <v>16998</v>
      </c>
      <c r="K234" t="s">
        <v>4517</v>
      </c>
      <c r="L234" t="s">
        <v>17002</v>
      </c>
      <c r="M234" t="s">
        <v>25</v>
      </c>
      <c r="N234" t="s">
        <v>17010</v>
      </c>
      <c r="S234" t="s">
        <v>4517</v>
      </c>
      <c r="T234" t="s">
        <v>17002</v>
      </c>
      <c r="U234" t="s">
        <v>4559</v>
      </c>
      <c r="V234" t="s">
        <v>17036</v>
      </c>
    </row>
    <row r="235" spans="1:22">
      <c r="A235" t="s">
        <v>17027</v>
      </c>
      <c r="B235" t="s">
        <v>17027</v>
      </c>
      <c r="C235" t="s">
        <v>17019</v>
      </c>
      <c r="D235" t="s">
        <v>4517</v>
      </c>
      <c r="E235" t="s">
        <v>17031</v>
      </c>
      <c r="F235" t="s">
        <v>2655</v>
      </c>
      <c r="G235" t="s">
        <v>17032</v>
      </c>
      <c r="H235" t="s">
        <v>6243</v>
      </c>
      <c r="I235" t="s">
        <v>17033</v>
      </c>
      <c r="J235" t="s">
        <v>16998</v>
      </c>
      <c r="K235" t="s">
        <v>4517</v>
      </c>
      <c r="L235" t="s">
        <v>17003</v>
      </c>
      <c r="M235" t="s">
        <v>25</v>
      </c>
      <c r="N235" t="s">
        <v>17011</v>
      </c>
    </row>
    <row r="236" spans="1:22">
      <c r="A236" t="s">
        <v>17028</v>
      </c>
      <c r="B236" t="s">
        <v>17028</v>
      </c>
      <c r="C236" t="s">
        <v>17020</v>
      </c>
      <c r="D236" t="s">
        <v>4517</v>
      </c>
      <c r="E236" t="s">
        <v>17031</v>
      </c>
      <c r="F236" t="s">
        <v>2655</v>
      </c>
      <c r="G236" t="s">
        <v>17032</v>
      </c>
      <c r="H236" t="s">
        <v>6243</v>
      </c>
      <c r="I236" t="s">
        <v>17033</v>
      </c>
      <c r="J236" t="s">
        <v>16998</v>
      </c>
      <c r="K236" t="s">
        <v>4517</v>
      </c>
      <c r="L236" t="s">
        <v>17004</v>
      </c>
      <c r="M236" t="s">
        <v>25</v>
      </c>
      <c r="N236" t="s">
        <v>17012</v>
      </c>
      <c r="S236" t="s">
        <v>4517</v>
      </c>
      <c r="T236" t="s">
        <v>17004</v>
      </c>
      <c r="U236" t="s">
        <v>4559</v>
      </c>
      <c r="V236" t="s">
        <v>17038</v>
      </c>
    </row>
    <row r="237" spans="1:22">
      <c r="A237" t="s">
        <v>17029</v>
      </c>
      <c r="B237" t="s">
        <v>17029</v>
      </c>
      <c r="C237" t="s">
        <v>17021</v>
      </c>
      <c r="D237" t="s">
        <v>4517</v>
      </c>
      <c r="E237" t="s">
        <v>17031</v>
      </c>
      <c r="F237" t="s">
        <v>2655</v>
      </c>
      <c r="G237" t="s">
        <v>17032</v>
      </c>
      <c r="H237" t="s">
        <v>6243</v>
      </c>
      <c r="I237" t="s">
        <v>17033</v>
      </c>
      <c r="J237" t="s">
        <v>16998</v>
      </c>
      <c r="K237" t="s">
        <v>4517</v>
      </c>
      <c r="L237" t="s">
        <v>17005</v>
      </c>
      <c r="M237" t="s">
        <v>25</v>
      </c>
      <c r="N237" t="s">
        <v>17013</v>
      </c>
    </row>
    <row r="238" spans="1:22">
      <c r="A238" t="s">
        <v>17030</v>
      </c>
      <c r="B238" t="s">
        <v>17030</v>
      </c>
      <c r="C238" t="s">
        <v>17022</v>
      </c>
      <c r="D238" t="s">
        <v>4517</v>
      </c>
      <c r="E238" t="s">
        <v>17031</v>
      </c>
      <c r="F238" t="s">
        <v>2655</v>
      </c>
      <c r="G238" t="s">
        <v>17032</v>
      </c>
      <c r="H238" t="s">
        <v>6243</v>
      </c>
      <c r="I238" t="s">
        <v>17033</v>
      </c>
      <c r="J238" t="s">
        <v>16998</v>
      </c>
      <c r="K238" t="s">
        <v>4517</v>
      </c>
      <c r="L238" t="s">
        <v>17006</v>
      </c>
      <c r="M238" t="s">
        <v>25</v>
      </c>
      <c r="N238" t="s">
        <v>17014</v>
      </c>
      <c r="S238" t="s">
        <v>4517</v>
      </c>
      <c r="T238" t="s">
        <v>17006</v>
      </c>
      <c r="U238" t="s">
        <v>4559</v>
      </c>
      <c r="V238" t="s">
        <v>17037</v>
      </c>
    </row>
    <row r="239" spans="1:22">
      <c r="A239" t="s">
        <v>18048</v>
      </c>
      <c r="B239" t="s">
        <v>18048</v>
      </c>
      <c r="C239" t="s">
        <v>18057</v>
      </c>
      <c r="D239" t="s">
        <v>4517</v>
      </c>
      <c r="E239" t="s">
        <v>18066</v>
      </c>
      <c r="F239" t="s">
        <v>2655</v>
      </c>
      <c r="G239" t="s">
        <v>18047</v>
      </c>
      <c r="H239" t="s">
        <v>6741</v>
      </c>
      <c r="I239" t="s">
        <v>18045</v>
      </c>
      <c r="J239" t="s">
        <v>18046</v>
      </c>
      <c r="K239" t="s">
        <v>4517</v>
      </c>
      <c r="L239" t="s">
        <v>18068</v>
      </c>
      <c r="M239" t="s">
        <v>25</v>
      </c>
      <c r="N239" t="s">
        <v>18067</v>
      </c>
    </row>
    <row r="240" spans="1:22">
      <c r="A240" t="s">
        <v>18049</v>
      </c>
      <c r="B240" t="s">
        <v>18049</v>
      </c>
      <c r="C240" t="s">
        <v>18058</v>
      </c>
      <c r="D240" t="s">
        <v>4517</v>
      </c>
      <c r="E240" t="s">
        <v>18066</v>
      </c>
      <c r="F240" t="s">
        <v>2655</v>
      </c>
      <c r="G240" t="s">
        <v>18047</v>
      </c>
      <c r="H240" t="s">
        <v>6741</v>
      </c>
      <c r="I240" t="s">
        <v>18045</v>
      </c>
      <c r="J240" t="s">
        <v>18046</v>
      </c>
      <c r="K240" t="s">
        <v>4517</v>
      </c>
      <c r="L240" t="s">
        <v>18070</v>
      </c>
      <c r="M240" t="s">
        <v>25</v>
      </c>
      <c r="N240" t="s">
        <v>18069</v>
      </c>
    </row>
    <row r="241" spans="1:14">
      <c r="A241" t="s">
        <v>18050</v>
      </c>
      <c r="B241" t="s">
        <v>18050</v>
      </c>
      <c r="C241" t="s">
        <v>18059</v>
      </c>
      <c r="D241" t="s">
        <v>4517</v>
      </c>
      <c r="E241" t="s">
        <v>18066</v>
      </c>
      <c r="F241" t="s">
        <v>2655</v>
      </c>
      <c r="G241" t="s">
        <v>18047</v>
      </c>
      <c r="H241" t="s">
        <v>6741</v>
      </c>
      <c r="I241" t="s">
        <v>18045</v>
      </c>
      <c r="J241" t="s">
        <v>18046</v>
      </c>
      <c r="K241" t="s">
        <v>4517</v>
      </c>
      <c r="L241" t="s">
        <v>18072</v>
      </c>
      <c r="M241" t="s">
        <v>25</v>
      </c>
      <c r="N241" t="s">
        <v>18071</v>
      </c>
    </row>
    <row r="242" spans="1:14">
      <c r="A242" t="s">
        <v>18051</v>
      </c>
      <c r="B242" t="s">
        <v>18051</v>
      </c>
      <c r="C242" t="s">
        <v>18060</v>
      </c>
      <c r="D242" t="s">
        <v>4517</v>
      </c>
      <c r="E242" t="s">
        <v>18066</v>
      </c>
      <c r="F242" t="s">
        <v>2655</v>
      </c>
      <c r="G242" t="s">
        <v>18047</v>
      </c>
      <c r="H242" t="s">
        <v>6741</v>
      </c>
      <c r="I242" t="s">
        <v>18045</v>
      </c>
      <c r="J242" t="s">
        <v>18046</v>
      </c>
      <c r="K242" t="s">
        <v>4517</v>
      </c>
      <c r="L242" t="s">
        <v>18074</v>
      </c>
      <c r="M242" t="s">
        <v>25</v>
      </c>
      <c r="N242" t="s">
        <v>18073</v>
      </c>
    </row>
    <row r="243" spans="1:14">
      <c r="A243" t="s">
        <v>18052</v>
      </c>
      <c r="B243" t="s">
        <v>18052</v>
      </c>
      <c r="C243" t="s">
        <v>18061</v>
      </c>
      <c r="D243" t="s">
        <v>4517</v>
      </c>
      <c r="E243" t="s">
        <v>18066</v>
      </c>
      <c r="F243" t="s">
        <v>2655</v>
      </c>
      <c r="G243" t="s">
        <v>18047</v>
      </c>
      <c r="H243" t="s">
        <v>6741</v>
      </c>
      <c r="I243" t="s">
        <v>18045</v>
      </c>
      <c r="J243" t="s">
        <v>18046</v>
      </c>
      <c r="K243" t="s">
        <v>4517</v>
      </c>
      <c r="M243" t="s">
        <v>25</v>
      </c>
    </row>
    <row r="244" spans="1:14">
      <c r="A244" t="s">
        <v>18053</v>
      </c>
      <c r="B244" t="s">
        <v>18053</v>
      </c>
      <c r="C244" t="s">
        <v>18062</v>
      </c>
      <c r="D244" t="s">
        <v>4517</v>
      </c>
      <c r="E244" t="s">
        <v>18066</v>
      </c>
      <c r="F244" t="s">
        <v>2655</v>
      </c>
      <c r="G244" t="s">
        <v>18047</v>
      </c>
      <c r="H244" t="s">
        <v>6741</v>
      </c>
      <c r="I244" t="s">
        <v>18045</v>
      </c>
      <c r="J244" t="s">
        <v>18046</v>
      </c>
      <c r="K244" t="s">
        <v>4517</v>
      </c>
      <c r="M244" t="s">
        <v>25</v>
      </c>
    </row>
    <row r="245" spans="1:14">
      <c r="A245" t="s">
        <v>18054</v>
      </c>
      <c r="B245" t="s">
        <v>18054</v>
      </c>
      <c r="C245" t="s">
        <v>18063</v>
      </c>
      <c r="D245" t="s">
        <v>4517</v>
      </c>
      <c r="E245" t="s">
        <v>18066</v>
      </c>
      <c r="F245" t="s">
        <v>2655</v>
      </c>
      <c r="G245" t="s">
        <v>18047</v>
      </c>
      <c r="H245" t="s">
        <v>6741</v>
      </c>
      <c r="I245" t="s">
        <v>18045</v>
      </c>
      <c r="J245" t="s">
        <v>18046</v>
      </c>
      <c r="K245" t="s">
        <v>4517</v>
      </c>
      <c r="M245" t="s">
        <v>25</v>
      </c>
    </row>
    <row r="246" spans="1:14">
      <c r="A246" t="s">
        <v>18055</v>
      </c>
      <c r="B246" t="s">
        <v>18055</v>
      </c>
      <c r="C246" t="s">
        <v>18064</v>
      </c>
      <c r="D246" t="s">
        <v>4517</v>
      </c>
      <c r="E246" t="s">
        <v>18066</v>
      </c>
      <c r="F246" t="s">
        <v>2655</v>
      </c>
      <c r="G246" t="s">
        <v>18047</v>
      </c>
      <c r="H246" t="s">
        <v>6741</v>
      </c>
      <c r="I246" t="s">
        <v>18045</v>
      </c>
      <c r="J246" t="s">
        <v>18046</v>
      </c>
      <c r="K246" t="s">
        <v>4517</v>
      </c>
      <c r="M246" t="s">
        <v>25</v>
      </c>
    </row>
    <row r="247" spans="1:14">
      <c r="A247" t="s">
        <v>18056</v>
      </c>
      <c r="B247" t="s">
        <v>18056</v>
      </c>
      <c r="C247" t="s">
        <v>18065</v>
      </c>
      <c r="D247" t="s">
        <v>4517</v>
      </c>
      <c r="E247" t="s">
        <v>18066</v>
      </c>
      <c r="F247" t="s">
        <v>2655</v>
      </c>
      <c r="G247" t="s">
        <v>18047</v>
      </c>
      <c r="H247" t="s">
        <v>6741</v>
      </c>
      <c r="I247" t="s">
        <v>18045</v>
      </c>
      <c r="J247" t="s">
        <v>18046</v>
      </c>
      <c r="K247" t="s">
        <v>4517</v>
      </c>
      <c r="L247" t="s">
        <v>18076</v>
      </c>
      <c r="M247" t="s">
        <v>25</v>
      </c>
      <c r="N247" t="s">
        <v>18075</v>
      </c>
    </row>
    <row r="248" spans="1:14">
      <c r="A248" t="s">
        <v>18101</v>
      </c>
      <c r="B248" t="s">
        <v>18101</v>
      </c>
      <c r="C248" t="s">
        <v>18096</v>
      </c>
      <c r="D248" t="s">
        <v>4517</v>
      </c>
      <c r="E248" t="s">
        <v>18114</v>
      </c>
      <c r="F248" t="s">
        <v>2655</v>
      </c>
      <c r="G248" t="s">
        <v>6663</v>
      </c>
      <c r="H248" t="s">
        <v>4376</v>
      </c>
      <c r="I248" t="s">
        <v>18118</v>
      </c>
      <c r="J248" t="s">
        <v>18113</v>
      </c>
      <c r="K248" t="s">
        <v>4517</v>
      </c>
      <c r="L248" t="s">
        <v>6666</v>
      </c>
      <c r="M248" t="s">
        <v>25</v>
      </c>
      <c r="N248" t="s">
        <v>18107</v>
      </c>
    </row>
    <row r="249" spans="1:14">
      <c r="A249" t="s">
        <v>18102</v>
      </c>
      <c r="B249" t="s">
        <v>18102</v>
      </c>
      <c r="C249" t="s">
        <v>18097</v>
      </c>
      <c r="D249" t="s">
        <v>4517</v>
      </c>
      <c r="E249" t="s">
        <v>2656</v>
      </c>
      <c r="F249" t="s">
        <v>2655</v>
      </c>
      <c r="G249" t="s">
        <v>6663</v>
      </c>
      <c r="H249" t="s">
        <v>4376</v>
      </c>
      <c r="I249" t="s">
        <v>4789</v>
      </c>
      <c r="J249" t="s">
        <v>18113</v>
      </c>
      <c r="K249" t="s">
        <v>4517</v>
      </c>
      <c r="L249" t="s">
        <v>18091</v>
      </c>
      <c r="M249" t="s">
        <v>25</v>
      </c>
      <c r="N249" t="s">
        <v>18108</v>
      </c>
    </row>
    <row r="250" spans="1:14">
      <c r="A250" t="s">
        <v>18103</v>
      </c>
      <c r="B250" t="s">
        <v>18103</v>
      </c>
      <c r="C250" t="s">
        <v>18098</v>
      </c>
      <c r="D250" t="s">
        <v>4517</v>
      </c>
      <c r="E250" t="s">
        <v>18115</v>
      </c>
      <c r="F250" t="s">
        <v>2655</v>
      </c>
      <c r="G250" t="s">
        <v>6663</v>
      </c>
      <c r="H250" t="s">
        <v>6741</v>
      </c>
      <c r="I250" t="s">
        <v>18119</v>
      </c>
      <c r="J250" t="s">
        <v>18113</v>
      </c>
      <c r="K250" t="s">
        <v>4517</v>
      </c>
      <c r="L250" t="s">
        <v>18092</v>
      </c>
      <c r="M250" t="s">
        <v>25</v>
      </c>
      <c r="N250" t="s">
        <v>18109</v>
      </c>
    </row>
    <row r="251" spans="1:14">
      <c r="A251" t="s">
        <v>18104</v>
      </c>
      <c r="B251" t="s">
        <v>18104</v>
      </c>
      <c r="C251" t="s">
        <v>18099</v>
      </c>
      <c r="D251" t="s">
        <v>4517</v>
      </c>
      <c r="E251" t="s">
        <v>18116</v>
      </c>
      <c r="F251" t="s">
        <v>2655</v>
      </c>
      <c r="G251" t="s">
        <v>6663</v>
      </c>
      <c r="H251" t="s">
        <v>6741</v>
      </c>
      <c r="I251" s="39"/>
      <c r="J251" t="s">
        <v>18113</v>
      </c>
      <c r="K251" t="s">
        <v>4517</v>
      </c>
      <c r="L251" t="s">
        <v>18093</v>
      </c>
      <c r="M251" t="s">
        <v>25</v>
      </c>
      <c r="N251" t="s">
        <v>18110</v>
      </c>
    </row>
    <row r="252" spans="1:14">
      <c r="A252" t="s">
        <v>18106</v>
      </c>
      <c r="B252" t="s">
        <v>18106</v>
      </c>
      <c r="C252" t="s">
        <v>18098</v>
      </c>
      <c r="D252" t="s">
        <v>4517</v>
      </c>
      <c r="E252" t="s">
        <v>18115</v>
      </c>
      <c r="F252" t="s">
        <v>2655</v>
      </c>
      <c r="G252" t="s">
        <v>6663</v>
      </c>
      <c r="H252" t="s">
        <v>6741</v>
      </c>
      <c r="I252" t="s">
        <v>18120</v>
      </c>
      <c r="J252" t="s">
        <v>18113</v>
      </c>
      <c r="K252" t="s">
        <v>4517</v>
      </c>
      <c r="L252" t="s">
        <v>18094</v>
      </c>
      <c r="M252" t="s">
        <v>25</v>
      </c>
      <c r="N252" t="s">
        <v>18111</v>
      </c>
    </row>
    <row r="253" spans="1:14">
      <c r="A253" t="s">
        <v>18105</v>
      </c>
      <c r="B253" t="s">
        <v>18105</v>
      </c>
      <c r="C253" t="s">
        <v>18100</v>
      </c>
      <c r="D253" t="s">
        <v>4517</v>
      </c>
      <c r="E253" t="s">
        <v>18117</v>
      </c>
      <c r="F253" t="s">
        <v>2655</v>
      </c>
      <c r="G253" t="s">
        <v>6663</v>
      </c>
      <c r="H253" t="s">
        <v>4376</v>
      </c>
      <c r="I253" t="s">
        <v>18121</v>
      </c>
      <c r="J253" t="s">
        <v>18113</v>
      </c>
      <c r="K253" t="s">
        <v>4517</v>
      </c>
      <c r="L253" t="s">
        <v>18095</v>
      </c>
      <c r="M253" t="s">
        <v>25</v>
      </c>
      <c r="N253" t="s">
        <v>18112</v>
      </c>
    </row>
    <row r="254" spans="1:14">
      <c r="A254" t="s">
        <v>18129</v>
      </c>
      <c r="B254" t="s">
        <v>18129</v>
      </c>
      <c r="C254" t="s">
        <v>18128</v>
      </c>
      <c r="D254" t="s">
        <v>16928</v>
      </c>
      <c r="E254" t="s">
        <v>18127</v>
      </c>
      <c r="F254" t="s">
        <v>18125</v>
      </c>
      <c r="G254" t="s">
        <v>18126</v>
      </c>
      <c r="H254" t="s">
        <v>10703</v>
      </c>
      <c r="I254" t="s">
        <v>18124</v>
      </c>
      <c r="J254" t="s">
        <v>18123</v>
      </c>
      <c r="K254" t="s">
        <v>16928</v>
      </c>
      <c r="M254" t="s">
        <v>25</v>
      </c>
      <c r="N254" t="s">
        <v>18122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16268</v>
      </c>
      <c r="B2" t="s">
        <v>16269</v>
      </c>
      <c r="C2" t="s">
        <v>16270</v>
      </c>
      <c r="D2" t="s">
        <v>4479</v>
      </c>
      <c r="E2" s="14" t="s">
        <v>11613</v>
      </c>
      <c r="F2" t="s">
        <v>16253</v>
      </c>
      <c r="G2" s="17" t="str">
        <f>Config!$B$3</f>
        <v>SCH/R_IEC.SchLib</v>
      </c>
      <c r="H2" t="s">
        <v>16254</v>
      </c>
      <c r="I2" s="18" t="s">
        <v>16255</v>
      </c>
      <c r="J2" t="s">
        <v>16256</v>
      </c>
      <c r="M2" s="3">
        <v>800</v>
      </c>
      <c r="N2" t="s">
        <v>16257</v>
      </c>
      <c r="O2" t="s">
        <v>7506</v>
      </c>
      <c r="P2" t="s">
        <v>16258</v>
      </c>
      <c r="Q2" t="s">
        <v>25</v>
      </c>
      <c r="R2" t="s">
        <v>16259</v>
      </c>
      <c r="S2" t="s">
        <v>7506</v>
      </c>
      <c r="T2" t="s">
        <v>16260</v>
      </c>
      <c r="U2" t="s">
        <v>25</v>
      </c>
      <c r="V2" t="s">
        <v>16261</v>
      </c>
    </row>
    <row r="3" spans="1:28">
      <c r="A3" t="s">
        <v>16271</v>
      </c>
      <c r="B3" t="s">
        <v>16248</v>
      </c>
      <c r="C3" t="s">
        <v>16272</v>
      </c>
      <c r="D3" t="s">
        <v>4479</v>
      </c>
      <c r="E3" s="14" t="s">
        <v>11613</v>
      </c>
      <c r="F3" t="s">
        <v>14097</v>
      </c>
      <c r="G3" s="17" t="str">
        <f>Config!$B$3</f>
        <v>SCH/R_IEC.SchLib</v>
      </c>
      <c r="H3" t="s">
        <v>16254</v>
      </c>
      <c r="I3" s="18" t="s">
        <v>16255</v>
      </c>
      <c r="J3" t="s">
        <v>16256</v>
      </c>
      <c r="M3" s="3">
        <v>1000</v>
      </c>
      <c r="N3" t="s">
        <v>16239</v>
      </c>
      <c r="O3" t="s">
        <v>7506</v>
      </c>
      <c r="P3" t="s">
        <v>16262</v>
      </c>
      <c r="Q3" t="s">
        <v>25</v>
      </c>
      <c r="R3" t="s">
        <v>16263</v>
      </c>
      <c r="S3" t="s">
        <v>7506</v>
      </c>
      <c r="T3" t="s">
        <v>16231</v>
      </c>
      <c r="U3" t="s">
        <v>25</v>
      </c>
      <c r="V3" t="s">
        <v>16232</v>
      </c>
    </row>
    <row r="4" spans="1:28">
      <c r="A4" t="s">
        <v>16273</v>
      </c>
      <c r="B4" t="s">
        <v>16249</v>
      </c>
      <c r="C4" t="s">
        <v>16274</v>
      </c>
      <c r="D4" t="s">
        <v>4479</v>
      </c>
      <c r="E4" s="14" t="s">
        <v>11613</v>
      </c>
      <c r="F4" t="s">
        <v>10776</v>
      </c>
      <c r="G4" s="17" t="str">
        <f>Config!$B$3</f>
        <v>SCH/R_IEC.SchLib</v>
      </c>
      <c r="H4" t="s">
        <v>16254</v>
      </c>
      <c r="I4" s="18" t="s">
        <v>16255</v>
      </c>
      <c r="J4" t="s">
        <v>16256</v>
      </c>
      <c r="M4" s="3">
        <v>1200</v>
      </c>
      <c r="N4" t="s">
        <v>16233</v>
      </c>
      <c r="O4" t="s">
        <v>7506</v>
      </c>
      <c r="P4" t="s">
        <v>16234</v>
      </c>
      <c r="Q4" t="s">
        <v>25</v>
      </c>
      <c r="R4" t="s">
        <v>16235</v>
      </c>
    </row>
    <row r="5" spans="1:28">
      <c r="A5" t="s">
        <v>16275</v>
      </c>
      <c r="B5" t="s">
        <v>16250</v>
      </c>
      <c r="C5" t="s">
        <v>16276</v>
      </c>
      <c r="D5" t="s">
        <v>4479</v>
      </c>
      <c r="E5" s="14" t="s">
        <v>11613</v>
      </c>
      <c r="F5" t="s">
        <v>16236</v>
      </c>
      <c r="G5" s="17" t="str">
        <f>Config!$B$3</f>
        <v>SCH/R_IEC.SchLib</v>
      </c>
      <c r="H5" t="s">
        <v>16254</v>
      </c>
      <c r="I5" s="18" t="s">
        <v>16255</v>
      </c>
      <c r="J5" t="s">
        <v>16256</v>
      </c>
      <c r="M5" s="3">
        <v>1400</v>
      </c>
      <c r="N5" t="s">
        <v>16264</v>
      </c>
      <c r="O5" t="s">
        <v>7506</v>
      </c>
      <c r="P5" t="s">
        <v>16265</v>
      </c>
      <c r="Q5" t="s">
        <v>25</v>
      </c>
      <c r="R5" t="s">
        <v>16266</v>
      </c>
      <c r="S5" t="s">
        <v>7506</v>
      </c>
      <c r="T5" t="s">
        <v>16242</v>
      </c>
      <c r="U5" t="s">
        <v>25</v>
      </c>
      <c r="V5" t="s">
        <v>16243</v>
      </c>
    </row>
    <row r="6" spans="1:28">
      <c r="A6" t="s">
        <v>16329</v>
      </c>
      <c r="B6" t="s">
        <v>16330</v>
      </c>
      <c r="C6" t="s">
        <v>16331</v>
      </c>
      <c r="D6" t="s">
        <v>4479</v>
      </c>
      <c r="E6" s="14" t="s">
        <v>11613</v>
      </c>
      <c r="F6" t="s">
        <v>16332</v>
      </c>
      <c r="G6" s="17" t="str">
        <f>Config!$B$3</f>
        <v>SCH/R_IEC.SchLib</v>
      </c>
      <c r="H6" t="s">
        <v>16254</v>
      </c>
      <c r="I6" s="18" t="s">
        <v>16255</v>
      </c>
      <c r="J6" t="s">
        <v>16256</v>
      </c>
      <c r="M6" s="3">
        <v>1600</v>
      </c>
      <c r="N6" t="s">
        <v>16333</v>
      </c>
      <c r="O6" t="s">
        <v>7506</v>
      </c>
      <c r="P6" t="s">
        <v>16334</v>
      </c>
      <c r="Q6" t="s">
        <v>25</v>
      </c>
      <c r="R6" t="s">
        <v>16335</v>
      </c>
      <c r="S6" t="s">
        <v>7506</v>
      </c>
      <c r="T6" t="s">
        <v>16336</v>
      </c>
      <c r="U6" t="s">
        <v>25</v>
      </c>
      <c r="V6" t="s">
        <v>16337</v>
      </c>
    </row>
    <row r="7" spans="1:28">
      <c r="A7" t="s">
        <v>16277</v>
      </c>
      <c r="B7" t="s">
        <v>16251</v>
      </c>
      <c r="C7" t="s">
        <v>16278</v>
      </c>
      <c r="D7" t="s">
        <v>4479</v>
      </c>
      <c r="E7" s="14" t="s">
        <v>11613</v>
      </c>
      <c r="F7" t="s">
        <v>16237</v>
      </c>
      <c r="G7" s="17" t="str">
        <f>Config!$B$3</f>
        <v>SCH/R_IEC.SchLib</v>
      </c>
      <c r="H7" t="s">
        <v>16254</v>
      </c>
      <c r="I7" s="18" t="s">
        <v>16255</v>
      </c>
      <c r="J7" t="s">
        <v>16256</v>
      </c>
      <c r="M7" s="3">
        <v>2500</v>
      </c>
      <c r="N7" t="s">
        <v>16240</v>
      </c>
      <c r="O7" t="s">
        <v>7506</v>
      </c>
      <c r="P7" t="s">
        <v>16244</v>
      </c>
      <c r="Q7" t="s">
        <v>25</v>
      </c>
      <c r="R7" t="s">
        <v>16245</v>
      </c>
    </row>
    <row r="8" spans="1:28">
      <c r="A8" t="s">
        <v>16279</v>
      </c>
      <c r="B8" t="s">
        <v>16252</v>
      </c>
      <c r="C8" t="s">
        <v>16280</v>
      </c>
      <c r="D8" t="s">
        <v>4479</v>
      </c>
      <c r="E8" s="14" t="s">
        <v>11613</v>
      </c>
      <c r="F8" t="s">
        <v>16238</v>
      </c>
      <c r="G8" s="17" t="str">
        <f>Config!$B$3</f>
        <v>SCH/R_IEC.SchLib</v>
      </c>
      <c r="H8" t="s">
        <v>16254</v>
      </c>
      <c r="I8" s="18" t="s">
        <v>16255</v>
      </c>
      <c r="J8" t="s">
        <v>16256</v>
      </c>
      <c r="M8" s="3">
        <v>3500</v>
      </c>
      <c r="N8" t="s">
        <v>16241</v>
      </c>
      <c r="O8" t="s">
        <v>7506</v>
      </c>
      <c r="P8" t="s">
        <v>16246</v>
      </c>
      <c r="Q8" t="s">
        <v>25</v>
      </c>
      <c r="R8" t="s">
        <v>16247</v>
      </c>
    </row>
    <row r="9" spans="1:28">
      <c r="A9" t="s">
        <v>16339</v>
      </c>
      <c r="B9" t="s">
        <v>16340</v>
      </c>
      <c r="C9" t="s">
        <v>16341</v>
      </c>
      <c r="D9" t="s">
        <v>4479</v>
      </c>
      <c r="E9" s="14" t="s">
        <v>11613</v>
      </c>
      <c r="F9" t="s">
        <v>16338</v>
      </c>
      <c r="G9" s="17" t="str">
        <f>Config!$B$3</f>
        <v>SCH/R_IEC.SchLib</v>
      </c>
      <c r="H9" t="s">
        <v>16254</v>
      </c>
      <c r="I9" s="18" t="s">
        <v>16255</v>
      </c>
      <c r="J9" t="s">
        <v>16256</v>
      </c>
      <c r="M9" s="3">
        <v>4500</v>
      </c>
      <c r="N9" t="s">
        <v>16346</v>
      </c>
      <c r="O9" t="s">
        <v>7506</v>
      </c>
      <c r="P9" t="s">
        <v>16347</v>
      </c>
      <c r="Q9" t="s">
        <v>25</v>
      </c>
      <c r="R9" t="s">
        <v>16348</v>
      </c>
    </row>
    <row r="10" spans="1:28">
      <c r="A10" t="s">
        <v>16342</v>
      </c>
      <c r="B10" t="s">
        <v>16343</v>
      </c>
      <c r="C10" t="s">
        <v>16344</v>
      </c>
      <c r="D10" t="s">
        <v>4479</v>
      </c>
      <c r="E10" s="14" t="s">
        <v>11613</v>
      </c>
      <c r="F10" t="s">
        <v>16345</v>
      </c>
      <c r="G10" s="17" t="str">
        <f>Config!$B$3</f>
        <v>SCH/R_IEC.SchLib</v>
      </c>
      <c r="H10" t="s">
        <v>16254</v>
      </c>
      <c r="I10" s="18" t="s">
        <v>16255</v>
      </c>
      <c r="J10" t="s">
        <v>16256</v>
      </c>
      <c r="M10" s="3">
        <v>5500</v>
      </c>
      <c r="N10" t="s">
        <v>16349</v>
      </c>
      <c r="O10" t="s">
        <v>7506</v>
      </c>
      <c r="P10" t="s">
        <v>16350</v>
      </c>
      <c r="Q10" t="s">
        <v>25</v>
      </c>
      <c r="R10" t="s">
        <v>16351</v>
      </c>
    </row>
    <row r="11" spans="1:28">
      <c r="A11" t="s">
        <v>16281</v>
      </c>
      <c r="B11" t="s">
        <v>16269</v>
      </c>
      <c r="C11" t="s">
        <v>16282</v>
      </c>
      <c r="D11" t="s">
        <v>4479</v>
      </c>
      <c r="E11" s="14" t="s">
        <v>11613</v>
      </c>
      <c r="F11" t="s">
        <v>16253</v>
      </c>
      <c r="G11" s="17" t="str">
        <f>Config!$B$3</f>
        <v>SCH/R_IEC.SchLib</v>
      </c>
      <c r="H11" t="s">
        <v>16254</v>
      </c>
      <c r="I11" s="18" t="s">
        <v>16255</v>
      </c>
      <c r="J11" t="s">
        <v>16267</v>
      </c>
      <c r="M11" s="3">
        <v>800</v>
      </c>
      <c r="N11" t="s">
        <v>16257</v>
      </c>
      <c r="O11" t="s">
        <v>7506</v>
      </c>
      <c r="P11" t="s">
        <v>16258</v>
      </c>
      <c r="Q11" t="s">
        <v>25</v>
      </c>
      <c r="R11" t="s">
        <v>16259</v>
      </c>
      <c r="S11" t="s">
        <v>7506</v>
      </c>
      <c r="T11" t="s">
        <v>16260</v>
      </c>
      <c r="U11" t="s">
        <v>25</v>
      </c>
      <c r="V11" t="s">
        <v>16261</v>
      </c>
    </row>
    <row r="12" spans="1:28">
      <c r="A12" t="s">
        <v>16283</v>
      </c>
      <c r="B12" t="s">
        <v>16248</v>
      </c>
      <c r="C12" t="s">
        <v>16284</v>
      </c>
      <c r="D12" t="s">
        <v>4479</v>
      </c>
      <c r="E12" s="14" t="s">
        <v>11613</v>
      </c>
      <c r="F12" t="s">
        <v>14097</v>
      </c>
      <c r="G12" s="17" t="str">
        <f>Config!$B$3</f>
        <v>SCH/R_IEC.SchLib</v>
      </c>
      <c r="H12" t="s">
        <v>16254</v>
      </c>
      <c r="I12" s="18" t="s">
        <v>16255</v>
      </c>
      <c r="J12" t="s">
        <v>16267</v>
      </c>
      <c r="M12" s="3">
        <v>1000</v>
      </c>
      <c r="N12" t="s">
        <v>16239</v>
      </c>
      <c r="O12" t="s">
        <v>7506</v>
      </c>
      <c r="P12" t="s">
        <v>16262</v>
      </c>
      <c r="Q12" t="s">
        <v>25</v>
      </c>
      <c r="R12" t="s">
        <v>16263</v>
      </c>
      <c r="S12" t="s">
        <v>7506</v>
      </c>
      <c r="T12" t="s">
        <v>16231</v>
      </c>
      <c r="U12" t="s">
        <v>25</v>
      </c>
      <c r="V12" t="s">
        <v>16232</v>
      </c>
    </row>
    <row r="13" spans="1:28">
      <c r="A13" t="s">
        <v>16285</v>
      </c>
      <c r="B13" t="s">
        <v>16249</v>
      </c>
      <c r="C13" t="s">
        <v>16286</v>
      </c>
      <c r="D13" t="s">
        <v>4479</v>
      </c>
      <c r="E13" s="14" t="s">
        <v>11613</v>
      </c>
      <c r="F13" t="s">
        <v>10776</v>
      </c>
      <c r="G13" s="17" t="str">
        <f>Config!$B$3</f>
        <v>SCH/R_IEC.SchLib</v>
      </c>
      <c r="H13" t="s">
        <v>16254</v>
      </c>
      <c r="I13" s="18" t="s">
        <v>16255</v>
      </c>
      <c r="J13" t="s">
        <v>16267</v>
      </c>
      <c r="M13" s="3">
        <v>1200</v>
      </c>
      <c r="N13" t="s">
        <v>16233</v>
      </c>
      <c r="O13" t="s">
        <v>7506</v>
      </c>
      <c r="P13" t="s">
        <v>16234</v>
      </c>
      <c r="Q13" t="s">
        <v>25</v>
      </c>
      <c r="R13" t="s">
        <v>16235</v>
      </c>
    </row>
    <row r="14" spans="1:28">
      <c r="A14" t="s">
        <v>16287</v>
      </c>
      <c r="B14" t="s">
        <v>16250</v>
      </c>
      <c r="C14" t="s">
        <v>16288</v>
      </c>
      <c r="D14" t="s">
        <v>4479</v>
      </c>
      <c r="E14" s="14" t="s">
        <v>11613</v>
      </c>
      <c r="F14" t="s">
        <v>16236</v>
      </c>
      <c r="G14" s="17" t="str">
        <f>Config!$B$3</f>
        <v>SCH/R_IEC.SchLib</v>
      </c>
      <c r="H14" t="s">
        <v>16254</v>
      </c>
      <c r="I14" s="18" t="s">
        <v>16255</v>
      </c>
      <c r="J14" t="s">
        <v>16267</v>
      </c>
      <c r="M14" s="3">
        <v>1400</v>
      </c>
      <c r="N14" t="s">
        <v>16264</v>
      </c>
      <c r="O14" t="s">
        <v>7506</v>
      </c>
      <c r="P14" t="s">
        <v>16265</v>
      </c>
      <c r="Q14" t="s">
        <v>25</v>
      </c>
      <c r="R14" t="s">
        <v>16266</v>
      </c>
      <c r="S14" t="s">
        <v>7506</v>
      </c>
      <c r="T14" t="s">
        <v>16242</v>
      </c>
      <c r="U14" t="s">
        <v>25</v>
      </c>
      <c r="V14" t="s">
        <v>16243</v>
      </c>
    </row>
    <row r="15" spans="1:28">
      <c r="A15" t="s">
        <v>16352</v>
      </c>
      <c r="B15" t="s">
        <v>16330</v>
      </c>
      <c r="C15" t="s">
        <v>16353</v>
      </c>
      <c r="D15" t="s">
        <v>4479</v>
      </c>
      <c r="E15" s="14" t="s">
        <v>11613</v>
      </c>
      <c r="F15" t="s">
        <v>16332</v>
      </c>
      <c r="G15" s="17" t="str">
        <f>Config!$B$3</f>
        <v>SCH/R_IEC.SchLib</v>
      </c>
      <c r="H15" t="s">
        <v>16254</v>
      </c>
      <c r="I15" s="18" t="s">
        <v>16255</v>
      </c>
      <c r="J15" t="s">
        <v>16267</v>
      </c>
      <c r="M15" s="3">
        <v>1600</v>
      </c>
      <c r="N15" t="s">
        <v>16333</v>
      </c>
      <c r="O15" t="s">
        <v>7506</v>
      </c>
      <c r="P15" t="s">
        <v>16334</v>
      </c>
      <c r="Q15" t="s">
        <v>25</v>
      </c>
      <c r="R15" t="s">
        <v>16335</v>
      </c>
      <c r="S15" t="s">
        <v>7506</v>
      </c>
      <c r="T15" t="s">
        <v>16336</v>
      </c>
      <c r="U15" t="s">
        <v>25</v>
      </c>
      <c r="V15" t="s">
        <v>16337</v>
      </c>
    </row>
    <row r="16" spans="1:28">
      <c r="A16" t="s">
        <v>16289</v>
      </c>
      <c r="B16" t="s">
        <v>16251</v>
      </c>
      <c r="C16" t="s">
        <v>16290</v>
      </c>
      <c r="D16" t="s">
        <v>4479</v>
      </c>
      <c r="E16" s="14" t="s">
        <v>11613</v>
      </c>
      <c r="F16" t="s">
        <v>16237</v>
      </c>
      <c r="G16" s="17" t="str">
        <f>Config!$B$3</f>
        <v>SCH/R_IEC.SchLib</v>
      </c>
      <c r="H16" t="s">
        <v>16254</v>
      </c>
      <c r="I16" s="18" t="s">
        <v>16255</v>
      </c>
      <c r="J16" t="s">
        <v>16267</v>
      </c>
      <c r="M16" s="3">
        <v>2500</v>
      </c>
      <c r="N16" t="s">
        <v>16240</v>
      </c>
      <c r="O16" t="s">
        <v>7506</v>
      </c>
      <c r="P16" t="s">
        <v>16244</v>
      </c>
      <c r="Q16" t="s">
        <v>25</v>
      </c>
      <c r="R16" t="s">
        <v>16245</v>
      </c>
    </row>
    <row r="17" spans="1:22">
      <c r="A17" t="s">
        <v>16291</v>
      </c>
      <c r="B17" t="s">
        <v>16252</v>
      </c>
      <c r="C17" t="s">
        <v>16292</v>
      </c>
      <c r="D17" t="s">
        <v>4479</v>
      </c>
      <c r="E17" s="14" t="s">
        <v>11613</v>
      </c>
      <c r="F17" t="s">
        <v>16238</v>
      </c>
      <c r="G17" s="17" t="str">
        <f>Config!$B$3</f>
        <v>SCH/R_IEC.SchLib</v>
      </c>
      <c r="H17" t="s">
        <v>16254</v>
      </c>
      <c r="I17" s="18" t="s">
        <v>16255</v>
      </c>
      <c r="J17" t="s">
        <v>16267</v>
      </c>
      <c r="M17" s="3">
        <v>3500</v>
      </c>
      <c r="N17" t="s">
        <v>16241</v>
      </c>
      <c r="O17" t="s">
        <v>7506</v>
      </c>
      <c r="P17" t="s">
        <v>16246</v>
      </c>
      <c r="Q17" t="s">
        <v>25</v>
      </c>
      <c r="R17" t="s">
        <v>16247</v>
      </c>
    </row>
    <row r="18" spans="1:22">
      <c r="A18" t="s">
        <v>16354</v>
      </c>
      <c r="B18" t="s">
        <v>16340</v>
      </c>
      <c r="C18" t="s">
        <v>16355</v>
      </c>
      <c r="D18" t="s">
        <v>4479</v>
      </c>
      <c r="E18" s="14" t="s">
        <v>11613</v>
      </c>
      <c r="F18" t="s">
        <v>16338</v>
      </c>
      <c r="G18" s="17" t="str">
        <f>Config!$B$3</f>
        <v>SCH/R_IEC.SchLib</v>
      </c>
      <c r="H18" t="s">
        <v>16254</v>
      </c>
      <c r="I18" s="18" t="s">
        <v>16255</v>
      </c>
      <c r="J18" t="s">
        <v>16267</v>
      </c>
      <c r="M18" s="3">
        <v>4500</v>
      </c>
      <c r="N18" t="s">
        <v>16346</v>
      </c>
      <c r="O18" t="s">
        <v>7506</v>
      </c>
      <c r="P18" t="s">
        <v>16347</v>
      </c>
      <c r="Q18" t="s">
        <v>25</v>
      </c>
      <c r="R18" t="s">
        <v>16348</v>
      </c>
    </row>
    <row r="19" spans="1:22">
      <c r="A19" t="s">
        <v>16356</v>
      </c>
      <c r="B19" t="s">
        <v>16343</v>
      </c>
      <c r="C19" t="s">
        <v>16357</v>
      </c>
      <c r="D19" t="s">
        <v>4479</v>
      </c>
      <c r="E19" s="14" t="s">
        <v>11613</v>
      </c>
      <c r="F19" t="s">
        <v>16345</v>
      </c>
      <c r="G19" s="17" t="str">
        <f>Config!$B$3</f>
        <v>SCH/R_IEC.SchLib</v>
      </c>
      <c r="H19" t="s">
        <v>16254</v>
      </c>
      <c r="I19" s="18" t="s">
        <v>16255</v>
      </c>
      <c r="J19" t="s">
        <v>16267</v>
      </c>
      <c r="M19" s="3">
        <v>5500</v>
      </c>
      <c r="N19" t="s">
        <v>16349</v>
      </c>
      <c r="O19" t="s">
        <v>7506</v>
      </c>
      <c r="P19" t="s">
        <v>16350</v>
      </c>
      <c r="Q19" t="s">
        <v>25</v>
      </c>
      <c r="R19" t="s">
        <v>16351</v>
      </c>
    </row>
    <row r="20" spans="1:22">
      <c r="A20" t="s">
        <v>16293</v>
      </c>
      <c r="B20" t="s">
        <v>16269</v>
      </c>
      <c r="C20" t="s">
        <v>16299</v>
      </c>
      <c r="D20" t="s">
        <v>4479</v>
      </c>
      <c r="E20" s="14" t="s">
        <v>11613</v>
      </c>
      <c r="F20" t="s">
        <v>16253</v>
      </c>
      <c r="G20" s="17" t="str">
        <f>Config!$B$3</f>
        <v>SCH/R_IEC.SchLib</v>
      </c>
      <c r="H20" t="s">
        <v>16254</v>
      </c>
      <c r="I20" s="18" t="s">
        <v>16255</v>
      </c>
      <c r="J20" t="s">
        <v>16358</v>
      </c>
      <c r="M20" s="3">
        <v>800</v>
      </c>
      <c r="N20" t="s">
        <v>16257</v>
      </c>
      <c r="O20" t="s">
        <v>7506</v>
      </c>
      <c r="P20" t="s">
        <v>16258</v>
      </c>
      <c r="Q20" t="s">
        <v>25</v>
      </c>
      <c r="R20" t="s">
        <v>16259</v>
      </c>
      <c r="S20" t="s">
        <v>7506</v>
      </c>
      <c r="T20" t="s">
        <v>16260</v>
      </c>
      <c r="U20" t="s">
        <v>25</v>
      </c>
      <c r="V20" t="s">
        <v>16261</v>
      </c>
    </row>
    <row r="21" spans="1:22">
      <c r="A21" t="s">
        <v>16294</v>
      </c>
      <c r="B21" t="s">
        <v>16248</v>
      </c>
      <c r="C21" t="s">
        <v>16300</v>
      </c>
      <c r="D21" t="s">
        <v>4479</v>
      </c>
      <c r="E21" s="14" t="s">
        <v>11613</v>
      </c>
      <c r="F21" t="s">
        <v>14097</v>
      </c>
      <c r="G21" s="17" t="str">
        <f>Config!$B$3</f>
        <v>SCH/R_IEC.SchLib</v>
      </c>
      <c r="H21" t="s">
        <v>16254</v>
      </c>
      <c r="I21" s="18" t="s">
        <v>16255</v>
      </c>
      <c r="J21" t="s">
        <v>16358</v>
      </c>
      <c r="M21" s="3">
        <v>1000</v>
      </c>
      <c r="N21" t="s">
        <v>16239</v>
      </c>
      <c r="O21" t="s">
        <v>7506</v>
      </c>
      <c r="P21" t="s">
        <v>16262</v>
      </c>
      <c r="Q21" t="s">
        <v>25</v>
      </c>
      <c r="R21" t="s">
        <v>16263</v>
      </c>
      <c r="S21" t="s">
        <v>7506</v>
      </c>
      <c r="T21" t="s">
        <v>16231</v>
      </c>
      <c r="U21" t="s">
        <v>25</v>
      </c>
      <c r="V21" t="s">
        <v>16232</v>
      </c>
    </row>
    <row r="22" spans="1:22">
      <c r="A22" t="s">
        <v>16295</v>
      </c>
      <c r="B22" t="s">
        <v>16249</v>
      </c>
      <c r="C22" t="s">
        <v>16301</v>
      </c>
      <c r="D22" t="s">
        <v>4479</v>
      </c>
      <c r="E22" s="14" t="s">
        <v>11613</v>
      </c>
      <c r="F22" t="s">
        <v>10776</v>
      </c>
      <c r="G22" s="17" t="str">
        <f>Config!$B$3</f>
        <v>SCH/R_IEC.SchLib</v>
      </c>
      <c r="H22" t="s">
        <v>16254</v>
      </c>
      <c r="I22" s="18" t="s">
        <v>16255</v>
      </c>
      <c r="J22" t="s">
        <v>16358</v>
      </c>
      <c r="M22" s="3">
        <v>1200</v>
      </c>
      <c r="N22" t="s">
        <v>16233</v>
      </c>
      <c r="O22" t="s">
        <v>7506</v>
      </c>
      <c r="P22" t="s">
        <v>16234</v>
      </c>
      <c r="Q22" t="s">
        <v>25</v>
      </c>
      <c r="R22" t="s">
        <v>16235</v>
      </c>
    </row>
    <row r="23" spans="1:22">
      <c r="A23" t="s">
        <v>16296</v>
      </c>
      <c r="B23" t="s">
        <v>16250</v>
      </c>
      <c r="C23" t="s">
        <v>16302</v>
      </c>
      <c r="D23" t="s">
        <v>4479</v>
      </c>
      <c r="E23" s="14" t="s">
        <v>11613</v>
      </c>
      <c r="F23" t="s">
        <v>16236</v>
      </c>
      <c r="G23" s="17" t="str">
        <f>Config!$B$3</f>
        <v>SCH/R_IEC.SchLib</v>
      </c>
      <c r="H23" t="s">
        <v>16254</v>
      </c>
      <c r="I23" s="18" t="s">
        <v>16255</v>
      </c>
      <c r="J23" t="s">
        <v>16358</v>
      </c>
      <c r="M23" s="3">
        <v>1400</v>
      </c>
      <c r="N23" t="s">
        <v>16264</v>
      </c>
      <c r="O23" t="s">
        <v>7506</v>
      </c>
      <c r="P23" t="s">
        <v>16265</v>
      </c>
      <c r="Q23" t="s">
        <v>25</v>
      </c>
      <c r="R23" t="s">
        <v>16266</v>
      </c>
      <c r="S23" t="s">
        <v>7506</v>
      </c>
      <c r="T23" t="s">
        <v>16242</v>
      </c>
      <c r="U23" t="s">
        <v>25</v>
      </c>
      <c r="V23" t="s">
        <v>16243</v>
      </c>
    </row>
    <row r="24" spans="1:22">
      <c r="A24" t="s">
        <v>16359</v>
      </c>
      <c r="B24" t="s">
        <v>16330</v>
      </c>
      <c r="C24" t="s">
        <v>16360</v>
      </c>
      <c r="D24" t="s">
        <v>4479</v>
      </c>
      <c r="E24" s="14" t="s">
        <v>11613</v>
      </c>
      <c r="F24" t="s">
        <v>16332</v>
      </c>
      <c r="G24" s="17" t="str">
        <f>Config!$B$3</f>
        <v>SCH/R_IEC.SchLib</v>
      </c>
      <c r="H24" t="s">
        <v>16254</v>
      </c>
      <c r="I24" s="18" t="s">
        <v>16255</v>
      </c>
      <c r="J24" t="s">
        <v>16358</v>
      </c>
      <c r="M24" s="3">
        <v>1600</v>
      </c>
      <c r="N24" t="s">
        <v>16333</v>
      </c>
      <c r="O24" t="s">
        <v>7506</v>
      </c>
      <c r="P24" t="s">
        <v>16334</v>
      </c>
      <c r="Q24" t="s">
        <v>25</v>
      </c>
      <c r="R24" t="s">
        <v>16335</v>
      </c>
      <c r="S24" t="s">
        <v>7506</v>
      </c>
      <c r="T24" t="s">
        <v>16336</v>
      </c>
      <c r="U24" t="s">
        <v>25</v>
      </c>
      <c r="V24" t="s">
        <v>16337</v>
      </c>
    </row>
    <row r="25" spans="1:22">
      <c r="A25" t="s">
        <v>16297</v>
      </c>
      <c r="B25" t="s">
        <v>16251</v>
      </c>
      <c r="C25" t="s">
        <v>16303</v>
      </c>
      <c r="D25" t="s">
        <v>4479</v>
      </c>
      <c r="E25" s="14" t="s">
        <v>11613</v>
      </c>
      <c r="F25" t="s">
        <v>16237</v>
      </c>
      <c r="G25" s="17" t="str">
        <f>Config!$B$3</f>
        <v>SCH/R_IEC.SchLib</v>
      </c>
      <c r="H25" t="s">
        <v>16254</v>
      </c>
      <c r="I25" s="18" t="s">
        <v>16255</v>
      </c>
      <c r="J25" t="s">
        <v>16358</v>
      </c>
      <c r="M25" s="3">
        <v>2500</v>
      </c>
      <c r="N25" t="s">
        <v>16240</v>
      </c>
      <c r="O25" t="s">
        <v>7506</v>
      </c>
      <c r="P25" t="s">
        <v>16244</v>
      </c>
      <c r="Q25" t="s">
        <v>25</v>
      </c>
      <c r="R25" t="s">
        <v>16245</v>
      </c>
    </row>
    <row r="26" spans="1:22">
      <c r="A26" t="s">
        <v>16298</v>
      </c>
      <c r="B26" t="s">
        <v>16252</v>
      </c>
      <c r="C26" t="s">
        <v>16304</v>
      </c>
      <c r="D26" t="s">
        <v>4479</v>
      </c>
      <c r="E26" s="14" t="s">
        <v>11613</v>
      </c>
      <c r="F26" t="s">
        <v>16238</v>
      </c>
      <c r="G26" s="17" t="str">
        <f>Config!$B$3</f>
        <v>SCH/R_IEC.SchLib</v>
      </c>
      <c r="H26" t="s">
        <v>16254</v>
      </c>
      <c r="I26" s="18" t="s">
        <v>16255</v>
      </c>
      <c r="J26" t="s">
        <v>16358</v>
      </c>
      <c r="M26" s="3">
        <v>3500</v>
      </c>
      <c r="N26" t="s">
        <v>16241</v>
      </c>
      <c r="O26" t="s">
        <v>7506</v>
      </c>
      <c r="P26" t="s">
        <v>16246</v>
      </c>
      <c r="Q26" t="s">
        <v>25</v>
      </c>
      <c r="R26" t="s">
        <v>16247</v>
      </c>
    </row>
    <row r="27" spans="1:22">
      <c r="A27" t="s">
        <v>16361</v>
      </c>
      <c r="B27" t="s">
        <v>16340</v>
      </c>
      <c r="C27" t="s">
        <v>16362</v>
      </c>
      <c r="D27" t="s">
        <v>4479</v>
      </c>
      <c r="E27" s="14" t="s">
        <v>11613</v>
      </c>
      <c r="F27" t="s">
        <v>16338</v>
      </c>
      <c r="G27" s="17" t="str">
        <f>Config!$B$3</f>
        <v>SCH/R_IEC.SchLib</v>
      </c>
      <c r="H27" t="s">
        <v>16254</v>
      </c>
      <c r="I27" s="18" t="s">
        <v>16255</v>
      </c>
      <c r="J27" t="s">
        <v>16358</v>
      </c>
      <c r="M27" s="3">
        <v>4500</v>
      </c>
      <c r="N27" t="s">
        <v>16346</v>
      </c>
      <c r="O27" t="s">
        <v>7506</v>
      </c>
      <c r="P27" t="s">
        <v>16347</v>
      </c>
      <c r="Q27" t="s">
        <v>25</v>
      </c>
      <c r="R27" t="s">
        <v>16348</v>
      </c>
    </row>
    <row r="28" spans="1:22">
      <c r="A28" t="s">
        <v>16363</v>
      </c>
      <c r="B28" t="s">
        <v>16343</v>
      </c>
      <c r="C28" t="s">
        <v>16364</v>
      </c>
      <c r="D28" t="s">
        <v>4479</v>
      </c>
      <c r="E28" s="14" t="s">
        <v>11613</v>
      </c>
      <c r="F28" t="s">
        <v>16345</v>
      </c>
      <c r="G28" s="17" t="str">
        <f>Config!$B$3</f>
        <v>SCH/R_IEC.SchLib</v>
      </c>
      <c r="H28" t="s">
        <v>16254</v>
      </c>
      <c r="I28" s="18" t="s">
        <v>16255</v>
      </c>
      <c r="J28" t="s">
        <v>16358</v>
      </c>
      <c r="M28" s="3">
        <v>5500</v>
      </c>
      <c r="N28" t="s">
        <v>16349</v>
      </c>
      <c r="O28" t="s">
        <v>7506</v>
      </c>
      <c r="P28" t="s">
        <v>16350</v>
      </c>
      <c r="Q28" t="s">
        <v>25</v>
      </c>
      <c r="R28" t="s">
        <v>16351</v>
      </c>
    </row>
    <row r="29" spans="1:22">
      <c r="A29" t="s">
        <v>16305</v>
      </c>
      <c r="B29" t="s">
        <v>16269</v>
      </c>
      <c r="C29" t="s">
        <v>16311</v>
      </c>
      <c r="D29" t="s">
        <v>4479</v>
      </c>
      <c r="E29" s="14" t="s">
        <v>11613</v>
      </c>
      <c r="F29" t="s">
        <v>16253</v>
      </c>
      <c r="G29" s="17" t="str">
        <f>Config!$B$3</f>
        <v>SCH/R_IEC.SchLib</v>
      </c>
      <c r="H29" t="s">
        <v>16254</v>
      </c>
      <c r="I29" s="18" t="s">
        <v>16255</v>
      </c>
      <c r="J29" t="s">
        <v>16365</v>
      </c>
      <c r="M29" s="3">
        <v>800</v>
      </c>
      <c r="N29" t="s">
        <v>16257</v>
      </c>
      <c r="O29" t="s">
        <v>7506</v>
      </c>
      <c r="P29" t="s">
        <v>16258</v>
      </c>
      <c r="Q29" t="s">
        <v>25</v>
      </c>
      <c r="R29" t="s">
        <v>16259</v>
      </c>
      <c r="S29" t="s">
        <v>7506</v>
      </c>
      <c r="T29" t="s">
        <v>16260</v>
      </c>
      <c r="U29" t="s">
        <v>25</v>
      </c>
      <c r="V29" t="s">
        <v>16261</v>
      </c>
    </row>
    <row r="30" spans="1:22">
      <c r="A30" t="s">
        <v>16306</v>
      </c>
      <c r="B30" t="s">
        <v>16248</v>
      </c>
      <c r="C30" t="s">
        <v>16312</v>
      </c>
      <c r="D30" t="s">
        <v>4479</v>
      </c>
      <c r="E30" s="14" t="s">
        <v>11613</v>
      </c>
      <c r="F30" t="s">
        <v>14097</v>
      </c>
      <c r="G30" s="17" t="str">
        <f>Config!$B$3</f>
        <v>SCH/R_IEC.SchLib</v>
      </c>
      <c r="H30" t="s">
        <v>16254</v>
      </c>
      <c r="I30" s="18" t="s">
        <v>16255</v>
      </c>
      <c r="J30" t="s">
        <v>16365</v>
      </c>
      <c r="M30" s="3">
        <v>1000</v>
      </c>
      <c r="N30" t="s">
        <v>16239</v>
      </c>
      <c r="O30" t="s">
        <v>7506</v>
      </c>
      <c r="P30" t="s">
        <v>16262</v>
      </c>
      <c r="Q30" t="s">
        <v>25</v>
      </c>
      <c r="R30" t="s">
        <v>16263</v>
      </c>
      <c r="S30" t="s">
        <v>7506</v>
      </c>
      <c r="T30" t="s">
        <v>16231</v>
      </c>
      <c r="U30" t="s">
        <v>25</v>
      </c>
      <c r="V30" t="s">
        <v>16232</v>
      </c>
    </row>
    <row r="31" spans="1:22">
      <c r="A31" t="s">
        <v>16307</v>
      </c>
      <c r="B31" t="s">
        <v>16249</v>
      </c>
      <c r="C31" t="s">
        <v>16313</v>
      </c>
      <c r="D31" t="s">
        <v>4479</v>
      </c>
      <c r="E31" s="14" t="s">
        <v>11613</v>
      </c>
      <c r="F31" t="s">
        <v>10776</v>
      </c>
      <c r="G31" s="17" t="str">
        <f>Config!$B$3</f>
        <v>SCH/R_IEC.SchLib</v>
      </c>
      <c r="H31" t="s">
        <v>16254</v>
      </c>
      <c r="I31" s="18" t="s">
        <v>16255</v>
      </c>
      <c r="J31" t="s">
        <v>16365</v>
      </c>
      <c r="M31" s="3">
        <v>1200</v>
      </c>
      <c r="N31" t="s">
        <v>16233</v>
      </c>
      <c r="O31" t="s">
        <v>7506</v>
      </c>
      <c r="P31" t="s">
        <v>16234</v>
      </c>
      <c r="Q31" t="s">
        <v>25</v>
      </c>
      <c r="R31" t="s">
        <v>16235</v>
      </c>
    </row>
    <row r="32" spans="1:22">
      <c r="A32" t="s">
        <v>16308</v>
      </c>
      <c r="B32" t="s">
        <v>16250</v>
      </c>
      <c r="C32" t="s">
        <v>16314</v>
      </c>
      <c r="D32" t="s">
        <v>4479</v>
      </c>
      <c r="E32" s="14" t="s">
        <v>11613</v>
      </c>
      <c r="F32" t="s">
        <v>16236</v>
      </c>
      <c r="G32" s="17" t="str">
        <f>Config!$B$3</f>
        <v>SCH/R_IEC.SchLib</v>
      </c>
      <c r="H32" t="s">
        <v>16254</v>
      </c>
      <c r="I32" s="18" t="s">
        <v>16255</v>
      </c>
      <c r="J32" t="s">
        <v>16365</v>
      </c>
      <c r="M32" s="3">
        <v>1400</v>
      </c>
      <c r="N32" t="s">
        <v>16264</v>
      </c>
      <c r="O32" t="s">
        <v>7506</v>
      </c>
      <c r="P32" t="s">
        <v>16265</v>
      </c>
      <c r="Q32" t="s">
        <v>25</v>
      </c>
      <c r="R32" t="s">
        <v>16266</v>
      </c>
      <c r="S32" t="s">
        <v>7506</v>
      </c>
      <c r="T32" t="s">
        <v>16242</v>
      </c>
      <c r="U32" t="s">
        <v>25</v>
      </c>
      <c r="V32" t="s">
        <v>16243</v>
      </c>
    </row>
    <row r="33" spans="1:22">
      <c r="A33" t="s">
        <v>16366</v>
      </c>
      <c r="B33" t="s">
        <v>16330</v>
      </c>
      <c r="C33" t="s">
        <v>16367</v>
      </c>
      <c r="D33" t="s">
        <v>4479</v>
      </c>
      <c r="E33" s="14" t="s">
        <v>11613</v>
      </c>
      <c r="F33" t="s">
        <v>16332</v>
      </c>
      <c r="G33" s="17" t="str">
        <f>Config!$B$3</f>
        <v>SCH/R_IEC.SchLib</v>
      </c>
      <c r="H33" t="s">
        <v>16254</v>
      </c>
      <c r="I33" s="18" t="s">
        <v>16255</v>
      </c>
      <c r="J33" t="s">
        <v>16365</v>
      </c>
      <c r="M33" s="3">
        <v>1600</v>
      </c>
      <c r="N33" t="s">
        <v>16333</v>
      </c>
      <c r="O33" t="s">
        <v>7506</v>
      </c>
      <c r="P33" t="s">
        <v>16334</v>
      </c>
      <c r="Q33" t="s">
        <v>25</v>
      </c>
      <c r="R33" t="s">
        <v>16335</v>
      </c>
      <c r="S33" t="s">
        <v>7506</v>
      </c>
      <c r="T33" t="s">
        <v>16336</v>
      </c>
      <c r="U33" t="s">
        <v>25</v>
      </c>
      <c r="V33" t="s">
        <v>16337</v>
      </c>
    </row>
    <row r="34" spans="1:22">
      <c r="A34" t="s">
        <v>16309</v>
      </c>
      <c r="B34" t="s">
        <v>16251</v>
      </c>
      <c r="C34" t="s">
        <v>16315</v>
      </c>
      <c r="D34" t="s">
        <v>4479</v>
      </c>
      <c r="E34" s="14" t="s">
        <v>11613</v>
      </c>
      <c r="F34" t="s">
        <v>16237</v>
      </c>
      <c r="G34" s="17" t="str">
        <f>Config!$B$3</f>
        <v>SCH/R_IEC.SchLib</v>
      </c>
      <c r="H34" t="s">
        <v>16254</v>
      </c>
      <c r="I34" s="18" t="s">
        <v>16255</v>
      </c>
      <c r="J34" t="s">
        <v>16365</v>
      </c>
      <c r="M34" s="3">
        <v>2500</v>
      </c>
      <c r="N34" t="s">
        <v>16240</v>
      </c>
      <c r="O34" t="s">
        <v>7506</v>
      </c>
      <c r="P34" t="s">
        <v>16244</v>
      </c>
      <c r="Q34" t="s">
        <v>25</v>
      </c>
      <c r="R34" t="s">
        <v>16245</v>
      </c>
    </row>
    <row r="35" spans="1:22">
      <c r="A35" t="s">
        <v>16310</v>
      </c>
      <c r="B35" t="s">
        <v>16252</v>
      </c>
      <c r="C35" t="s">
        <v>16316</v>
      </c>
      <c r="D35" t="s">
        <v>4479</v>
      </c>
      <c r="E35" s="14" t="s">
        <v>11613</v>
      </c>
      <c r="F35" t="s">
        <v>16238</v>
      </c>
      <c r="G35" s="17" t="str">
        <f>Config!$B$3</f>
        <v>SCH/R_IEC.SchLib</v>
      </c>
      <c r="H35" t="s">
        <v>16254</v>
      </c>
      <c r="I35" s="18" t="s">
        <v>16255</v>
      </c>
      <c r="J35" t="s">
        <v>16365</v>
      </c>
      <c r="M35" s="3">
        <v>3500</v>
      </c>
      <c r="N35" t="s">
        <v>16241</v>
      </c>
      <c r="O35" t="s">
        <v>7506</v>
      </c>
      <c r="P35" t="s">
        <v>16246</v>
      </c>
      <c r="Q35" t="s">
        <v>25</v>
      </c>
      <c r="R35" t="s">
        <v>16247</v>
      </c>
    </row>
    <row r="36" spans="1:22">
      <c r="A36" t="s">
        <v>16368</v>
      </c>
      <c r="B36" t="s">
        <v>16340</v>
      </c>
      <c r="C36" t="s">
        <v>16369</v>
      </c>
      <c r="D36" t="s">
        <v>4479</v>
      </c>
      <c r="E36" s="14" t="s">
        <v>11613</v>
      </c>
      <c r="F36" t="s">
        <v>16338</v>
      </c>
      <c r="G36" s="17" t="str">
        <f>Config!$B$3</f>
        <v>SCH/R_IEC.SchLib</v>
      </c>
      <c r="H36" t="s">
        <v>16254</v>
      </c>
      <c r="I36" s="18" t="s">
        <v>16255</v>
      </c>
      <c r="J36" t="s">
        <v>16365</v>
      </c>
      <c r="M36" s="3">
        <v>4500</v>
      </c>
      <c r="N36" t="s">
        <v>16346</v>
      </c>
      <c r="O36" t="s">
        <v>7506</v>
      </c>
      <c r="P36" t="s">
        <v>16347</v>
      </c>
      <c r="Q36" t="s">
        <v>25</v>
      </c>
      <c r="R36" t="s">
        <v>16348</v>
      </c>
    </row>
    <row r="37" spans="1:22">
      <c r="A37" t="s">
        <v>16370</v>
      </c>
      <c r="B37" t="s">
        <v>16343</v>
      </c>
      <c r="C37" t="s">
        <v>16371</v>
      </c>
      <c r="D37" t="s">
        <v>4479</v>
      </c>
      <c r="E37" s="14" t="s">
        <v>11613</v>
      </c>
      <c r="F37" t="s">
        <v>16345</v>
      </c>
      <c r="G37" s="17" t="str">
        <f>Config!$B$3</f>
        <v>SCH/R_IEC.SchLib</v>
      </c>
      <c r="H37" t="s">
        <v>16254</v>
      </c>
      <c r="I37" s="18" t="s">
        <v>16255</v>
      </c>
      <c r="J37" t="s">
        <v>16365</v>
      </c>
      <c r="M37" s="3">
        <v>5500</v>
      </c>
      <c r="N37" t="s">
        <v>16349</v>
      </c>
      <c r="O37" t="s">
        <v>7506</v>
      </c>
      <c r="P37" t="s">
        <v>16350</v>
      </c>
      <c r="Q37" t="s">
        <v>25</v>
      </c>
      <c r="R37" t="s">
        <v>16351</v>
      </c>
    </row>
    <row r="38" spans="1:22">
      <c r="A38" t="s">
        <v>16317</v>
      </c>
      <c r="B38" t="s">
        <v>16269</v>
      </c>
      <c r="C38" t="s">
        <v>16318</v>
      </c>
      <c r="D38" t="s">
        <v>4479</v>
      </c>
      <c r="E38" s="14" t="s">
        <v>11613</v>
      </c>
      <c r="F38" t="s">
        <v>16253</v>
      </c>
      <c r="G38" s="17" t="str">
        <f>Config!$B$3</f>
        <v>SCH/R_IEC.SchLib</v>
      </c>
      <c r="H38" t="s">
        <v>16254</v>
      </c>
      <c r="I38" s="18" t="s">
        <v>16255</v>
      </c>
      <c r="J38" t="s">
        <v>16372</v>
      </c>
      <c r="M38" s="3">
        <v>800</v>
      </c>
      <c r="N38" t="s">
        <v>16257</v>
      </c>
      <c r="O38" t="s">
        <v>7506</v>
      </c>
      <c r="P38" t="s">
        <v>16258</v>
      </c>
      <c r="Q38" t="s">
        <v>25</v>
      </c>
      <c r="R38" t="s">
        <v>16259</v>
      </c>
      <c r="S38" t="s">
        <v>7506</v>
      </c>
      <c r="T38" t="s">
        <v>16260</v>
      </c>
      <c r="U38" t="s">
        <v>25</v>
      </c>
      <c r="V38" t="s">
        <v>16261</v>
      </c>
    </row>
    <row r="39" spans="1:22">
      <c r="A39" t="s">
        <v>16319</v>
      </c>
      <c r="B39" t="s">
        <v>16248</v>
      </c>
      <c r="C39" t="s">
        <v>16320</v>
      </c>
      <c r="D39" t="s">
        <v>4479</v>
      </c>
      <c r="E39" s="14" t="s">
        <v>11613</v>
      </c>
      <c r="F39" t="s">
        <v>14097</v>
      </c>
      <c r="G39" s="17" t="str">
        <f>Config!$B$3</f>
        <v>SCH/R_IEC.SchLib</v>
      </c>
      <c r="H39" t="s">
        <v>16254</v>
      </c>
      <c r="I39" s="18" t="s">
        <v>16255</v>
      </c>
      <c r="J39" t="s">
        <v>16372</v>
      </c>
      <c r="M39" s="3">
        <v>1000</v>
      </c>
      <c r="N39" t="s">
        <v>16239</v>
      </c>
      <c r="O39" t="s">
        <v>7506</v>
      </c>
      <c r="P39" t="s">
        <v>16262</v>
      </c>
      <c r="Q39" t="s">
        <v>25</v>
      </c>
      <c r="R39" t="s">
        <v>16263</v>
      </c>
      <c r="S39" t="s">
        <v>7506</v>
      </c>
      <c r="T39" t="s">
        <v>16231</v>
      </c>
      <c r="U39" t="s">
        <v>25</v>
      </c>
      <c r="V39" t="s">
        <v>16232</v>
      </c>
    </row>
    <row r="40" spans="1:22">
      <c r="A40" t="s">
        <v>16321</v>
      </c>
      <c r="B40" t="s">
        <v>16249</v>
      </c>
      <c r="C40" t="s">
        <v>16322</v>
      </c>
      <c r="D40" t="s">
        <v>4479</v>
      </c>
      <c r="E40" s="14" t="s">
        <v>11613</v>
      </c>
      <c r="F40" t="s">
        <v>10776</v>
      </c>
      <c r="G40" s="17" t="str">
        <f>Config!$B$3</f>
        <v>SCH/R_IEC.SchLib</v>
      </c>
      <c r="H40" t="s">
        <v>16254</v>
      </c>
      <c r="I40" s="18" t="s">
        <v>16255</v>
      </c>
      <c r="J40" t="s">
        <v>16372</v>
      </c>
      <c r="M40" s="3">
        <v>1200</v>
      </c>
      <c r="N40" t="s">
        <v>16233</v>
      </c>
      <c r="O40" t="s">
        <v>7506</v>
      </c>
      <c r="P40" t="s">
        <v>16234</v>
      </c>
      <c r="Q40" t="s">
        <v>25</v>
      </c>
      <c r="R40" t="s">
        <v>16235</v>
      </c>
    </row>
    <row r="41" spans="1:22">
      <c r="A41" t="s">
        <v>16323</v>
      </c>
      <c r="B41" t="s">
        <v>16250</v>
      </c>
      <c r="C41" t="s">
        <v>16324</v>
      </c>
      <c r="D41" t="s">
        <v>4479</v>
      </c>
      <c r="E41" s="14" t="s">
        <v>11613</v>
      </c>
      <c r="F41" t="s">
        <v>16236</v>
      </c>
      <c r="G41" s="17" t="str">
        <f>Config!$B$3</f>
        <v>SCH/R_IEC.SchLib</v>
      </c>
      <c r="H41" t="s">
        <v>16254</v>
      </c>
      <c r="I41" s="18" t="s">
        <v>16255</v>
      </c>
      <c r="J41" t="s">
        <v>16372</v>
      </c>
      <c r="M41" s="3">
        <v>1400</v>
      </c>
      <c r="N41" t="s">
        <v>16264</v>
      </c>
      <c r="O41" t="s">
        <v>7506</v>
      </c>
      <c r="P41" t="s">
        <v>16265</v>
      </c>
      <c r="Q41" t="s">
        <v>25</v>
      </c>
      <c r="R41" t="s">
        <v>16266</v>
      </c>
      <c r="S41" t="s">
        <v>7506</v>
      </c>
      <c r="T41" t="s">
        <v>16242</v>
      </c>
      <c r="U41" t="s">
        <v>25</v>
      </c>
      <c r="V41" t="s">
        <v>16243</v>
      </c>
    </row>
    <row r="42" spans="1:22">
      <c r="A42" t="s">
        <v>16373</v>
      </c>
      <c r="B42" t="s">
        <v>16330</v>
      </c>
      <c r="C42" t="s">
        <v>16374</v>
      </c>
      <c r="D42" t="s">
        <v>4479</v>
      </c>
      <c r="E42" s="14" t="s">
        <v>11613</v>
      </c>
      <c r="F42" t="s">
        <v>16332</v>
      </c>
      <c r="G42" s="17" t="str">
        <f>Config!$B$3</f>
        <v>SCH/R_IEC.SchLib</v>
      </c>
      <c r="H42" t="s">
        <v>16254</v>
      </c>
      <c r="I42" s="18" t="s">
        <v>16255</v>
      </c>
      <c r="J42" t="s">
        <v>16372</v>
      </c>
      <c r="M42" s="3">
        <v>1600</v>
      </c>
      <c r="N42" t="s">
        <v>16333</v>
      </c>
      <c r="O42" t="s">
        <v>7506</v>
      </c>
      <c r="P42" t="s">
        <v>16334</v>
      </c>
      <c r="Q42" t="s">
        <v>25</v>
      </c>
      <c r="R42" t="s">
        <v>16335</v>
      </c>
      <c r="S42" t="s">
        <v>7506</v>
      </c>
      <c r="T42" t="s">
        <v>16336</v>
      </c>
      <c r="U42" t="s">
        <v>25</v>
      </c>
      <c r="V42" t="s">
        <v>16337</v>
      </c>
    </row>
    <row r="43" spans="1:22">
      <c r="A43" t="s">
        <v>16325</v>
      </c>
      <c r="B43" t="s">
        <v>16251</v>
      </c>
      <c r="C43" t="s">
        <v>16326</v>
      </c>
      <c r="D43" t="s">
        <v>4479</v>
      </c>
      <c r="E43" s="14" t="s">
        <v>11613</v>
      </c>
      <c r="F43" t="s">
        <v>16237</v>
      </c>
      <c r="G43" s="17" t="str">
        <f>Config!$B$3</f>
        <v>SCH/R_IEC.SchLib</v>
      </c>
      <c r="H43" t="s">
        <v>16254</v>
      </c>
      <c r="I43" s="18" t="s">
        <v>16255</v>
      </c>
      <c r="J43" t="s">
        <v>16372</v>
      </c>
      <c r="M43" s="3">
        <v>2500</v>
      </c>
      <c r="N43" t="s">
        <v>16240</v>
      </c>
      <c r="O43" t="s">
        <v>7506</v>
      </c>
      <c r="P43" t="s">
        <v>16244</v>
      </c>
      <c r="Q43" t="s">
        <v>25</v>
      </c>
      <c r="R43" t="s">
        <v>16245</v>
      </c>
    </row>
    <row r="44" spans="1:22">
      <c r="A44" t="s">
        <v>16327</v>
      </c>
      <c r="B44" t="s">
        <v>16252</v>
      </c>
      <c r="C44" t="s">
        <v>16328</v>
      </c>
      <c r="D44" t="s">
        <v>4479</v>
      </c>
      <c r="E44" s="14" t="s">
        <v>11613</v>
      </c>
      <c r="F44" t="s">
        <v>16238</v>
      </c>
      <c r="G44" s="17" t="str">
        <f>Config!$B$3</f>
        <v>SCH/R_IEC.SchLib</v>
      </c>
      <c r="H44" t="s">
        <v>16254</v>
      </c>
      <c r="I44" s="18" t="s">
        <v>16255</v>
      </c>
      <c r="J44" t="s">
        <v>16372</v>
      </c>
      <c r="M44" s="3">
        <v>3500</v>
      </c>
      <c r="N44" t="s">
        <v>16241</v>
      </c>
      <c r="O44" t="s">
        <v>7506</v>
      </c>
      <c r="P44" t="s">
        <v>16246</v>
      </c>
      <c r="Q44" t="s">
        <v>25</v>
      </c>
      <c r="R44" t="s">
        <v>16247</v>
      </c>
    </row>
    <row r="45" spans="1:22">
      <c r="A45" t="s">
        <v>16375</v>
      </c>
      <c r="B45" t="s">
        <v>16340</v>
      </c>
      <c r="C45" t="s">
        <v>16376</v>
      </c>
      <c r="D45" t="s">
        <v>4479</v>
      </c>
      <c r="E45" s="14" t="s">
        <v>11613</v>
      </c>
      <c r="F45" t="s">
        <v>16338</v>
      </c>
      <c r="G45" s="17" t="str">
        <f>Config!$B$3</f>
        <v>SCH/R_IEC.SchLib</v>
      </c>
      <c r="H45" t="s">
        <v>16254</v>
      </c>
      <c r="I45" s="18" t="s">
        <v>16255</v>
      </c>
      <c r="J45" t="s">
        <v>16372</v>
      </c>
      <c r="M45" s="3">
        <v>4500</v>
      </c>
      <c r="N45" t="s">
        <v>16346</v>
      </c>
      <c r="O45" t="s">
        <v>7506</v>
      </c>
      <c r="P45" t="s">
        <v>16347</v>
      </c>
      <c r="Q45" t="s">
        <v>25</v>
      </c>
      <c r="R45" t="s">
        <v>16348</v>
      </c>
    </row>
    <row r="46" spans="1:22">
      <c r="A46" t="s">
        <v>16377</v>
      </c>
      <c r="B46" t="s">
        <v>16343</v>
      </c>
      <c r="C46" t="s">
        <v>16378</v>
      </c>
      <c r="D46" t="s">
        <v>4479</v>
      </c>
      <c r="E46" s="14" t="s">
        <v>11613</v>
      </c>
      <c r="F46" t="s">
        <v>16345</v>
      </c>
      <c r="G46" s="17" t="str">
        <f>Config!$B$3</f>
        <v>SCH/R_IEC.SchLib</v>
      </c>
      <c r="H46" t="s">
        <v>16254</v>
      </c>
      <c r="I46" s="18" t="s">
        <v>16255</v>
      </c>
      <c r="J46" t="s">
        <v>16372</v>
      </c>
      <c r="M46" s="3">
        <v>5500</v>
      </c>
      <c r="N46" t="s">
        <v>16349</v>
      </c>
      <c r="O46" t="s">
        <v>7506</v>
      </c>
      <c r="P46" t="s">
        <v>16350</v>
      </c>
      <c r="Q46" t="s">
        <v>25</v>
      </c>
      <c r="R46" t="s">
        <v>16351</v>
      </c>
    </row>
    <row r="48" spans="1:22">
      <c r="A48" t="s">
        <v>16379</v>
      </c>
      <c r="B48" t="s">
        <v>16269</v>
      </c>
      <c r="C48" t="s">
        <v>16517</v>
      </c>
      <c r="D48" t="s">
        <v>4479</v>
      </c>
      <c r="E48" s="14" t="s">
        <v>11613</v>
      </c>
      <c r="F48" t="s">
        <v>16253</v>
      </c>
      <c r="G48" s="17" t="str">
        <f>Config!$B$3</f>
        <v>SCH/R_IEC.SchLib</v>
      </c>
      <c r="H48" t="s">
        <v>16254</v>
      </c>
      <c r="I48" s="18" t="s">
        <v>16255</v>
      </c>
      <c r="J48" t="s">
        <v>16424</v>
      </c>
      <c r="M48" s="3">
        <v>800</v>
      </c>
      <c r="N48" t="s">
        <v>16257</v>
      </c>
      <c r="O48" t="s">
        <v>7506</v>
      </c>
      <c r="P48" t="s">
        <v>16258</v>
      </c>
      <c r="Q48" t="s">
        <v>25</v>
      </c>
      <c r="R48" t="s">
        <v>16259</v>
      </c>
      <c r="S48" t="s">
        <v>7506</v>
      </c>
      <c r="T48" t="s">
        <v>16260</v>
      </c>
      <c r="U48" t="s">
        <v>25</v>
      </c>
      <c r="V48" t="s">
        <v>16261</v>
      </c>
    </row>
    <row r="49" spans="1:22">
      <c r="A49" t="s">
        <v>16380</v>
      </c>
      <c r="B49" t="s">
        <v>16248</v>
      </c>
      <c r="C49" t="s">
        <v>16518</v>
      </c>
      <c r="D49" t="s">
        <v>4479</v>
      </c>
      <c r="E49" s="14" t="s">
        <v>11613</v>
      </c>
      <c r="F49" t="s">
        <v>14097</v>
      </c>
      <c r="G49" s="17" t="str">
        <f>Config!$B$3</f>
        <v>SCH/R_IEC.SchLib</v>
      </c>
      <c r="H49" t="s">
        <v>16254</v>
      </c>
      <c r="I49" s="18" t="s">
        <v>16255</v>
      </c>
      <c r="J49" t="s">
        <v>16424</v>
      </c>
      <c r="M49" s="3">
        <v>1000</v>
      </c>
      <c r="N49" t="s">
        <v>16239</v>
      </c>
      <c r="O49" t="s">
        <v>7506</v>
      </c>
      <c r="P49" t="s">
        <v>16262</v>
      </c>
      <c r="Q49" t="s">
        <v>25</v>
      </c>
      <c r="R49" t="s">
        <v>16263</v>
      </c>
      <c r="S49" t="s">
        <v>7506</v>
      </c>
      <c r="T49" t="s">
        <v>16231</v>
      </c>
      <c r="U49" t="s">
        <v>25</v>
      </c>
      <c r="V49" t="s">
        <v>16232</v>
      </c>
    </row>
    <row r="50" spans="1:22">
      <c r="A50" t="s">
        <v>16381</v>
      </c>
      <c r="B50" t="s">
        <v>16249</v>
      </c>
      <c r="C50" t="s">
        <v>16519</v>
      </c>
      <c r="D50" t="s">
        <v>4479</v>
      </c>
      <c r="E50" s="14" t="s">
        <v>11613</v>
      </c>
      <c r="F50" t="s">
        <v>10776</v>
      </c>
      <c r="G50" s="17" t="str">
        <f>Config!$B$3</f>
        <v>SCH/R_IEC.SchLib</v>
      </c>
      <c r="H50" t="s">
        <v>16254</v>
      </c>
      <c r="I50" s="18" t="s">
        <v>16255</v>
      </c>
      <c r="J50" t="s">
        <v>16424</v>
      </c>
      <c r="M50" s="3">
        <v>1200</v>
      </c>
      <c r="N50" t="s">
        <v>16233</v>
      </c>
      <c r="O50" t="s">
        <v>7506</v>
      </c>
      <c r="P50" t="s">
        <v>16234</v>
      </c>
      <c r="Q50" t="s">
        <v>25</v>
      </c>
      <c r="R50" t="s">
        <v>16235</v>
      </c>
    </row>
    <row r="51" spans="1:22">
      <c r="A51" t="s">
        <v>16382</v>
      </c>
      <c r="B51" t="s">
        <v>16250</v>
      </c>
      <c r="C51" t="s">
        <v>16520</v>
      </c>
      <c r="D51" t="s">
        <v>4479</v>
      </c>
      <c r="E51" s="14" t="s">
        <v>11613</v>
      </c>
      <c r="F51" t="s">
        <v>16236</v>
      </c>
      <c r="G51" s="17" t="str">
        <f>Config!$B$3</f>
        <v>SCH/R_IEC.SchLib</v>
      </c>
      <c r="H51" t="s">
        <v>16254</v>
      </c>
      <c r="I51" s="18" t="s">
        <v>16255</v>
      </c>
      <c r="J51" t="s">
        <v>16424</v>
      </c>
      <c r="M51" s="3">
        <v>1400</v>
      </c>
      <c r="N51" t="s">
        <v>16264</v>
      </c>
      <c r="O51" t="s">
        <v>7506</v>
      </c>
      <c r="P51" t="s">
        <v>16265</v>
      </c>
      <c r="Q51" t="s">
        <v>25</v>
      </c>
      <c r="R51" t="s">
        <v>16266</v>
      </c>
      <c r="S51" t="s">
        <v>7506</v>
      </c>
      <c r="T51" t="s">
        <v>16242</v>
      </c>
      <c r="U51" t="s">
        <v>25</v>
      </c>
      <c r="V51" t="s">
        <v>16243</v>
      </c>
    </row>
    <row r="52" spans="1:22">
      <c r="A52" t="s">
        <v>16383</v>
      </c>
      <c r="B52" t="s">
        <v>16330</v>
      </c>
      <c r="C52" t="s">
        <v>16521</v>
      </c>
      <c r="D52" t="s">
        <v>4479</v>
      </c>
      <c r="E52" s="14" t="s">
        <v>11613</v>
      </c>
      <c r="F52" t="s">
        <v>16332</v>
      </c>
      <c r="G52" s="17" t="str">
        <f>Config!$B$3</f>
        <v>SCH/R_IEC.SchLib</v>
      </c>
      <c r="H52" t="s">
        <v>16254</v>
      </c>
      <c r="I52" s="18" t="s">
        <v>16255</v>
      </c>
      <c r="J52" t="s">
        <v>16424</v>
      </c>
      <c r="M52" s="3">
        <v>1600</v>
      </c>
      <c r="N52" t="s">
        <v>16333</v>
      </c>
      <c r="O52" t="s">
        <v>7506</v>
      </c>
      <c r="P52" t="s">
        <v>16334</v>
      </c>
      <c r="Q52" t="s">
        <v>25</v>
      </c>
      <c r="R52" t="s">
        <v>16335</v>
      </c>
      <c r="S52" t="s">
        <v>7506</v>
      </c>
      <c r="T52" t="s">
        <v>16336</v>
      </c>
      <c r="U52" t="s">
        <v>25</v>
      </c>
      <c r="V52" t="s">
        <v>16337</v>
      </c>
    </row>
    <row r="53" spans="1:22">
      <c r="A53" t="s">
        <v>16384</v>
      </c>
      <c r="B53" t="s">
        <v>16251</v>
      </c>
      <c r="C53" t="s">
        <v>16522</v>
      </c>
      <c r="D53" t="s">
        <v>4479</v>
      </c>
      <c r="E53" s="14" t="s">
        <v>11613</v>
      </c>
      <c r="F53" t="s">
        <v>16237</v>
      </c>
      <c r="G53" s="17" t="str">
        <f>Config!$B$3</f>
        <v>SCH/R_IEC.SchLib</v>
      </c>
      <c r="H53" t="s">
        <v>16254</v>
      </c>
      <c r="I53" s="18" t="s">
        <v>16255</v>
      </c>
      <c r="J53" t="s">
        <v>16424</v>
      </c>
      <c r="M53" s="3">
        <v>2500</v>
      </c>
      <c r="N53" t="s">
        <v>16240</v>
      </c>
      <c r="O53" t="s">
        <v>7506</v>
      </c>
      <c r="P53" t="s">
        <v>16244</v>
      </c>
      <c r="Q53" t="s">
        <v>25</v>
      </c>
      <c r="R53" t="s">
        <v>16245</v>
      </c>
    </row>
    <row r="54" spans="1:22">
      <c r="A54" t="s">
        <v>16385</v>
      </c>
      <c r="B54" t="s">
        <v>16252</v>
      </c>
      <c r="C54" t="s">
        <v>16523</v>
      </c>
      <c r="D54" t="s">
        <v>4479</v>
      </c>
      <c r="E54" s="14" t="s">
        <v>11613</v>
      </c>
      <c r="F54" t="s">
        <v>16238</v>
      </c>
      <c r="G54" s="17" t="str">
        <f>Config!$B$3</f>
        <v>SCH/R_IEC.SchLib</v>
      </c>
      <c r="H54" t="s">
        <v>16254</v>
      </c>
      <c r="I54" s="18" t="s">
        <v>16255</v>
      </c>
      <c r="J54" t="s">
        <v>16424</v>
      </c>
      <c r="M54" s="3">
        <v>3500</v>
      </c>
      <c r="N54" t="s">
        <v>16241</v>
      </c>
      <c r="O54" t="s">
        <v>7506</v>
      </c>
      <c r="P54" t="s">
        <v>16246</v>
      </c>
      <c r="Q54" t="s">
        <v>25</v>
      </c>
      <c r="R54" t="s">
        <v>16247</v>
      </c>
    </row>
    <row r="55" spans="1:22">
      <c r="A55" t="s">
        <v>16386</v>
      </c>
      <c r="B55" t="s">
        <v>16340</v>
      </c>
      <c r="C55" t="s">
        <v>16524</v>
      </c>
      <c r="D55" t="s">
        <v>4479</v>
      </c>
      <c r="E55" s="14" t="s">
        <v>11613</v>
      </c>
      <c r="F55" t="s">
        <v>16338</v>
      </c>
      <c r="G55" s="17" t="str">
        <f>Config!$B$3</f>
        <v>SCH/R_IEC.SchLib</v>
      </c>
      <c r="H55" t="s">
        <v>16254</v>
      </c>
      <c r="I55" s="18" t="s">
        <v>16255</v>
      </c>
      <c r="J55" t="s">
        <v>16424</v>
      </c>
      <c r="M55" s="3">
        <v>4500</v>
      </c>
      <c r="N55" t="s">
        <v>16346</v>
      </c>
      <c r="O55" t="s">
        <v>7506</v>
      </c>
      <c r="P55" t="s">
        <v>16347</v>
      </c>
      <c r="Q55" t="s">
        <v>25</v>
      </c>
      <c r="R55" t="s">
        <v>16348</v>
      </c>
    </row>
    <row r="56" spans="1:22">
      <c r="A56" t="s">
        <v>16387</v>
      </c>
      <c r="B56" t="s">
        <v>16343</v>
      </c>
      <c r="C56" t="s">
        <v>16525</v>
      </c>
      <c r="D56" t="s">
        <v>4479</v>
      </c>
      <c r="E56" s="14" t="s">
        <v>11613</v>
      </c>
      <c r="F56" t="s">
        <v>16345</v>
      </c>
      <c r="G56" s="17" t="str">
        <f>Config!$B$3</f>
        <v>SCH/R_IEC.SchLib</v>
      </c>
      <c r="H56" t="s">
        <v>16254</v>
      </c>
      <c r="I56" s="18" t="s">
        <v>16255</v>
      </c>
      <c r="J56" t="s">
        <v>16424</v>
      </c>
      <c r="M56" s="3">
        <v>5500</v>
      </c>
      <c r="N56" t="s">
        <v>16349</v>
      </c>
      <c r="O56" t="s">
        <v>7506</v>
      </c>
      <c r="P56" t="s">
        <v>16350</v>
      </c>
      <c r="Q56" t="s">
        <v>25</v>
      </c>
      <c r="R56" t="s">
        <v>16351</v>
      </c>
    </row>
    <row r="57" spans="1:22">
      <c r="A57" t="s">
        <v>16388</v>
      </c>
      <c r="B57" t="s">
        <v>16269</v>
      </c>
      <c r="C57" t="s">
        <v>16526</v>
      </c>
      <c r="D57" t="s">
        <v>4479</v>
      </c>
      <c r="E57" s="14" t="s">
        <v>11613</v>
      </c>
      <c r="F57" t="s">
        <v>16253</v>
      </c>
      <c r="G57" s="17" t="str">
        <f>Config!$B$3</f>
        <v>SCH/R_IEC.SchLib</v>
      </c>
      <c r="H57" t="s">
        <v>16254</v>
      </c>
      <c r="I57" s="18" t="s">
        <v>16255</v>
      </c>
      <c r="J57" t="s">
        <v>16424</v>
      </c>
      <c r="M57" s="3">
        <v>800</v>
      </c>
      <c r="N57" t="s">
        <v>16257</v>
      </c>
      <c r="O57" t="s">
        <v>7506</v>
      </c>
      <c r="P57" t="s">
        <v>16258</v>
      </c>
      <c r="Q57" t="s">
        <v>25</v>
      </c>
      <c r="R57" t="s">
        <v>16259</v>
      </c>
      <c r="S57" t="s">
        <v>7506</v>
      </c>
      <c r="T57" t="s">
        <v>16260</v>
      </c>
      <c r="U57" t="s">
        <v>25</v>
      </c>
      <c r="V57" t="s">
        <v>16261</v>
      </c>
    </row>
    <row r="58" spans="1:22">
      <c r="A58" t="s">
        <v>16389</v>
      </c>
      <c r="B58" t="s">
        <v>16248</v>
      </c>
      <c r="C58" t="s">
        <v>16527</v>
      </c>
      <c r="D58" t="s">
        <v>4479</v>
      </c>
      <c r="E58" s="14" t="s">
        <v>11613</v>
      </c>
      <c r="F58" t="s">
        <v>14097</v>
      </c>
      <c r="G58" s="17" t="str">
        <f>Config!$B$3</f>
        <v>SCH/R_IEC.SchLib</v>
      </c>
      <c r="H58" t="s">
        <v>16254</v>
      </c>
      <c r="I58" s="18" t="s">
        <v>16255</v>
      </c>
      <c r="J58" t="s">
        <v>16424</v>
      </c>
      <c r="M58" s="3">
        <v>1000</v>
      </c>
      <c r="N58" t="s">
        <v>16239</v>
      </c>
      <c r="O58" t="s">
        <v>7506</v>
      </c>
      <c r="P58" t="s">
        <v>16262</v>
      </c>
      <c r="Q58" t="s">
        <v>25</v>
      </c>
      <c r="R58" t="s">
        <v>16263</v>
      </c>
      <c r="S58" t="s">
        <v>7506</v>
      </c>
      <c r="T58" t="s">
        <v>16231</v>
      </c>
      <c r="U58" t="s">
        <v>25</v>
      </c>
      <c r="V58" t="s">
        <v>16232</v>
      </c>
    </row>
    <row r="59" spans="1:22">
      <c r="A59" t="s">
        <v>16390</v>
      </c>
      <c r="B59" t="s">
        <v>16249</v>
      </c>
      <c r="C59" t="s">
        <v>16528</v>
      </c>
      <c r="D59" t="s">
        <v>4479</v>
      </c>
      <c r="E59" s="14" t="s">
        <v>11613</v>
      </c>
      <c r="F59" t="s">
        <v>10776</v>
      </c>
      <c r="G59" s="17" t="str">
        <f>Config!$B$3</f>
        <v>SCH/R_IEC.SchLib</v>
      </c>
      <c r="H59" t="s">
        <v>16254</v>
      </c>
      <c r="I59" s="18" t="s">
        <v>16255</v>
      </c>
      <c r="J59" t="s">
        <v>16424</v>
      </c>
      <c r="M59" s="3">
        <v>1200</v>
      </c>
      <c r="N59" t="s">
        <v>16233</v>
      </c>
      <c r="O59" t="s">
        <v>7506</v>
      </c>
      <c r="P59" t="s">
        <v>16234</v>
      </c>
      <c r="Q59" t="s">
        <v>25</v>
      </c>
      <c r="R59" t="s">
        <v>16235</v>
      </c>
    </row>
    <row r="60" spans="1:22">
      <c r="A60" t="s">
        <v>16391</v>
      </c>
      <c r="B60" t="s">
        <v>16250</v>
      </c>
      <c r="C60" t="s">
        <v>16529</v>
      </c>
      <c r="D60" t="s">
        <v>4479</v>
      </c>
      <c r="E60" s="14" t="s">
        <v>11613</v>
      </c>
      <c r="F60" t="s">
        <v>16236</v>
      </c>
      <c r="G60" s="17" t="str">
        <f>Config!$B$3</f>
        <v>SCH/R_IEC.SchLib</v>
      </c>
      <c r="H60" t="s">
        <v>16254</v>
      </c>
      <c r="I60" s="18" t="s">
        <v>16255</v>
      </c>
      <c r="J60" t="s">
        <v>16424</v>
      </c>
      <c r="M60" s="3">
        <v>1400</v>
      </c>
      <c r="N60" t="s">
        <v>16264</v>
      </c>
      <c r="O60" t="s">
        <v>7506</v>
      </c>
      <c r="P60" t="s">
        <v>16265</v>
      </c>
      <c r="Q60" t="s">
        <v>25</v>
      </c>
      <c r="R60" t="s">
        <v>16266</v>
      </c>
      <c r="S60" t="s">
        <v>7506</v>
      </c>
      <c r="T60" t="s">
        <v>16242</v>
      </c>
      <c r="U60" t="s">
        <v>25</v>
      </c>
      <c r="V60" t="s">
        <v>16243</v>
      </c>
    </row>
    <row r="61" spans="1:22">
      <c r="A61" t="s">
        <v>16392</v>
      </c>
      <c r="B61" t="s">
        <v>16330</v>
      </c>
      <c r="C61" t="s">
        <v>16530</v>
      </c>
      <c r="D61" t="s">
        <v>4479</v>
      </c>
      <c r="E61" s="14" t="s">
        <v>11613</v>
      </c>
      <c r="F61" t="s">
        <v>16332</v>
      </c>
      <c r="G61" s="17" t="str">
        <f>Config!$B$3</f>
        <v>SCH/R_IEC.SchLib</v>
      </c>
      <c r="H61" t="s">
        <v>16254</v>
      </c>
      <c r="I61" s="18" t="s">
        <v>16255</v>
      </c>
      <c r="J61" t="s">
        <v>16424</v>
      </c>
      <c r="M61" s="3">
        <v>1600</v>
      </c>
      <c r="N61" t="s">
        <v>16333</v>
      </c>
      <c r="O61" t="s">
        <v>7506</v>
      </c>
      <c r="P61" t="s">
        <v>16334</v>
      </c>
      <c r="Q61" t="s">
        <v>25</v>
      </c>
      <c r="R61" t="s">
        <v>16335</v>
      </c>
      <c r="S61" t="s">
        <v>7506</v>
      </c>
      <c r="T61" t="s">
        <v>16336</v>
      </c>
      <c r="U61" t="s">
        <v>25</v>
      </c>
      <c r="V61" t="s">
        <v>16337</v>
      </c>
    </row>
    <row r="62" spans="1:22">
      <c r="A62" t="s">
        <v>16393</v>
      </c>
      <c r="B62" t="s">
        <v>16251</v>
      </c>
      <c r="C62" t="s">
        <v>16531</v>
      </c>
      <c r="D62" t="s">
        <v>4479</v>
      </c>
      <c r="E62" s="14" t="s">
        <v>11613</v>
      </c>
      <c r="F62" t="s">
        <v>16237</v>
      </c>
      <c r="G62" s="17" t="str">
        <f>Config!$B$3</f>
        <v>SCH/R_IEC.SchLib</v>
      </c>
      <c r="H62" t="s">
        <v>16254</v>
      </c>
      <c r="I62" s="18" t="s">
        <v>16255</v>
      </c>
      <c r="J62" t="s">
        <v>16424</v>
      </c>
      <c r="M62" s="3">
        <v>2500</v>
      </c>
      <c r="N62" t="s">
        <v>16240</v>
      </c>
      <c r="O62" t="s">
        <v>7506</v>
      </c>
      <c r="P62" t="s">
        <v>16244</v>
      </c>
      <c r="Q62" t="s">
        <v>25</v>
      </c>
      <c r="R62" t="s">
        <v>16245</v>
      </c>
    </row>
    <row r="63" spans="1:22">
      <c r="A63" t="s">
        <v>16394</v>
      </c>
      <c r="B63" t="s">
        <v>16252</v>
      </c>
      <c r="C63" t="s">
        <v>16532</v>
      </c>
      <c r="D63" t="s">
        <v>4479</v>
      </c>
      <c r="E63" s="14" t="s">
        <v>11613</v>
      </c>
      <c r="F63" t="s">
        <v>16238</v>
      </c>
      <c r="G63" s="17" t="str">
        <f>Config!$B$3</f>
        <v>SCH/R_IEC.SchLib</v>
      </c>
      <c r="H63" t="s">
        <v>16254</v>
      </c>
      <c r="I63" s="18" t="s">
        <v>16255</v>
      </c>
      <c r="J63" t="s">
        <v>16424</v>
      </c>
      <c r="M63" s="3">
        <v>3500</v>
      </c>
      <c r="N63" t="s">
        <v>16241</v>
      </c>
      <c r="O63" t="s">
        <v>7506</v>
      </c>
      <c r="P63" t="s">
        <v>16246</v>
      </c>
      <c r="Q63" t="s">
        <v>25</v>
      </c>
      <c r="R63" t="s">
        <v>16247</v>
      </c>
    </row>
    <row r="64" spans="1:22">
      <c r="A64" t="s">
        <v>16395</v>
      </c>
      <c r="B64" t="s">
        <v>16340</v>
      </c>
      <c r="C64" t="s">
        <v>16533</v>
      </c>
      <c r="D64" t="s">
        <v>4479</v>
      </c>
      <c r="E64" s="14" t="s">
        <v>11613</v>
      </c>
      <c r="F64" t="s">
        <v>16338</v>
      </c>
      <c r="G64" s="17" t="str">
        <f>Config!$B$3</f>
        <v>SCH/R_IEC.SchLib</v>
      </c>
      <c r="H64" t="s">
        <v>16254</v>
      </c>
      <c r="I64" s="18" t="s">
        <v>16255</v>
      </c>
      <c r="J64" t="s">
        <v>16424</v>
      </c>
      <c r="M64" s="3">
        <v>4500</v>
      </c>
      <c r="N64" t="s">
        <v>16346</v>
      </c>
      <c r="O64" t="s">
        <v>7506</v>
      </c>
      <c r="P64" t="s">
        <v>16347</v>
      </c>
      <c r="Q64" t="s">
        <v>25</v>
      </c>
      <c r="R64" t="s">
        <v>16348</v>
      </c>
    </row>
    <row r="65" spans="1:22">
      <c r="A65" t="s">
        <v>16396</v>
      </c>
      <c r="B65" t="s">
        <v>16343</v>
      </c>
      <c r="C65" t="s">
        <v>16534</v>
      </c>
      <c r="D65" t="s">
        <v>4479</v>
      </c>
      <c r="E65" s="14" t="s">
        <v>11613</v>
      </c>
      <c r="F65" t="s">
        <v>16345</v>
      </c>
      <c r="G65" s="17" t="str">
        <f>Config!$B$3</f>
        <v>SCH/R_IEC.SchLib</v>
      </c>
      <c r="H65" t="s">
        <v>16254</v>
      </c>
      <c r="I65" s="18" t="s">
        <v>16255</v>
      </c>
      <c r="J65" t="s">
        <v>16424</v>
      </c>
      <c r="M65" s="3">
        <v>5500</v>
      </c>
      <c r="N65" t="s">
        <v>16349</v>
      </c>
      <c r="O65" t="s">
        <v>7506</v>
      </c>
      <c r="P65" t="s">
        <v>16350</v>
      </c>
      <c r="Q65" t="s">
        <v>25</v>
      </c>
      <c r="R65" t="s">
        <v>16351</v>
      </c>
    </row>
    <row r="66" spans="1:22">
      <c r="A66" t="s">
        <v>16397</v>
      </c>
      <c r="B66" t="s">
        <v>16269</v>
      </c>
      <c r="C66" t="s">
        <v>16535</v>
      </c>
      <c r="D66" t="s">
        <v>4479</v>
      </c>
      <c r="E66" s="14" t="s">
        <v>11613</v>
      </c>
      <c r="F66" t="s">
        <v>16253</v>
      </c>
      <c r="G66" s="17" t="str">
        <f>Config!$B$3</f>
        <v>SCH/R_IEC.SchLib</v>
      </c>
      <c r="H66" t="s">
        <v>16254</v>
      </c>
      <c r="I66" s="18" t="s">
        <v>16255</v>
      </c>
      <c r="J66" t="s">
        <v>16424</v>
      </c>
      <c r="M66" s="3">
        <v>800</v>
      </c>
      <c r="N66" t="s">
        <v>16257</v>
      </c>
      <c r="O66" t="s">
        <v>7506</v>
      </c>
      <c r="P66" t="s">
        <v>16258</v>
      </c>
      <c r="Q66" t="s">
        <v>25</v>
      </c>
      <c r="R66" t="s">
        <v>16259</v>
      </c>
      <c r="S66" t="s">
        <v>7506</v>
      </c>
      <c r="T66" t="s">
        <v>16260</v>
      </c>
      <c r="U66" t="s">
        <v>25</v>
      </c>
      <c r="V66" t="s">
        <v>16261</v>
      </c>
    </row>
    <row r="67" spans="1:22">
      <c r="A67" t="s">
        <v>16398</v>
      </c>
      <c r="B67" t="s">
        <v>16248</v>
      </c>
      <c r="C67" t="s">
        <v>16536</v>
      </c>
      <c r="D67" t="s">
        <v>4479</v>
      </c>
      <c r="E67" s="14" t="s">
        <v>11613</v>
      </c>
      <c r="F67" t="s">
        <v>14097</v>
      </c>
      <c r="G67" s="17" t="str">
        <f>Config!$B$3</f>
        <v>SCH/R_IEC.SchLib</v>
      </c>
      <c r="H67" t="s">
        <v>16254</v>
      </c>
      <c r="I67" s="18" t="s">
        <v>16255</v>
      </c>
      <c r="J67" t="s">
        <v>16424</v>
      </c>
      <c r="M67" s="3">
        <v>1000</v>
      </c>
      <c r="N67" t="s">
        <v>16239</v>
      </c>
      <c r="O67" t="s">
        <v>7506</v>
      </c>
      <c r="P67" t="s">
        <v>16262</v>
      </c>
      <c r="Q67" t="s">
        <v>25</v>
      </c>
      <c r="R67" t="s">
        <v>16263</v>
      </c>
      <c r="S67" t="s">
        <v>7506</v>
      </c>
      <c r="T67" t="s">
        <v>16231</v>
      </c>
      <c r="U67" t="s">
        <v>25</v>
      </c>
      <c r="V67" t="s">
        <v>16232</v>
      </c>
    </row>
    <row r="68" spans="1:22">
      <c r="A68" t="s">
        <v>16399</v>
      </c>
      <c r="B68" t="s">
        <v>16249</v>
      </c>
      <c r="C68" t="s">
        <v>16537</v>
      </c>
      <c r="D68" t="s">
        <v>4479</v>
      </c>
      <c r="E68" s="14" t="s">
        <v>11613</v>
      </c>
      <c r="F68" t="s">
        <v>10776</v>
      </c>
      <c r="G68" s="17" t="str">
        <f>Config!$B$3</f>
        <v>SCH/R_IEC.SchLib</v>
      </c>
      <c r="H68" t="s">
        <v>16254</v>
      </c>
      <c r="I68" s="18" t="s">
        <v>16255</v>
      </c>
      <c r="J68" t="s">
        <v>16424</v>
      </c>
      <c r="M68" s="3">
        <v>1200</v>
      </c>
      <c r="N68" t="s">
        <v>16233</v>
      </c>
      <c r="O68" t="s">
        <v>7506</v>
      </c>
      <c r="P68" t="s">
        <v>16234</v>
      </c>
      <c r="Q68" t="s">
        <v>25</v>
      </c>
      <c r="R68" t="s">
        <v>16235</v>
      </c>
    </row>
    <row r="69" spans="1:22">
      <c r="A69" t="s">
        <v>16400</v>
      </c>
      <c r="B69" t="s">
        <v>16250</v>
      </c>
      <c r="C69" t="s">
        <v>16538</v>
      </c>
      <c r="D69" t="s">
        <v>4479</v>
      </c>
      <c r="E69" s="14" t="s">
        <v>11613</v>
      </c>
      <c r="F69" t="s">
        <v>16236</v>
      </c>
      <c r="G69" s="17" t="str">
        <f>Config!$B$3</f>
        <v>SCH/R_IEC.SchLib</v>
      </c>
      <c r="H69" t="s">
        <v>16254</v>
      </c>
      <c r="I69" s="18" t="s">
        <v>16255</v>
      </c>
      <c r="J69" t="s">
        <v>16424</v>
      </c>
      <c r="M69" s="3">
        <v>1400</v>
      </c>
      <c r="N69" t="s">
        <v>16264</v>
      </c>
      <c r="O69" t="s">
        <v>7506</v>
      </c>
      <c r="P69" t="s">
        <v>16265</v>
      </c>
      <c r="Q69" t="s">
        <v>25</v>
      </c>
      <c r="R69" t="s">
        <v>16266</v>
      </c>
      <c r="S69" t="s">
        <v>7506</v>
      </c>
      <c r="T69" t="s">
        <v>16242</v>
      </c>
      <c r="U69" t="s">
        <v>25</v>
      </c>
      <c r="V69" t="s">
        <v>16243</v>
      </c>
    </row>
    <row r="70" spans="1:22">
      <c r="A70" t="s">
        <v>16401</v>
      </c>
      <c r="B70" t="s">
        <v>16330</v>
      </c>
      <c r="C70" t="s">
        <v>16539</v>
      </c>
      <c r="D70" t="s">
        <v>4479</v>
      </c>
      <c r="E70" s="14" t="s">
        <v>11613</v>
      </c>
      <c r="F70" t="s">
        <v>16332</v>
      </c>
      <c r="G70" s="17" t="str">
        <f>Config!$B$3</f>
        <v>SCH/R_IEC.SchLib</v>
      </c>
      <c r="H70" t="s">
        <v>16254</v>
      </c>
      <c r="I70" s="18" t="s">
        <v>16255</v>
      </c>
      <c r="J70" t="s">
        <v>16424</v>
      </c>
      <c r="M70" s="3">
        <v>1600</v>
      </c>
      <c r="N70" t="s">
        <v>16333</v>
      </c>
      <c r="O70" t="s">
        <v>7506</v>
      </c>
      <c r="P70" t="s">
        <v>16334</v>
      </c>
      <c r="Q70" t="s">
        <v>25</v>
      </c>
      <c r="R70" t="s">
        <v>16335</v>
      </c>
      <c r="S70" t="s">
        <v>7506</v>
      </c>
      <c r="T70" t="s">
        <v>16336</v>
      </c>
      <c r="U70" t="s">
        <v>25</v>
      </c>
      <c r="V70" t="s">
        <v>16337</v>
      </c>
    </row>
    <row r="71" spans="1:22">
      <c r="A71" t="s">
        <v>16402</v>
      </c>
      <c r="B71" t="s">
        <v>16251</v>
      </c>
      <c r="C71" t="s">
        <v>16540</v>
      </c>
      <c r="D71" t="s">
        <v>4479</v>
      </c>
      <c r="E71" s="14" t="s">
        <v>11613</v>
      </c>
      <c r="F71" t="s">
        <v>16237</v>
      </c>
      <c r="G71" s="17" t="str">
        <f>Config!$B$3</f>
        <v>SCH/R_IEC.SchLib</v>
      </c>
      <c r="H71" t="s">
        <v>16254</v>
      </c>
      <c r="I71" s="18" t="s">
        <v>16255</v>
      </c>
      <c r="J71" t="s">
        <v>16424</v>
      </c>
      <c r="M71" s="3">
        <v>2500</v>
      </c>
      <c r="N71" t="s">
        <v>16240</v>
      </c>
      <c r="O71" t="s">
        <v>7506</v>
      </c>
      <c r="P71" t="s">
        <v>16244</v>
      </c>
      <c r="Q71" t="s">
        <v>25</v>
      </c>
      <c r="R71" t="s">
        <v>16245</v>
      </c>
    </row>
    <row r="72" spans="1:22">
      <c r="A72" t="s">
        <v>16403</v>
      </c>
      <c r="B72" t="s">
        <v>16252</v>
      </c>
      <c r="C72" t="s">
        <v>16541</v>
      </c>
      <c r="D72" t="s">
        <v>4479</v>
      </c>
      <c r="E72" s="14" t="s">
        <v>11613</v>
      </c>
      <c r="F72" t="s">
        <v>16238</v>
      </c>
      <c r="G72" s="17" t="str">
        <f>Config!$B$3</f>
        <v>SCH/R_IEC.SchLib</v>
      </c>
      <c r="H72" t="s">
        <v>16254</v>
      </c>
      <c r="I72" s="18" t="s">
        <v>16255</v>
      </c>
      <c r="J72" t="s">
        <v>16424</v>
      </c>
      <c r="M72" s="3">
        <v>3500</v>
      </c>
      <c r="N72" t="s">
        <v>16241</v>
      </c>
      <c r="O72" t="s">
        <v>7506</v>
      </c>
      <c r="P72" t="s">
        <v>16246</v>
      </c>
      <c r="Q72" t="s">
        <v>25</v>
      </c>
      <c r="R72" t="s">
        <v>16247</v>
      </c>
    </row>
    <row r="73" spans="1:22">
      <c r="A73" t="s">
        <v>16404</v>
      </c>
      <c r="B73" t="s">
        <v>16340</v>
      </c>
      <c r="C73" t="s">
        <v>16542</v>
      </c>
      <c r="D73" t="s">
        <v>4479</v>
      </c>
      <c r="E73" s="14" t="s">
        <v>11613</v>
      </c>
      <c r="F73" t="s">
        <v>16338</v>
      </c>
      <c r="G73" s="17" t="str">
        <f>Config!$B$3</f>
        <v>SCH/R_IEC.SchLib</v>
      </c>
      <c r="H73" t="s">
        <v>16254</v>
      </c>
      <c r="I73" s="18" t="s">
        <v>16255</v>
      </c>
      <c r="J73" t="s">
        <v>16424</v>
      </c>
      <c r="M73" s="3">
        <v>4500</v>
      </c>
      <c r="N73" t="s">
        <v>16346</v>
      </c>
      <c r="O73" t="s">
        <v>7506</v>
      </c>
      <c r="P73" t="s">
        <v>16347</v>
      </c>
      <c r="Q73" t="s">
        <v>25</v>
      </c>
      <c r="R73" t="s">
        <v>16348</v>
      </c>
    </row>
    <row r="74" spans="1:22">
      <c r="A74" t="s">
        <v>16405</v>
      </c>
      <c r="B74" t="s">
        <v>16343</v>
      </c>
      <c r="C74" t="s">
        <v>16543</v>
      </c>
      <c r="D74" t="s">
        <v>4479</v>
      </c>
      <c r="E74" s="14" t="s">
        <v>11613</v>
      </c>
      <c r="F74" t="s">
        <v>16345</v>
      </c>
      <c r="G74" s="17" t="str">
        <f>Config!$B$3</f>
        <v>SCH/R_IEC.SchLib</v>
      </c>
      <c r="H74" t="s">
        <v>16254</v>
      </c>
      <c r="I74" s="18" t="s">
        <v>16255</v>
      </c>
      <c r="J74" t="s">
        <v>16424</v>
      </c>
      <c r="M74" s="3">
        <v>5500</v>
      </c>
      <c r="N74" t="s">
        <v>16349</v>
      </c>
      <c r="O74" t="s">
        <v>7506</v>
      </c>
      <c r="P74" t="s">
        <v>16350</v>
      </c>
      <c r="Q74" t="s">
        <v>25</v>
      </c>
      <c r="R74" t="s">
        <v>16351</v>
      </c>
    </row>
    <row r="75" spans="1:22">
      <c r="A75" t="s">
        <v>16406</v>
      </c>
      <c r="B75" t="s">
        <v>16269</v>
      </c>
      <c r="C75" t="s">
        <v>16544</v>
      </c>
      <c r="D75" t="s">
        <v>4479</v>
      </c>
      <c r="E75" s="14" t="s">
        <v>11613</v>
      </c>
      <c r="F75" t="s">
        <v>16253</v>
      </c>
      <c r="G75" s="17" t="str">
        <f>Config!$B$3</f>
        <v>SCH/R_IEC.SchLib</v>
      </c>
      <c r="H75" t="s">
        <v>16254</v>
      </c>
      <c r="I75" s="18" t="s">
        <v>16255</v>
      </c>
      <c r="J75" t="s">
        <v>16424</v>
      </c>
      <c r="M75" s="3">
        <v>800</v>
      </c>
      <c r="N75" t="s">
        <v>16257</v>
      </c>
      <c r="O75" t="s">
        <v>7506</v>
      </c>
      <c r="P75" t="s">
        <v>16258</v>
      </c>
      <c r="Q75" t="s">
        <v>25</v>
      </c>
      <c r="R75" t="s">
        <v>16259</v>
      </c>
      <c r="S75" t="s">
        <v>7506</v>
      </c>
      <c r="T75" t="s">
        <v>16260</v>
      </c>
      <c r="U75" t="s">
        <v>25</v>
      </c>
      <c r="V75" t="s">
        <v>16261</v>
      </c>
    </row>
    <row r="76" spans="1:22">
      <c r="A76" t="s">
        <v>16407</v>
      </c>
      <c r="B76" t="s">
        <v>16248</v>
      </c>
      <c r="C76" t="s">
        <v>16545</v>
      </c>
      <c r="D76" t="s">
        <v>4479</v>
      </c>
      <c r="E76" s="14" t="s">
        <v>11613</v>
      </c>
      <c r="F76" t="s">
        <v>14097</v>
      </c>
      <c r="G76" s="17" t="str">
        <f>Config!$B$3</f>
        <v>SCH/R_IEC.SchLib</v>
      </c>
      <c r="H76" t="s">
        <v>16254</v>
      </c>
      <c r="I76" s="18" t="s">
        <v>16255</v>
      </c>
      <c r="J76" t="s">
        <v>16424</v>
      </c>
      <c r="M76" s="3">
        <v>1000</v>
      </c>
      <c r="N76" t="s">
        <v>16239</v>
      </c>
      <c r="O76" t="s">
        <v>7506</v>
      </c>
      <c r="P76" t="s">
        <v>16262</v>
      </c>
      <c r="Q76" t="s">
        <v>25</v>
      </c>
      <c r="R76" t="s">
        <v>16263</v>
      </c>
      <c r="S76" t="s">
        <v>7506</v>
      </c>
      <c r="T76" t="s">
        <v>16231</v>
      </c>
      <c r="U76" t="s">
        <v>25</v>
      </c>
      <c r="V76" t="s">
        <v>16232</v>
      </c>
    </row>
    <row r="77" spans="1:22">
      <c r="A77" t="s">
        <v>16408</v>
      </c>
      <c r="B77" t="s">
        <v>16249</v>
      </c>
      <c r="C77" t="s">
        <v>16546</v>
      </c>
      <c r="D77" t="s">
        <v>4479</v>
      </c>
      <c r="E77" s="14" t="s">
        <v>11613</v>
      </c>
      <c r="F77" t="s">
        <v>10776</v>
      </c>
      <c r="G77" s="17" t="str">
        <f>Config!$B$3</f>
        <v>SCH/R_IEC.SchLib</v>
      </c>
      <c r="H77" t="s">
        <v>16254</v>
      </c>
      <c r="I77" s="18" t="s">
        <v>16255</v>
      </c>
      <c r="J77" t="s">
        <v>16424</v>
      </c>
      <c r="M77" s="3">
        <v>1200</v>
      </c>
      <c r="N77" t="s">
        <v>16233</v>
      </c>
      <c r="O77" t="s">
        <v>7506</v>
      </c>
      <c r="P77" t="s">
        <v>16234</v>
      </c>
      <c r="Q77" t="s">
        <v>25</v>
      </c>
      <c r="R77" t="s">
        <v>16235</v>
      </c>
    </row>
    <row r="78" spans="1:22">
      <c r="A78" t="s">
        <v>16409</v>
      </c>
      <c r="B78" t="s">
        <v>16250</v>
      </c>
      <c r="C78" t="s">
        <v>16547</v>
      </c>
      <c r="D78" t="s">
        <v>4479</v>
      </c>
      <c r="E78" s="14" t="s">
        <v>11613</v>
      </c>
      <c r="F78" t="s">
        <v>16236</v>
      </c>
      <c r="G78" s="17" t="str">
        <f>Config!$B$3</f>
        <v>SCH/R_IEC.SchLib</v>
      </c>
      <c r="H78" t="s">
        <v>16254</v>
      </c>
      <c r="I78" s="18" t="s">
        <v>16255</v>
      </c>
      <c r="J78" t="s">
        <v>16424</v>
      </c>
      <c r="M78" s="3">
        <v>1400</v>
      </c>
      <c r="N78" t="s">
        <v>16264</v>
      </c>
      <c r="O78" t="s">
        <v>7506</v>
      </c>
      <c r="P78" t="s">
        <v>16265</v>
      </c>
      <c r="Q78" t="s">
        <v>25</v>
      </c>
      <c r="R78" t="s">
        <v>16266</v>
      </c>
      <c r="S78" t="s">
        <v>7506</v>
      </c>
      <c r="T78" t="s">
        <v>16242</v>
      </c>
      <c r="U78" t="s">
        <v>25</v>
      </c>
      <c r="V78" t="s">
        <v>16243</v>
      </c>
    </row>
    <row r="79" spans="1:22">
      <c r="A79" t="s">
        <v>16410</v>
      </c>
      <c r="B79" t="s">
        <v>16330</v>
      </c>
      <c r="C79" t="s">
        <v>16548</v>
      </c>
      <c r="D79" t="s">
        <v>4479</v>
      </c>
      <c r="E79" s="14" t="s">
        <v>11613</v>
      </c>
      <c r="F79" t="s">
        <v>16332</v>
      </c>
      <c r="G79" s="17" t="str">
        <f>Config!$B$3</f>
        <v>SCH/R_IEC.SchLib</v>
      </c>
      <c r="H79" t="s">
        <v>16254</v>
      </c>
      <c r="I79" s="18" t="s">
        <v>16255</v>
      </c>
      <c r="J79" t="s">
        <v>16424</v>
      </c>
      <c r="M79" s="3">
        <v>1600</v>
      </c>
      <c r="N79" t="s">
        <v>16333</v>
      </c>
      <c r="O79" t="s">
        <v>7506</v>
      </c>
      <c r="P79" t="s">
        <v>16334</v>
      </c>
      <c r="Q79" t="s">
        <v>25</v>
      </c>
      <c r="R79" t="s">
        <v>16335</v>
      </c>
      <c r="S79" t="s">
        <v>7506</v>
      </c>
      <c r="T79" t="s">
        <v>16336</v>
      </c>
      <c r="U79" t="s">
        <v>25</v>
      </c>
      <c r="V79" t="s">
        <v>16337</v>
      </c>
    </row>
    <row r="80" spans="1:22">
      <c r="A80" t="s">
        <v>16411</v>
      </c>
      <c r="B80" t="s">
        <v>16251</v>
      </c>
      <c r="C80" t="s">
        <v>16549</v>
      </c>
      <c r="D80" t="s">
        <v>4479</v>
      </c>
      <c r="E80" s="14" t="s">
        <v>11613</v>
      </c>
      <c r="F80" t="s">
        <v>16237</v>
      </c>
      <c r="G80" s="17" t="str">
        <f>Config!$B$3</f>
        <v>SCH/R_IEC.SchLib</v>
      </c>
      <c r="H80" t="s">
        <v>16254</v>
      </c>
      <c r="I80" s="18" t="s">
        <v>16255</v>
      </c>
      <c r="J80" t="s">
        <v>16424</v>
      </c>
      <c r="M80" s="3">
        <v>2500</v>
      </c>
      <c r="N80" t="s">
        <v>16240</v>
      </c>
      <c r="O80" t="s">
        <v>7506</v>
      </c>
      <c r="P80" t="s">
        <v>16244</v>
      </c>
      <c r="Q80" t="s">
        <v>25</v>
      </c>
      <c r="R80" t="s">
        <v>16245</v>
      </c>
    </row>
    <row r="81" spans="1:22">
      <c r="A81" t="s">
        <v>16412</v>
      </c>
      <c r="B81" t="s">
        <v>16252</v>
      </c>
      <c r="C81" t="s">
        <v>16550</v>
      </c>
      <c r="D81" t="s">
        <v>4479</v>
      </c>
      <c r="E81" s="14" t="s">
        <v>11613</v>
      </c>
      <c r="F81" t="s">
        <v>16238</v>
      </c>
      <c r="G81" s="17" t="str">
        <f>Config!$B$3</f>
        <v>SCH/R_IEC.SchLib</v>
      </c>
      <c r="H81" t="s">
        <v>16254</v>
      </c>
      <c r="I81" s="18" t="s">
        <v>16255</v>
      </c>
      <c r="J81" t="s">
        <v>16424</v>
      </c>
      <c r="M81" s="3">
        <v>3500</v>
      </c>
      <c r="N81" t="s">
        <v>16241</v>
      </c>
      <c r="O81" t="s">
        <v>7506</v>
      </c>
      <c r="P81" t="s">
        <v>16246</v>
      </c>
      <c r="Q81" t="s">
        <v>25</v>
      </c>
      <c r="R81" t="s">
        <v>16247</v>
      </c>
    </row>
    <row r="82" spans="1:22">
      <c r="A82" t="s">
        <v>16413</v>
      </c>
      <c r="B82" t="s">
        <v>16340</v>
      </c>
      <c r="C82" t="s">
        <v>16551</v>
      </c>
      <c r="D82" t="s">
        <v>4479</v>
      </c>
      <c r="E82" s="14" t="s">
        <v>11613</v>
      </c>
      <c r="F82" t="s">
        <v>16338</v>
      </c>
      <c r="G82" s="17" t="str">
        <f>Config!$B$3</f>
        <v>SCH/R_IEC.SchLib</v>
      </c>
      <c r="H82" t="s">
        <v>16254</v>
      </c>
      <c r="I82" s="18" t="s">
        <v>16255</v>
      </c>
      <c r="J82" t="s">
        <v>16424</v>
      </c>
      <c r="M82" s="3">
        <v>4500</v>
      </c>
      <c r="N82" t="s">
        <v>16346</v>
      </c>
      <c r="O82" t="s">
        <v>7506</v>
      </c>
      <c r="P82" t="s">
        <v>16347</v>
      </c>
      <c r="Q82" t="s">
        <v>25</v>
      </c>
      <c r="R82" t="s">
        <v>16348</v>
      </c>
    </row>
    <row r="83" spans="1:22">
      <c r="A83" t="s">
        <v>16414</v>
      </c>
      <c r="B83" t="s">
        <v>16343</v>
      </c>
      <c r="C83" t="s">
        <v>16552</v>
      </c>
      <c r="D83" t="s">
        <v>4479</v>
      </c>
      <c r="E83" s="14" t="s">
        <v>11613</v>
      </c>
      <c r="F83" t="s">
        <v>16345</v>
      </c>
      <c r="G83" s="17" t="str">
        <f>Config!$B$3</f>
        <v>SCH/R_IEC.SchLib</v>
      </c>
      <c r="H83" t="s">
        <v>16254</v>
      </c>
      <c r="I83" s="18" t="s">
        <v>16255</v>
      </c>
      <c r="J83" t="s">
        <v>16424</v>
      </c>
      <c r="M83" s="3">
        <v>5500</v>
      </c>
      <c r="N83" t="s">
        <v>16349</v>
      </c>
      <c r="O83" t="s">
        <v>7506</v>
      </c>
      <c r="P83" t="s">
        <v>16350</v>
      </c>
      <c r="Q83" t="s">
        <v>25</v>
      </c>
      <c r="R83" t="s">
        <v>16351</v>
      </c>
    </row>
    <row r="84" spans="1:22">
      <c r="A84" t="s">
        <v>16415</v>
      </c>
      <c r="B84" t="s">
        <v>16269</v>
      </c>
      <c r="C84" t="s">
        <v>16553</v>
      </c>
      <c r="D84" t="s">
        <v>4479</v>
      </c>
      <c r="E84" s="14" t="s">
        <v>11613</v>
      </c>
      <c r="F84" t="s">
        <v>16253</v>
      </c>
      <c r="G84" s="17" t="str">
        <f>Config!$B$3</f>
        <v>SCH/R_IEC.SchLib</v>
      </c>
      <c r="H84" t="s">
        <v>16254</v>
      </c>
      <c r="I84" s="18" t="s">
        <v>16255</v>
      </c>
      <c r="J84" t="s">
        <v>16424</v>
      </c>
      <c r="M84" s="3">
        <v>800</v>
      </c>
      <c r="N84" t="s">
        <v>16257</v>
      </c>
      <c r="O84" t="s">
        <v>7506</v>
      </c>
      <c r="P84" t="s">
        <v>16258</v>
      </c>
      <c r="Q84" t="s">
        <v>25</v>
      </c>
      <c r="R84" t="s">
        <v>16259</v>
      </c>
      <c r="S84" t="s">
        <v>7506</v>
      </c>
      <c r="T84" t="s">
        <v>16260</v>
      </c>
      <c r="U84" t="s">
        <v>25</v>
      </c>
      <c r="V84" t="s">
        <v>16261</v>
      </c>
    </row>
    <row r="85" spans="1:22">
      <c r="A85" t="s">
        <v>16416</v>
      </c>
      <c r="B85" t="s">
        <v>16248</v>
      </c>
      <c r="C85" t="s">
        <v>16554</v>
      </c>
      <c r="D85" t="s">
        <v>4479</v>
      </c>
      <c r="E85" s="14" t="s">
        <v>11613</v>
      </c>
      <c r="F85" t="s">
        <v>14097</v>
      </c>
      <c r="G85" s="17" t="str">
        <f>Config!$B$3</f>
        <v>SCH/R_IEC.SchLib</v>
      </c>
      <c r="H85" t="s">
        <v>16254</v>
      </c>
      <c r="I85" s="18" t="s">
        <v>16255</v>
      </c>
      <c r="J85" t="s">
        <v>16424</v>
      </c>
      <c r="M85" s="3">
        <v>1000</v>
      </c>
      <c r="N85" t="s">
        <v>16239</v>
      </c>
      <c r="O85" t="s">
        <v>7506</v>
      </c>
      <c r="P85" t="s">
        <v>16262</v>
      </c>
      <c r="Q85" t="s">
        <v>25</v>
      </c>
      <c r="R85" t="s">
        <v>16263</v>
      </c>
      <c r="S85" t="s">
        <v>7506</v>
      </c>
      <c r="T85" t="s">
        <v>16231</v>
      </c>
      <c r="U85" t="s">
        <v>25</v>
      </c>
      <c r="V85" t="s">
        <v>16232</v>
      </c>
    </row>
    <row r="86" spans="1:22">
      <c r="A86" t="s">
        <v>16417</v>
      </c>
      <c r="B86" t="s">
        <v>16249</v>
      </c>
      <c r="C86" t="s">
        <v>16555</v>
      </c>
      <c r="D86" t="s">
        <v>4479</v>
      </c>
      <c r="E86" s="14" t="s">
        <v>11613</v>
      </c>
      <c r="F86" t="s">
        <v>10776</v>
      </c>
      <c r="G86" s="17" t="str">
        <f>Config!$B$3</f>
        <v>SCH/R_IEC.SchLib</v>
      </c>
      <c r="H86" t="s">
        <v>16254</v>
      </c>
      <c r="I86" s="18" t="s">
        <v>16255</v>
      </c>
      <c r="J86" t="s">
        <v>16424</v>
      </c>
      <c r="M86" s="3">
        <v>1200</v>
      </c>
      <c r="N86" t="s">
        <v>16233</v>
      </c>
      <c r="O86" t="s">
        <v>7506</v>
      </c>
      <c r="P86" t="s">
        <v>16234</v>
      </c>
      <c r="Q86" t="s">
        <v>25</v>
      </c>
      <c r="R86" t="s">
        <v>16235</v>
      </c>
    </row>
    <row r="87" spans="1:22">
      <c r="A87" t="s">
        <v>16418</v>
      </c>
      <c r="B87" t="s">
        <v>16250</v>
      </c>
      <c r="C87" t="s">
        <v>16556</v>
      </c>
      <c r="D87" t="s">
        <v>4479</v>
      </c>
      <c r="E87" s="14" t="s">
        <v>11613</v>
      </c>
      <c r="F87" t="s">
        <v>16236</v>
      </c>
      <c r="G87" s="17" t="str">
        <f>Config!$B$3</f>
        <v>SCH/R_IEC.SchLib</v>
      </c>
      <c r="H87" t="s">
        <v>16254</v>
      </c>
      <c r="I87" s="18" t="s">
        <v>16255</v>
      </c>
      <c r="J87" t="s">
        <v>16424</v>
      </c>
      <c r="M87" s="3">
        <v>1400</v>
      </c>
      <c r="N87" t="s">
        <v>16264</v>
      </c>
      <c r="O87" t="s">
        <v>7506</v>
      </c>
      <c r="P87" t="s">
        <v>16265</v>
      </c>
      <c r="Q87" t="s">
        <v>25</v>
      </c>
      <c r="R87" t="s">
        <v>16266</v>
      </c>
      <c r="S87" t="s">
        <v>7506</v>
      </c>
      <c r="T87" t="s">
        <v>16242</v>
      </c>
      <c r="U87" t="s">
        <v>25</v>
      </c>
      <c r="V87" t="s">
        <v>16243</v>
      </c>
    </row>
    <row r="88" spans="1:22">
      <c r="A88" t="s">
        <v>16419</v>
      </c>
      <c r="B88" t="s">
        <v>16330</v>
      </c>
      <c r="C88" t="s">
        <v>16557</v>
      </c>
      <c r="D88" t="s">
        <v>4479</v>
      </c>
      <c r="E88" s="14" t="s">
        <v>11613</v>
      </c>
      <c r="F88" t="s">
        <v>16332</v>
      </c>
      <c r="G88" s="17" t="str">
        <f>Config!$B$3</f>
        <v>SCH/R_IEC.SchLib</v>
      </c>
      <c r="H88" t="s">
        <v>16254</v>
      </c>
      <c r="I88" s="18" t="s">
        <v>16255</v>
      </c>
      <c r="J88" t="s">
        <v>16424</v>
      </c>
      <c r="M88" s="3">
        <v>1600</v>
      </c>
      <c r="N88" t="s">
        <v>16333</v>
      </c>
      <c r="O88" t="s">
        <v>7506</v>
      </c>
      <c r="P88" t="s">
        <v>16334</v>
      </c>
      <c r="Q88" t="s">
        <v>25</v>
      </c>
      <c r="R88" t="s">
        <v>16335</v>
      </c>
      <c r="S88" t="s">
        <v>7506</v>
      </c>
      <c r="T88" t="s">
        <v>16336</v>
      </c>
      <c r="U88" t="s">
        <v>25</v>
      </c>
      <c r="V88" t="s">
        <v>16337</v>
      </c>
    </row>
    <row r="89" spans="1:22">
      <c r="A89" t="s">
        <v>16420</v>
      </c>
      <c r="B89" t="s">
        <v>16251</v>
      </c>
      <c r="C89" t="s">
        <v>16558</v>
      </c>
      <c r="D89" t="s">
        <v>4479</v>
      </c>
      <c r="E89" s="14" t="s">
        <v>11613</v>
      </c>
      <c r="F89" t="s">
        <v>16237</v>
      </c>
      <c r="G89" s="17" t="str">
        <f>Config!$B$3</f>
        <v>SCH/R_IEC.SchLib</v>
      </c>
      <c r="H89" t="s">
        <v>16254</v>
      </c>
      <c r="I89" s="18" t="s">
        <v>16255</v>
      </c>
      <c r="J89" t="s">
        <v>16424</v>
      </c>
      <c r="M89" s="3">
        <v>2500</v>
      </c>
      <c r="N89" t="s">
        <v>16240</v>
      </c>
      <c r="O89" t="s">
        <v>7506</v>
      </c>
      <c r="P89" t="s">
        <v>16244</v>
      </c>
      <c r="Q89" t="s">
        <v>25</v>
      </c>
      <c r="R89" t="s">
        <v>16245</v>
      </c>
    </row>
    <row r="90" spans="1:22">
      <c r="A90" t="s">
        <v>16421</v>
      </c>
      <c r="B90" t="s">
        <v>16252</v>
      </c>
      <c r="C90" t="s">
        <v>16559</v>
      </c>
      <c r="D90" t="s">
        <v>4479</v>
      </c>
      <c r="E90" s="14" t="s">
        <v>11613</v>
      </c>
      <c r="F90" t="s">
        <v>16238</v>
      </c>
      <c r="G90" s="17" t="str">
        <f>Config!$B$3</f>
        <v>SCH/R_IEC.SchLib</v>
      </c>
      <c r="H90" t="s">
        <v>16254</v>
      </c>
      <c r="I90" s="18" t="s">
        <v>16255</v>
      </c>
      <c r="J90" t="s">
        <v>16424</v>
      </c>
      <c r="M90" s="3">
        <v>3500</v>
      </c>
      <c r="N90" t="s">
        <v>16241</v>
      </c>
      <c r="O90" t="s">
        <v>7506</v>
      </c>
      <c r="P90" t="s">
        <v>16246</v>
      </c>
      <c r="Q90" t="s">
        <v>25</v>
      </c>
      <c r="R90" t="s">
        <v>16247</v>
      </c>
    </row>
    <row r="91" spans="1:22">
      <c r="A91" t="s">
        <v>16422</v>
      </c>
      <c r="B91" t="s">
        <v>16340</v>
      </c>
      <c r="C91" t="s">
        <v>16560</v>
      </c>
      <c r="D91" t="s">
        <v>4479</v>
      </c>
      <c r="E91" s="14" t="s">
        <v>11613</v>
      </c>
      <c r="F91" t="s">
        <v>16338</v>
      </c>
      <c r="G91" s="17" t="str">
        <f>Config!$B$3</f>
        <v>SCH/R_IEC.SchLib</v>
      </c>
      <c r="H91" t="s">
        <v>16254</v>
      </c>
      <c r="I91" s="18" t="s">
        <v>16255</v>
      </c>
      <c r="J91" t="s">
        <v>16424</v>
      </c>
      <c r="M91" s="3">
        <v>4500</v>
      </c>
      <c r="N91" t="s">
        <v>16346</v>
      </c>
      <c r="O91" t="s">
        <v>7506</v>
      </c>
      <c r="P91" t="s">
        <v>16347</v>
      </c>
      <c r="Q91" t="s">
        <v>25</v>
      </c>
      <c r="R91" t="s">
        <v>16348</v>
      </c>
    </row>
    <row r="92" spans="1:22">
      <c r="A92" t="s">
        <v>16423</v>
      </c>
      <c r="B92" t="s">
        <v>16343</v>
      </c>
      <c r="C92" t="s">
        <v>16561</v>
      </c>
      <c r="D92" t="s">
        <v>4479</v>
      </c>
      <c r="E92" s="14" t="s">
        <v>11613</v>
      </c>
      <c r="F92" t="s">
        <v>16345</v>
      </c>
      <c r="G92" s="17" t="str">
        <f>Config!$B$3</f>
        <v>SCH/R_IEC.SchLib</v>
      </c>
      <c r="H92" t="s">
        <v>16254</v>
      </c>
      <c r="I92" s="18" t="s">
        <v>16255</v>
      </c>
      <c r="J92" t="s">
        <v>16424</v>
      </c>
      <c r="M92" s="3">
        <v>5500</v>
      </c>
      <c r="N92" t="s">
        <v>16349</v>
      </c>
      <c r="O92" t="s">
        <v>7506</v>
      </c>
      <c r="P92" t="s">
        <v>16350</v>
      </c>
      <c r="Q92" t="s">
        <v>25</v>
      </c>
      <c r="R92" t="s">
        <v>16351</v>
      </c>
    </row>
    <row r="94" spans="1:22">
      <c r="A94" t="s">
        <v>16425</v>
      </c>
      <c r="B94" t="s">
        <v>16269</v>
      </c>
      <c r="C94" t="s">
        <v>16562</v>
      </c>
      <c r="D94" t="s">
        <v>4479</v>
      </c>
      <c r="E94" s="14" t="s">
        <v>11613</v>
      </c>
      <c r="F94" t="s">
        <v>16253</v>
      </c>
      <c r="G94" s="17" t="str">
        <f>Config!$B$3</f>
        <v>SCH/R_IEC.SchLib</v>
      </c>
      <c r="H94" t="s">
        <v>16254</v>
      </c>
      <c r="I94" s="18" t="s">
        <v>16255</v>
      </c>
      <c r="J94" t="s">
        <v>16470</v>
      </c>
      <c r="M94" s="3">
        <v>800</v>
      </c>
      <c r="N94" t="s">
        <v>16257</v>
      </c>
      <c r="O94" t="s">
        <v>7506</v>
      </c>
      <c r="P94" t="s">
        <v>16258</v>
      </c>
      <c r="Q94" t="s">
        <v>25</v>
      </c>
      <c r="R94" t="s">
        <v>16259</v>
      </c>
      <c r="S94" t="s">
        <v>7506</v>
      </c>
      <c r="T94" t="s">
        <v>16260</v>
      </c>
      <c r="U94" t="s">
        <v>25</v>
      </c>
      <c r="V94" t="s">
        <v>16261</v>
      </c>
    </row>
    <row r="95" spans="1:22">
      <c r="A95" t="s">
        <v>16426</v>
      </c>
      <c r="B95" t="s">
        <v>16248</v>
      </c>
      <c r="C95" t="s">
        <v>16563</v>
      </c>
      <c r="D95" t="s">
        <v>4479</v>
      </c>
      <c r="E95" s="14" t="s">
        <v>11613</v>
      </c>
      <c r="F95" t="s">
        <v>14097</v>
      </c>
      <c r="G95" s="17" t="str">
        <f>Config!$B$3</f>
        <v>SCH/R_IEC.SchLib</v>
      </c>
      <c r="H95" t="s">
        <v>16254</v>
      </c>
      <c r="I95" s="18" t="s">
        <v>16255</v>
      </c>
      <c r="J95" t="s">
        <v>16470</v>
      </c>
      <c r="M95" s="3">
        <v>1000</v>
      </c>
      <c r="N95" t="s">
        <v>16239</v>
      </c>
      <c r="O95" t="s">
        <v>7506</v>
      </c>
      <c r="P95" t="s">
        <v>16262</v>
      </c>
      <c r="Q95" t="s">
        <v>25</v>
      </c>
      <c r="R95" t="s">
        <v>16263</v>
      </c>
      <c r="S95" t="s">
        <v>7506</v>
      </c>
      <c r="T95" t="s">
        <v>16231</v>
      </c>
      <c r="U95" t="s">
        <v>25</v>
      </c>
      <c r="V95" t="s">
        <v>16232</v>
      </c>
    </row>
    <row r="96" spans="1:22">
      <c r="A96" t="s">
        <v>16427</v>
      </c>
      <c r="B96" t="s">
        <v>16249</v>
      </c>
      <c r="C96" t="s">
        <v>16564</v>
      </c>
      <c r="D96" t="s">
        <v>4479</v>
      </c>
      <c r="E96" s="14" t="s">
        <v>11613</v>
      </c>
      <c r="F96" t="s">
        <v>10776</v>
      </c>
      <c r="G96" s="17" t="str">
        <f>Config!$B$3</f>
        <v>SCH/R_IEC.SchLib</v>
      </c>
      <c r="H96" t="s">
        <v>16254</v>
      </c>
      <c r="I96" s="18" t="s">
        <v>16255</v>
      </c>
      <c r="J96" t="s">
        <v>16470</v>
      </c>
      <c r="M96" s="3">
        <v>1200</v>
      </c>
      <c r="N96" t="s">
        <v>16233</v>
      </c>
      <c r="O96" t="s">
        <v>7506</v>
      </c>
      <c r="P96" t="s">
        <v>16234</v>
      </c>
      <c r="Q96" t="s">
        <v>25</v>
      </c>
      <c r="R96" t="s">
        <v>16235</v>
      </c>
    </row>
    <row r="97" spans="1:22">
      <c r="A97" t="s">
        <v>16428</v>
      </c>
      <c r="B97" t="s">
        <v>16250</v>
      </c>
      <c r="C97" t="s">
        <v>16565</v>
      </c>
      <c r="D97" t="s">
        <v>4479</v>
      </c>
      <c r="E97" s="14" t="s">
        <v>11613</v>
      </c>
      <c r="F97" t="s">
        <v>16236</v>
      </c>
      <c r="G97" s="17" t="str">
        <f>Config!$B$3</f>
        <v>SCH/R_IEC.SchLib</v>
      </c>
      <c r="H97" t="s">
        <v>16254</v>
      </c>
      <c r="I97" s="18" t="s">
        <v>16255</v>
      </c>
      <c r="J97" t="s">
        <v>16470</v>
      </c>
      <c r="M97" s="3">
        <v>1400</v>
      </c>
      <c r="N97" t="s">
        <v>16264</v>
      </c>
      <c r="O97" t="s">
        <v>7506</v>
      </c>
      <c r="P97" t="s">
        <v>16265</v>
      </c>
      <c r="Q97" t="s">
        <v>25</v>
      </c>
      <c r="R97" t="s">
        <v>16266</v>
      </c>
      <c r="S97" t="s">
        <v>7506</v>
      </c>
      <c r="T97" t="s">
        <v>16242</v>
      </c>
      <c r="U97" t="s">
        <v>25</v>
      </c>
      <c r="V97" t="s">
        <v>16243</v>
      </c>
    </row>
    <row r="98" spans="1:22">
      <c r="A98" t="s">
        <v>16429</v>
      </c>
      <c r="B98" t="s">
        <v>16330</v>
      </c>
      <c r="C98" t="s">
        <v>16566</v>
      </c>
      <c r="D98" t="s">
        <v>4479</v>
      </c>
      <c r="E98" s="14" t="s">
        <v>11613</v>
      </c>
      <c r="F98" t="s">
        <v>16332</v>
      </c>
      <c r="G98" s="17" t="str">
        <f>Config!$B$3</f>
        <v>SCH/R_IEC.SchLib</v>
      </c>
      <c r="H98" t="s">
        <v>16254</v>
      </c>
      <c r="I98" s="18" t="s">
        <v>16255</v>
      </c>
      <c r="J98" t="s">
        <v>16470</v>
      </c>
      <c r="M98" s="3">
        <v>1600</v>
      </c>
      <c r="N98" t="s">
        <v>16333</v>
      </c>
      <c r="O98" t="s">
        <v>7506</v>
      </c>
      <c r="P98" t="s">
        <v>16334</v>
      </c>
      <c r="Q98" t="s">
        <v>25</v>
      </c>
      <c r="R98" t="s">
        <v>16335</v>
      </c>
      <c r="S98" t="s">
        <v>7506</v>
      </c>
      <c r="T98" t="s">
        <v>16336</v>
      </c>
      <c r="U98" t="s">
        <v>25</v>
      </c>
      <c r="V98" t="s">
        <v>16337</v>
      </c>
    </row>
    <row r="99" spans="1:22">
      <c r="A99" t="s">
        <v>16430</v>
      </c>
      <c r="B99" t="s">
        <v>16251</v>
      </c>
      <c r="C99" t="s">
        <v>16567</v>
      </c>
      <c r="D99" t="s">
        <v>4479</v>
      </c>
      <c r="E99" s="14" t="s">
        <v>11613</v>
      </c>
      <c r="F99" t="s">
        <v>16237</v>
      </c>
      <c r="G99" s="17" t="str">
        <f>Config!$B$3</f>
        <v>SCH/R_IEC.SchLib</v>
      </c>
      <c r="H99" t="s">
        <v>16254</v>
      </c>
      <c r="I99" s="18" t="s">
        <v>16255</v>
      </c>
      <c r="J99" t="s">
        <v>16470</v>
      </c>
      <c r="M99" s="3">
        <v>2500</v>
      </c>
      <c r="N99" t="s">
        <v>16240</v>
      </c>
      <c r="O99" t="s">
        <v>7506</v>
      </c>
      <c r="P99" t="s">
        <v>16244</v>
      </c>
      <c r="Q99" t="s">
        <v>25</v>
      </c>
      <c r="R99" t="s">
        <v>16245</v>
      </c>
    </row>
    <row r="100" spans="1:22">
      <c r="A100" t="s">
        <v>16431</v>
      </c>
      <c r="B100" t="s">
        <v>16252</v>
      </c>
      <c r="C100" t="s">
        <v>16568</v>
      </c>
      <c r="D100" t="s">
        <v>4479</v>
      </c>
      <c r="E100" s="14" t="s">
        <v>11613</v>
      </c>
      <c r="F100" t="s">
        <v>16238</v>
      </c>
      <c r="G100" s="17" t="str">
        <f>Config!$B$3</f>
        <v>SCH/R_IEC.SchLib</v>
      </c>
      <c r="H100" t="s">
        <v>16254</v>
      </c>
      <c r="I100" s="18" t="s">
        <v>16255</v>
      </c>
      <c r="J100" t="s">
        <v>16470</v>
      </c>
      <c r="M100" s="3">
        <v>3500</v>
      </c>
      <c r="N100" t="s">
        <v>16241</v>
      </c>
      <c r="O100" t="s">
        <v>7506</v>
      </c>
      <c r="P100" t="s">
        <v>16246</v>
      </c>
      <c r="Q100" t="s">
        <v>25</v>
      </c>
      <c r="R100" t="s">
        <v>16247</v>
      </c>
    </row>
    <row r="101" spans="1:22">
      <c r="A101" t="s">
        <v>16432</v>
      </c>
      <c r="B101" t="s">
        <v>16340</v>
      </c>
      <c r="C101" t="s">
        <v>16569</v>
      </c>
      <c r="D101" t="s">
        <v>4479</v>
      </c>
      <c r="E101" s="14" t="s">
        <v>11613</v>
      </c>
      <c r="F101" t="s">
        <v>16338</v>
      </c>
      <c r="G101" s="17" t="str">
        <f>Config!$B$3</f>
        <v>SCH/R_IEC.SchLib</v>
      </c>
      <c r="H101" t="s">
        <v>16254</v>
      </c>
      <c r="I101" s="18" t="s">
        <v>16255</v>
      </c>
      <c r="J101" t="s">
        <v>16470</v>
      </c>
      <c r="M101" s="3">
        <v>4500</v>
      </c>
      <c r="N101" t="s">
        <v>16346</v>
      </c>
      <c r="O101" t="s">
        <v>7506</v>
      </c>
      <c r="P101" t="s">
        <v>16347</v>
      </c>
      <c r="Q101" t="s">
        <v>25</v>
      </c>
      <c r="R101" t="s">
        <v>16348</v>
      </c>
    </row>
    <row r="102" spans="1:22">
      <c r="A102" t="s">
        <v>16433</v>
      </c>
      <c r="B102" t="s">
        <v>16343</v>
      </c>
      <c r="C102" t="s">
        <v>16570</v>
      </c>
      <c r="D102" t="s">
        <v>4479</v>
      </c>
      <c r="E102" s="14" t="s">
        <v>11613</v>
      </c>
      <c r="F102" t="s">
        <v>16345</v>
      </c>
      <c r="G102" s="17" t="str">
        <f>Config!$B$3</f>
        <v>SCH/R_IEC.SchLib</v>
      </c>
      <c r="H102" t="s">
        <v>16254</v>
      </c>
      <c r="I102" s="18" t="s">
        <v>16255</v>
      </c>
      <c r="J102" t="s">
        <v>16470</v>
      </c>
      <c r="M102" s="3">
        <v>5500</v>
      </c>
      <c r="N102" t="s">
        <v>16349</v>
      </c>
      <c r="O102" t="s">
        <v>7506</v>
      </c>
      <c r="P102" t="s">
        <v>16350</v>
      </c>
      <c r="Q102" t="s">
        <v>25</v>
      </c>
      <c r="R102" t="s">
        <v>16351</v>
      </c>
    </row>
    <row r="103" spans="1:22">
      <c r="A103" t="s">
        <v>16434</v>
      </c>
      <c r="B103" t="s">
        <v>16269</v>
      </c>
      <c r="C103" t="s">
        <v>16571</v>
      </c>
      <c r="D103" t="s">
        <v>4479</v>
      </c>
      <c r="E103" s="14" t="s">
        <v>11613</v>
      </c>
      <c r="F103" t="s">
        <v>16253</v>
      </c>
      <c r="G103" s="17" t="str">
        <f>Config!$B$3</f>
        <v>SCH/R_IEC.SchLib</v>
      </c>
      <c r="H103" t="s">
        <v>16254</v>
      </c>
      <c r="I103" s="18" t="s">
        <v>16255</v>
      </c>
      <c r="J103" t="s">
        <v>16470</v>
      </c>
      <c r="M103" s="3">
        <v>800</v>
      </c>
      <c r="N103" t="s">
        <v>16257</v>
      </c>
      <c r="O103" t="s">
        <v>7506</v>
      </c>
      <c r="P103" t="s">
        <v>16258</v>
      </c>
      <c r="Q103" t="s">
        <v>25</v>
      </c>
      <c r="R103" t="s">
        <v>16259</v>
      </c>
      <c r="S103" t="s">
        <v>7506</v>
      </c>
      <c r="T103" t="s">
        <v>16260</v>
      </c>
      <c r="U103" t="s">
        <v>25</v>
      </c>
      <c r="V103" t="s">
        <v>16261</v>
      </c>
    </row>
    <row r="104" spans="1:22">
      <c r="A104" t="s">
        <v>16435</v>
      </c>
      <c r="B104" t="s">
        <v>16248</v>
      </c>
      <c r="C104" t="s">
        <v>16572</v>
      </c>
      <c r="D104" t="s">
        <v>4479</v>
      </c>
      <c r="E104" s="14" t="s">
        <v>11613</v>
      </c>
      <c r="F104" t="s">
        <v>14097</v>
      </c>
      <c r="G104" s="17" t="str">
        <f>Config!$B$3</f>
        <v>SCH/R_IEC.SchLib</v>
      </c>
      <c r="H104" t="s">
        <v>16254</v>
      </c>
      <c r="I104" s="18" t="s">
        <v>16255</v>
      </c>
      <c r="J104" t="s">
        <v>16470</v>
      </c>
      <c r="M104" s="3">
        <v>1000</v>
      </c>
      <c r="N104" t="s">
        <v>16239</v>
      </c>
      <c r="O104" t="s">
        <v>7506</v>
      </c>
      <c r="P104" t="s">
        <v>16262</v>
      </c>
      <c r="Q104" t="s">
        <v>25</v>
      </c>
      <c r="R104" t="s">
        <v>16263</v>
      </c>
      <c r="S104" t="s">
        <v>7506</v>
      </c>
      <c r="T104" t="s">
        <v>16231</v>
      </c>
      <c r="U104" t="s">
        <v>25</v>
      </c>
      <c r="V104" t="s">
        <v>16232</v>
      </c>
    </row>
    <row r="105" spans="1:22">
      <c r="A105" t="s">
        <v>16436</v>
      </c>
      <c r="B105" t="s">
        <v>16249</v>
      </c>
      <c r="C105" t="s">
        <v>16573</v>
      </c>
      <c r="D105" t="s">
        <v>4479</v>
      </c>
      <c r="E105" s="14" t="s">
        <v>11613</v>
      </c>
      <c r="F105" t="s">
        <v>10776</v>
      </c>
      <c r="G105" s="17" t="str">
        <f>Config!$B$3</f>
        <v>SCH/R_IEC.SchLib</v>
      </c>
      <c r="H105" t="s">
        <v>16254</v>
      </c>
      <c r="I105" s="18" t="s">
        <v>16255</v>
      </c>
      <c r="J105" t="s">
        <v>16470</v>
      </c>
      <c r="M105" s="3">
        <v>1200</v>
      </c>
      <c r="N105" t="s">
        <v>16233</v>
      </c>
      <c r="O105" t="s">
        <v>7506</v>
      </c>
      <c r="P105" t="s">
        <v>16234</v>
      </c>
      <c r="Q105" t="s">
        <v>25</v>
      </c>
      <c r="R105" t="s">
        <v>16235</v>
      </c>
    </row>
    <row r="106" spans="1:22">
      <c r="A106" t="s">
        <v>16437</v>
      </c>
      <c r="B106" t="s">
        <v>16250</v>
      </c>
      <c r="C106" t="s">
        <v>16574</v>
      </c>
      <c r="D106" t="s">
        <v>4479</v>
      </c>
      <c r="E106" s="14" t="s">
        <v>11613</v>
      </c>
      <c r="F106" t="s">
        <v>16236</v>
      </c>
      <c r="G106" s="17" t="str">
        <f>Config!$B$3</f>
        <v>SCH/R_IEC.SchLib</v>
      </c>
      <c r="H106" t="s">
        <v>16254</v>
      </c>
      <c r="I106" s="18" t="s">
        <v>16255</v>
      </c>
      <c r="J106" t="s">
        <v>16470</v>
      </c>
      <c r="M106" s="3">
        <v>1400</v>
      </c>
      <c r="N106" t="s">
        <v>16264</v>
      </c>
      <c r="O106" t="s">
        <v>7506</v>
      </c>
      <c r="P106" t="s">
        <v>16265</v>
      </c>
      <c r="Q106" t="s">
        <v>25</v>
      </c>
      <c r="R106" t="s">
        <v>16266</v>
      </c>
      <c r="S106" t="s">
        <v>7506</v>
      </c>
      <c r="T106" t="s">
        <v>16242</v>
      </c>
      <c r="U106" t="s">
        <v>25</v>
      </c>
      <c r="V106" t="s">
        <v>16243</v>
      </c>
    </row>
    <row r="107" spans="1:22">
      <c r="A107" t="s">
        <v>16438</v>
      </c>
      <c r="B107" t="s">
        <v>16330</v>
      </c>
      <c r="C107" t="s">
        <v>16575</v>
      </c>
      <c r="D107" t="s">
        <v>4479</v>
      </c>
      <c r="E107" s="14" t="s">
        <v>11613</v>
      </c>
      <c r="F107" t="s">
        <v>16332</v>
      </c>
      <c r="G107" s="17" t="str">
        <f>Config!$B$3</f>
        <v>SCH/R_IEC.SchLib</v>
      </c>
      <c r="H107" t="s">
        <v>16254</v>
      </c>
      <c r="I107" s="18" t="s">
        <v>16255</v>
      </c>
      <c r="J107" t="s">
        <v>16470</v>
      </c>
      <c r="M107" s="3">
        <v>1600</v>
      </c>
      <c r="N107" t="s">
        <v>16333</v>
      </c>
      <c r="O107" t="s">
        <v>7506</v>
      </c>
      <c r="P107" t="s">
        <v>16334</v>
      </c>
      <c r="Q107" t="s">
        <v>25</v>
      </c>
      <c r="R107" t="s">
        <v>16335</v>
      </c>
      <c r="S107" t="s">
        <v>7506</v>
      </c>
      <c r="T107" t="s">
        <v>16336</v>
      </c>
      <c r="U107" t="s">
        <v>25</v>
      </c>
      <c r="V107" t="s">
        <v>16337</v>
      </c>
    </row>
    <row r="108" spans="1:22">
      <c r="A108" t="s">
        <v>16439</v>
      </c>
      <c r="B108" t="s">
        <v>16251</v>
      </c>
      <c r="C108" t="s">
        <v>16576</v>
      </c>
      <c r="D108" t="s">
        <v>4479</v>
      </c>
      <c r="E108" s="14" t="s">
        <v>11613</v>
      </c>
      <c r="F108" t="s">
        <v>16237</v>
      </c>
      <c r="G108" s="17" t="str">
        <f>Config!$B$3</f>
        <v>SCH/R_IEC.SchLib</v>
      </c>
      <c r="H108" t="s">
        <v>16254</v>
      </c>
      <c r="I108" s="18" t="s">
        <v>16255</v>
      </c>
      <c r="J108" t="s">
        <v>16470</v>
      </c>
      <c r="M108" s="3">
        <v>2500</v>
      </c>
      <c r="N108" t="s">
        <v>16240</v>
      </c>
      <c r="O108" t="s">
        <v>7506</v>
      </c>
      <c r="P108" t="s">
        <v>16244</v>
      </c>
      <c r="Q108" t="s">
        <v>25</v>
      </c>
      <c r="R108" t="s">
        <v>16245</v>
      </c>
    </row>
    <row r="109" spans="1:22">
      <c r="A109" t="s">
        <v>16440</v>
      </c>
      <c r="B109" t="s">
        <v>16252</v>
      </c>
      <c r="C109" t="s">
        <v>16577</v>
      </c>
      <c r="D109" t="s">
        <v>4479</v>
      </c>
      <c r="E109" s="14" t="s">
        <v>11613</v>
      </c>
      <c r="F109" t="s">
        <v>16238</v>
      </c>
      <c r="G109" s="17" t="str">
        <f>Config!$B$3</f>
        <v>SCH/R_IEC.SchLib</v>
      </c>
      <c r="H109" t="s">
        <v>16254</v>
      </c>
      <c r="I109" s="18" t="s">
        <v>16255</v>
      </c>
      <c r="J109" t="s">
        <v>16470</v>
      </c>
      <c r="M109" s="3">
        <v>3500</v>
      </c>
      <c r="N109" t="s">
        <v>16241</v>
      </c>
      <c r="O109" t="s">
        <v>7506</v>
      </c>
      <c r="P109" t="s">
        <v>16246</v>
      </c>
      <c r="Q109" t="s">
        <v>25</v>
      </c>
      <c r="R109" t="s">
        <v>16247</v>
      </c>
    </row>
    <row r="110" spans="1:22">
      <c r="A110" t="s">
        <v>16441</v>
      </c>
      <c r="B110" t="s">
        <v>16340</v>
      </c>
      <c r="C110" t="s">
        <v>16578</v>
      </c>
      <c r="D110" t="s">
        <v>4479</v>
      </c>
      <c r="E110" s="14" t="s">
        <v>11613</v>
      </c>
      <c r="F110" t="s">
        <v>16338</v>
      </c>
      <c r="G110" s="17" t="str">
        <f>Config!$B$3</f>
        <v>SCH/R_IEC.SchLib</v>
      </c>
      <c r="H110" t="s">
        <v>16254</v>
      </c>
      <c r="I110" s="18" t="s">
        <v>16255</v>
      </c>
      <c r="J110" t="s">
        <v>16470</v>
      </c>
      <c r="M110" s="3">
        <v>4500</v>
      </c>
      <c r="N110" t="s">
        <v>16346</v>
      </c>
      <c r="O110" t="s">
        <v>7506</v>
      </c>
      <c r="P110" t="s">
        <v>16347</v>
      </c>
      <c r="Q110" t="s">
        <v>25</v>
      </c>
      <c r="R110" t="s">
        <v>16348</v>
      </c>
    </row>
    <row r="111" spans="1:22">
      <c r="A111" t="s">
        <v>16442</v>
      </c>
      <c r="B111" t="s">
        <v>16343</v>
      </c>
      <c r="C111" t="s">
        <v>16579</v>
      </c>
      <c r="D111" t="s">
        <v>4479</v>
      </c>
      <c r="E111" s="14" t="s">
        <v>11613</v>
      </c>
      <c r="F111" t="s">
        <v>16345</v>
      </c>
      <c r="G111" s="17" t="str">
        <f>Config!$B$3</f>
        <v>SCH/R_IEC.SchLib</v>
      </c>
      <c r="H111" t="s">
        <v>16254</v>
      </c>
      <c r="I111" s="18" t="s">
        <v>16255</v>
      </c>
      <c r="J111" t="s">
        <v>16470</v>
      </c>
      <c r="M111" s="3">
        <v>5500</v>
      </c>
      <c r="N111" t="s">
        <v>16349</v>
      </c>
      <c r="O111" t="s">
        <v>7506</v>
      </c>
      <c r="P111" t="s">
        <v>16350</v>
      </c>
      <c r="Q111" t="s">
        <v>25</v>
      </c>
      <c r="R111" t="s">
        <v>16351</v>
      </c>
    </row>
    <row r="112" spans="1:22">
      <c r="A112" t="s">
        <v>16443</v>
      </c>
      <c r="B112" t="s">
        <v>16269</v>
      </c>
      <c r="C112" t="s">
        <v>16580</v>
      </c>
      <c r="D112" t="s">
        <v>4479</v>
      </c>
      <c r="E112" s="14" t="s">
        <v>11613</v>
      </c>
      <c r="F112" t="s">
        <v>16253</v>
      </c>
      <c r="G112" s="17" t="str">
        <f>Config!$B$3</f>
        <v>SCH/R_IEC.SchLib</v>
      </c>
      <c r="H112" t="s">
        <v>16254</v>
      </c>
      <c r="I112" s="18" t="s">
        <v>16255</v>
      </c>
      <c r="J112" t="s">
        <v>16470</v>
      </c>
      <c r="M112" s="3">
        <v>800</v>
      </c>
      <c r="N112" t="s">
        <v>16257</v>
      </c>
      <c r="O112" t="s">
        <v>7506</v>
      </c>
      <c r="P112" t="s">
        <v>16258</v>
      </c>
      <c r="Q112" t="s">
        <v>25</v>
      </c>
      <c r="R112" t="s">
        <v>16259</v>
      </c>
      <c r="S112" t="s">
        <v>7506</v>
      </c>
      <c r="T112" t="s">
        <v>16260</v>
      </c>
      <c r="U112" t="s">
        <v>25</v>
      </c>
      <c r="V112" t="s">
        <v>16261</v>
      </c>
    </row>
    <row r="113" spans="1:22">
      <c r="A113" t="s">
        <v>16444</v>
      </c>
      <c r="B113" t="s">
        <v>16248</v>
      </c>
      <c r="C113" t="s">
        <v>16581</v>
      </c>
      <c r="D113" t="s">
        <v>4479</v>
      </c>
      <c r="E113" s="14" t="s">
        <v>11613</v>
      </c>
      <c r="F113" t="s">
        <v>14097</v>
      </c>
      <c r="G113" s="17" t="str">
        <f>Config!$B$3</f>
        <v>SCH/R_IEC.SchLib</v>
      </c>
      <c r="H113" t="s">
        <v>16254</v>
      </c>
      <c r="I113" s="18" t="s">
        <v>16255</v>
      </c>
      <c r="J113" t="s">
        <v>16470</v>
      </c>
      <c r="M113" s="3">
        <v>1000</v>
      </c>
      <c r="N113" t="s">
        <v>16239</v>
      </c>
      <c r="O113" t="s">
        <v>7506</v>
      </c>
      <c r="P113" t="s">
        <v>16262</v>
      </c>
      <c r="Q113" t="s">
        <v>25</v>
      </c>
      <c r="R113" t="s">
        <v>16263</v>
      </c>
      <c r="S113" t="s">
        <v>7506</v>
      </c>
      <c r="T113" t="s">
        <v>16231</v>
      </c>
      <c r="U113" t="s">
        <v>25</v>
      </c>
      <c r="V113" t="s">
        <v>16232</v>
      </c>
    </row>
    <row r="114" spans="1:22">
      <c r="A114" t="s">
        <v>16445</v>
      </c>
      <c r="B114" t="s">
        <v>16249</v>
      </c>
      <c r="C114" t="s">
        <v>16582</v>
      </c>
      <c r="D114" t="s">
        <v>4479</v>
      </c>
      <c r="E114" s="14" t="s">
        <v>11613</v>
      </c>
      <c r="F114" t="s">
        <v>10776</v>
      </c>
      <c r="G114" s="17" t="str">
        <f>Config!$B$3</f>
        <v>SCH/R_IEC.SchLib</v>
      </c>
      <c r="H114" t="s">
        <v>16254</v>
      </c>
      <c r="I114" s="18" t="s">
        <v>16255</v>
      </c>
      <c r="J114" t="s">
        <v>16470</v>
      </c>
      <c r="M114" s="3">
        <v>1200</v>
      </c>
      <c r="N114" t="s">
        <v>16233</v>
      </c>
      <c r="O114" t="s">
        <v>7506</v>
      </c>
      <c r="P114" t="s">
        <v>16234</v>
      </c>
      <c r="Q114" t="s">
        <v>25</v>
      </c>
      <c r="R114" t="s">
        <v>16235</v>
      </c>
    </row>
    <row r="115" spans="1:22">
      <c r="A115" t="s">
        <v>16446</v>
      </c>
      <c r="B115" t="s">
        <v>16250</v>
      </c>
      <c r="C115" t="s">
        <v>16583</v>
      </c>
      <c r="D115" t="s">
        <v>4479</v>
      </c>
      <c r="E115" s="14" t="s">
        <v>11613</v>
      </c>
      <c r="F115" t="s">
        <v>16236</v>
      </c>
      <c r="G115" s="17" t="str">
        <f>Config!$B$3</f>
        <v>SCH/R_IEC.SchLib</v>
      </c>
      <c r="H115" t="s">
        <v>16254</v>
      </c>
      <c r="I115" s="18" t="s">
        <v>16255</v>
      </c>
      <c r="J115" t="s">
        <v>16470</v>
      </c>
      <c r="M115" s="3">
        <v>1400</v>
      </c>
      <c r="N115" t="s">
        <v>16264</v>
      </c>
      <c r="O115" t="s">
        <v>7506</v>
      </c>
      <c r="P115" t="s">
        <v>16265</v>
      </c>
      <c r="Q115" t="s">
        <v>25</v>
      </c>
      <c r="R115" t="s">
        <v>16266</v>
      </c>
      <c r="S115" t="s">
        <v>7506</v>
      </c>
      <c r="T115" t="s">
        <v>16242</v>
      </c>
      <c r="U115" t="s">
        <v>25</v>
      </c>
      <c r="V115" t="s">
        <v>16243</v>
      </c>
    </row>
    <row r="116" spans="1:22">
      <c r="A116" t="s">
        <v>16447</v>
      </c>
      <c r="B116" t="s">
        <v>16330</v>
      </c>
      <c r="C116" t="s">
        <v>16584</v>
      </c>
      <c r="D116" t="s">
        <v>4479</v>
      </c>
      <c r="E116" s="14" t="s">
        <v>11613</v>
      </c>
      <c r="F116" t="s">
        <v>16332</v>
      </c>
      <c r="G116" s="17" t="str">
        <f>Config!$B$3</f>
        <v>SCH/R_IEC.SchLib</v>
      </c>
      <c r="H116" t="s">
        <v>16254</v>
      </c>
      <c r="I116" s="18" t="s">
        <v>16255</v>
      </c>
      <c r="J116" t="s">
        <v>16470</v>
      </c>
      <c r="M116" s="3">
        <v>1600</v>
      </c>
      <c r="N116" t="s">
        <v>16333</v>
      </c>
      <c r="O116" t="s">
        <v>7506</v>
      </c>
      <c r="P116" t="s">
        <v>16334</v>
      </c>
      <c r="Q116" t="s">
        <v>25</v>
      </c>
      <c r="R116" t="s">
        <v>16335</v>
      </c>
      <c r="S116" t="s">
        <v>7506</v>
      </c>
      <c r="T116" t="s">
        <v>16336</v>
      </c>
      <c r="U116" t="s">
        <v>25</v>
      </c>
      <c r="V116" t="s">
        <v>16337</v>
      </c>
    </row>
    <row r="117" spans="1:22">
      <c r="A117" t="s">
        <v>16448</v>
      </c>
      <c r="B117" t="s">
        <v>16251</v>
      </c>
      <c r="C117" t="s">
        <v>16585</v>
      </c>
      <c r="D117" t="s">
        <v>4479</v>
      </c>
      <c r="E117" s="14" t="s">
        <v>11613</v>
      </c>
      <c r="F117" t="s">
        <v>16237</v>
      </c>
      <c r="G117" s="17" t="str">
        <f>Config!$B$3</f>
        <v>SCH/R_IEC.SchLib</v>
      </c>
      <c r="H117" t="s">
        <v>16254</v>
      </c>
      <c r="I117" s="18" t="s">
        <v>16255</v>
      </c>
      <c r="J117" t="s">
        <v>16470</v>
      </c>
      <c r="M117" s="3">
        <v>2500</v>
      </c>
      <c r="N117" t="s">
        <v>16240</v>
      </c>
      <c r="O117" t="s">
        <v>7506</v>
      </c>
      <c r="P117" t="s">
        <v>16244</v>
      </c>
      <c r="Q117" t="s">
        <v>25</v>
      </c>
      <c r="R117" t="s">
        <v>16245</v>
      </c>
    </row>
    <row r="118" spans="1:22">
      <c r="A118" t="s">
        <v>16449</v>
      </c>
      <c r="B118" t="s">
        <v>16252</v>
      </c>
      <c r="C118" t="s">
        <v>16586</v>
      </c>
      <c r="D118" t="s">
        <v>4479</v>
      </c>
      <c r="E118" s="14" t="s">
        <v>11613</v>
      </c>
      <c r="F118" t="s">
        <v>16238</v>
      </c>
      <c r="G118" s="17" t="str">
        <f>Config!$B$3</f>
        <v>SCH/R_IEC.SchLib</v>
      </c>
      <c r="H118" t="s">
        <v>16254</v>
      </c>
      <c r="I118" s="18" t="s">
        <v>16255</v>
      </c>
      <c r="J118" t="s">
        <v>16470</v>
      </c>
      <c r="M118" s="3">
        <v>3500</v>
      </c>
      <c r="N118" t="s">
        <v>16241</v>
      </c>
      <c r="O118" t="s">
        <v>7506</v>
      </c>
      <c r="P118" t="s">
        <v>16246</v>
      </c>
      <c r="Q118" t="s">
        <v>25</v>
      </c>
      <c r="R118" t="s">
        <v>16247</v>
      </c>
    </row>
    <row r="119" spans="1:22">
      <c r="A119" t="s">
        <v>16450</v>
      </c>
      <c r="B119" t="s">
        <v>16340</v>
      </c>
      <c r="C119" t="s">
        <v>16587</v>
      </c>
      <c r="D119" t="s">
        <v>4479</v>
      </c>
      <c r="E119" s="14" t="s">
        <v>11613</v>
      </c>
      <c r="F119" t="s">
        <v>16338</v>
      </c>
      <c r="G119" s="17" t="str">
        <f>Config!$B$3</f>
        <v>SCH/R_IEC.SchLib</v>
      </c>
      <c r="H119" t="s">
        <v>16254</v>
      </c>
      <c r="I119" s="18" t="s">
        <v>16255</v>
      </c>
      <c r="J119" t="s">
        <v>16470</v>
      </c>
      <c r="M119" s="3">
        <v>4500</v>
      </c>
      <c r="N119" t="s">
        <v>16346</v>
      </c>
      <c r="O119" t="s">
        <v>7506</v>
      </c>
      <c r="P119" t="s">
        <v>16347</v>
      </c>
      <c r="Q119" t="s">
        <v>25</v>
      </c>
      <c r="R119" t="s">
        <v>16348</v>
      </c>
    </row>
    <row r="120" spans="1:22">
      <c r="A120" t="s">
        <v>16451</v>
      </c>
      <c r="B120" t="s">
        <v>16343</v>
      </c>
      <c r="C120" t="s">
        <v>16588</v>
      </c>
      <c r="D120" t="s">
        <v>4479</v>
      </c>
      <c r="E120" s="14" t="s">
        <v>11613</v>
      </c>
      <c r="F120" t="s">
        <v>16345</v>
      </c>
      <c r="G120" s="17" t="str">
        <f>Config!$B$3</f>
        <v>SCH/R_IEC.SchLib</v>
      </c>
      <c r="H120" t="s">
        <v>16254</v>
      </c>
      <c r="I120" s="18" t="s">
        <v>16255</v>
      </c>
      <c r="J120" t="s">
        <v>16470</v>
      </c>
      <c r="M120" s="3">
        <v>5500</v>
      </c>
      <c r="N120" t="s">
        <v>16349</v>
      </c>
      <c r="O120" t="s">
        <v>7506</v>
      </c>
      <c r="P120" t="s">
        <v>16350</v>
      </c>
      <c r="Q120" t="s">
        <v>25</v>
      </c>
      <c r="R120" t="s">
        <v>16351</v>
      </c>
    </row>
    <row r="121" spans="1:22">
      <c r="A121" t="s">
        <v>16452</v>
      </c>
      <c r="B121" t="s">
        <v>16269</v>
      </c>
      <c r="C121" t="s">
        <v>16589</v>
      </c>
      <c r="D121" t="s">
        <v>4479</v>
      </c>
      <c r="E121" s="14" t="s">
        <v>11613</v>
      </c>
      <c r="F121" t="s">
        <v>16253</v>
      </c>
      <c r="G121" s="17" t="str">
        <f>Config!$B$3</f>
        <v>SCH/R_IEC.SchLib</v>
      </c>
      <c r="H121" t="s">
        <v>16254</v>
      </c>
      <c r="I121" s="18" t="s">
        <v>16255</v>
      </c>
      <c r="J121" t="s">
        <v>16470</v>
      </c>
      <c r="M121" s="3">
        <v>800</v>
      </c>
      <c r="N121" t="s">
        <v>16257</v>
      </c>
      <c r="O121" t="s">
        <v>7506</v>
      </c>
      <c r="P121" t="s">
        <v>16258</v>
      </c>
      <c r="Q121" t="s">
        <v>25</v>
      </c>
      <c r="R121" t="s">
        <v>16259</v>
      </c>
      <c r="S121" t="s">
        <v>7506</v>
      </c>
      <c r="T121" t="s">
        <v>16260</v>
      </c>
      <c r="U121" t="s">
        <v>25</v>
      </c>
      <c r="V121" t="s">
        <v>16261</v>
      </c>
    </row>
    <row r="122" spans="1:22">
      <c r="A122" t="s">
        <v>16453</v>
      </c>
      <c r="B122" t="s">
        <v>16248</v>
      </c>
      <c r="C122" t="s">
        <v>16590</v>
      </c>
      <c r="D122" t="s">
        <v>4479</v>
      </c>
      <c r="E122" s="14" t="s">
        <v>11613</v>
      </c>
      <c r="F122" t="s">
        <v>14097</v>
      </c>
      <c r="G122" s="17" t="str">
        <f>Config!$B$3</f>
        <v>SCH/R_IEC.SchLib</v>
      </c>
      <c r="H122" t="s">
        <v>16254</v>
      </c>
      <c r="I122" s="18" t="s">
        <v>16255</v>
      </c>
      <c r="J122" t="s">
        <v>16470</v>
      </c>
      <c r="M122" s="3">
        <v>1000</v>
      </c>
      <c r="N122" t="s">
        <v>16239</v>
      </c>
      <c r="O122" t="s">
        <v>7506</v>
      </c>
      <c r="P122" t="s">
        <v>16262</v>
      </c>
      <c r="Q122" t="s">
        <v>25</v>
      </c>
      <c r="R122" t="s">
        <v>16263</v>
      </c>
      <c r="S122" t="s">
        <v>7506</v>
      </c>
      <c r="T122" t="s">
        <v>16231</v>
      </c>
      <c r="U122" t="s">
        <v>25</v>
      </c>
      <c r="V122" t="s">
        <v>16232</v>
      </c>
    </row>
    <row r="123" spans="1:22">
      <c r="A123" t="s">
        <v>16454</v>
      </c>
      <c r="B123" t="s">
        <v>16249</v>
      </c>
      <c r="C123" t="s">
        <v>16591</v>
      </c>
      <c r="D123" t="s">
        <v>4479</v>
      </c>
      <c r="E123" s="14" t="s">
        <v>11613</v>
      </c>
      <c r="F123" t="s">
        <v>10776</v>
      </c>
      <c r="G123" s="17" t="str">
        <f>Config!$B$3</f>
        <v>SCH/R_IEC.SchLib</v>
      </c>
      <c r="H123" t="s">
        <v>16254</v>
      </c>
      <c r="I123" s="18" t="s">
        <v>16255</v>
      </c>
      <c r="J123" t="s">
        <v>16470</v>
      </c>
      <c r="M123" s="3">
        <v>1200</v>
      </c>
      <c r="N123" t="s">
        <v>16233</v>
      </c>
      <c r="O123" t="s">
        <v>7506</v>
      </c>
      <c r="P123" t="s">
        <v>16234</v>
      </c>
      <c r="Q123" t="s">
        <v>25</v>
      </c>
      <c r="R123" t="s">
        <v>16235</v>
      </c>
    </row>
    <row r="124" spans="1:22">
      <c r="A124" t="s">
        <v>16455</v>
      </c>
      <c r="B124" t="s">
        <v>16250</v>
      </c>
      <c r="C124" t="s">
        <v>16592</v>
      </c>
      <c r="D124" t="s">
        <v>4479</v>
      </c>
      <c r="E124" s="14" t="s">
        <v>11613</v>
      </c>
      <c r="F124" t="s">
        <v>16236</v>
      </c>
      <c r="G124" s="17" t="str">
        <f>Config!$B$3</f>
        <v>SCH/R_IEC.SchLib</v>
      </c>
      <c r="H124" t="s">
        <v>16254</v>
      </c>
      <c r="I124" s="18" t="s">
        <v>16255</v>
      </c>
      <c r="J124" t="s">
        <v>16470</v>
      </c>
      <c r="M124" s="3">
        <v>1400</v>
      </c>
      <c r="N124" t="s">
        <v>16264</v>
      </c>
      <c r="O124" t="s">
        <v>7506</v>
      </c>
      <c r="P124" t="s">
        <v>16265</v>
      </c>
      <c r="Q124" t="s">
        <v>25</v>
      </c>
      <c r="R124" t="s">
        <v>16266</v>
      </c>
      <c r="S124" t="s">
        <v>7506</v>
      </c>
      <c r="T124" t="s">
        <v>16242</v>
      </c>
      <c r="U124" t="s">
        <v>25</v>
      </c>
      <c r="V124" t="s">
        <v>16243</v>
      </c>
    </row>
    <row r="125" spans="1:22">
      <c r="A125" t="s">
        <v>16456</v>
      </c>
      <c r="B125" t="s">
        <v>16330</v>
      </c>
      <c r="C125" t="s">
        <v>16593</v>
      </c>
      <c r="D125" t="s">
        <v>4479</v>
      </c>
      <c r="E125" s="14" t="s">
        <v>11613</v>
      </c>
      <c r="F125" t="s">
        <v>16332</v>
      </c>
      <c r="G125" s="17" t="str">
        <f>Config!$B$3</f>
        <v>SCH/R_IEC.SchLib</v>
      </c>
      <c r="H125" t="s">
        <v>16254</v>
      </c>
      <c r="I125" s="18" t="s">
        <v>16255</v>
      </c>
      <c r="J125" t="s">
        <v>16470</v>
      </c>
      <c r="M125" s="3">
        <v>1600</v>
      </c>
      <c r="N125" t="s">
        <v>16333</v>
      </c>
      <c r="O125" t="s">
        <v>7506</v>
      </c>
      <c r="P125" t="s">
        <v>16334</v>
      </c>
      <c r="Q125" t="s">
        <v>25</v>
      </c>
      <c r="R125" t="s">
        <v>16335</v>
      </c>
      <c r="S125" t="s">
        <v>7506</v>
      </c>
      <c r="T125" t="s">
        <v>16336</v>
      </c>
      <c r="U125" t="s">
        <v>25</v>
      </c>
      <c r="V125" t="s">
        <v>16337</v>
      </c>
    </row>
    <row r="126" spans="1:22">
      <c r="A126" t="s">
        <v>16457</v>
      </c>
      <c r="B126" t="s">
        <v>16251</v>
      </c>
      <c r="C126" t="s">
        <v>16594</v>
      </c>
      <c r="D126" t="s">
        <v>4479</v>
      </c>
      <c r="E126" s="14" t="s">
        <v>11613</v>
      </c>
      <c r="F126" t="s">
        <v>16237</v>
      </c>
      <c r="G126" s="17" t="str">
        <f>Config!$B$3</f>
        <v>SCH/R_IEC.SchLib</v>
      </c>
      <c r="H126" t="s">
        <v>16254</v>
      </c>
      <c r="I126" s="18" t="s">
        <v>16255</v>
      </c>
      <c r="J126" t="s">
        <v>16470</v>
      </c>
      <c r="M126" s="3">
        <v>2500</v>
      </c>
      <c r="N126" t="s">
        <v>16240</v>
      </c>
      <c r="O126" t="s">
        <v>7506</v>
      </c>
      <c r="P126" t="s">
        <v>16244</v>
      </c>
      <c r="Q126" t="s">
        <v>25</v>
      </c>
      <c r="R126" t="s">
        <v>16245</v>
      </c>
    </row>
    <row r="127" spans="1:22">
      <c r="A127" t="s">
        <v>16458</v>
      </c>
      <c r="B127" t="s">
        <v>16252</v>
      </c>
      <c r="C127" t="s">
        <v>16595</v>
      </c>
      <c r="D127" t="s">
        <v>4479</v>
      </c>
      <c r="E127" s="14" t="s">
        <v>11613</v>
      </c>
      <c r="F127" t="s">
        <v>16238</v>
      </c>
      <c r="G127" s="17" t="str">
        <f>Config!$B$3</f>
        <v>SCH/R_IEC.SchLib</v>
      </c>
      <c r="H127" t="s">
        <v>16254</v>
      </c>
      <c r="I127" s="18" t="s">
        <v>16255</v>
      </c>
      <c r="J127" t="s">
        <v>16470</v>
      </c>
      <c r="M127" s="3">
        <v>3500</v>
      </c>
      <c r="N127" t="s">
        <v>16241</v>
      </c>
      <c r="O127" t="s">
        <v>7506</v>
      </c>
      <c r="P127" t="s">
        <v>16246</v>
      </c>
      <c r="Q127" t="s">
        <v>25</v>
      </c>
      <c r="R127" t="s">
        <v>16247</v>
      </c>
    </row>
    <row r="128" spans="1:22">
      <c r="A128" t="s">
        <v>16459</v>
      </c>
      <c r="B128" t="s">
        <v>16340</v>
      </c>
      <c r="C128" t="s">
        <v>16596</v>
      </c>
      <c r="D128" t="s">
        <v>4479</v>
      </c>
      <c r="E128" s="14" t="s">
        <v>11613</v>
      </c>
      <c r="F128" t="s">
        <v>16338</v>
      </c>
      <c r="G128" s="17" t="str">
        <f>Config!$B$3</f>
        <v>SCH/R_IEC.SchLib</v>
      </c>
      <c r="H128" t="s">
        <v>16254</v>
      </c>
      <c r="I128" s="18" t="s">
        <v>16255</v>
      </c>
      <c r="J128" t="s">
        <v>16470</v>
      </c>
      <c r="M128" s="3">
        <v>4500</v>
      </c>
      <c r="N128" t="s">
        <v>16346</v>
      </c>
      <c r="O128" t="s">
        <v>7506</v>
      </c>
      <c r="P128" t="s">
        <v>16347</v>
      </c>
      <c r="Q128" t="s">
        <v>25</v>
      </c>
      <c r="R128" t="s">
        <v>16348</v>
      </c>
    </row>
    <row r="129" spans="1:22">
      <c r="A129" t="s">
        <v>16460</v>
      </c>
      <c r="B129" t="s">
        <v>16343</v>
      </c>
      <c r="C129" t="s">
        <v>16597</v>
      </c>
      <c r="D129" t="s">
        <v>4479</v>
      </c>
      <c r="E129" s="14" t="s">
        <v>11613</v>
      </c>
      <c r="F129" t="s">
        <v>16345</v>
      </c>
      <c r="G129" s="17" t="str">
        <f>Config!$B$3</f>
        <v>SCH/R_IEC.SchLib</v>
      </c>
      <c r="H129" t="s">
        <v>16254</v>
      </c>
      <c r="I129" s="18" t="s">
        <v>16255</v>
      </c>
      <c r="J129" t="s">
        <v>16470</v>
      </c>
      <c r="M129" s="3">
        <v>5500</v>
      </c>
      <c r="N129" t="s">
        <v>16349</v>
      </c>
      <c r="O129" t="s">
        <v>7506</v>
      </c>
      <c r="P129" t="s">
        <v>16350</v>
      </c>
      <c r="Q129" t="s">
        <v>25</v>
      </c>
      <c r="R129" t="s">
        <v>16351</v>
      </c>
    </row>
    <row r="130" spans="1:22">
      <c r="A130" t="s">
        <v>16461</v>
      </c>
      <c r="B130" t="s">
        <v>16269</v>
      </c>
      <c r="C130" t="s">
        <v>16598</v>
      </c>
      <c r="D130" t="s">
        <v>4479</v>
      </c>
      <c r="E130" s="14" t="s">
        <v>11613</v>
      </c>
      <c r="F130" t="s">
        <v>16253</v>
      </c>
      <c r="G130" s="17" t="str">
        <f>Config!$B$3</f>
        <v>SCH/R_IEC.SchLib</v>
      </c>
      <c r="H130" t="s">
        <v>16254</v>
      </c>
      <c r="I130" s="18" t="s">
        <v>16255</v>
      </c>
      <c r="J130" t="s">
        <v>16470</v>
      </c>
      <c r="M130" s="3">
        <v>800</v>
      </c>
      <c r="N130" t="s">
        <v>16257</v>
      </c>
      <c r="O130" t="s">
        <v>7506</v>
      </c>
      <c r="P130" t="s">
        <v>16258</v>
      </c>
      <c r="Q130" t="s">
        <v>25</v>
      </c>
      <c r="R130" t="s">
        <v>16259</v>
      </c>
      <c r="S130" t="s">
        <v>7506</v>
      </c>
      <c r="T130" t="s">
        <v>16260</v>
      </c>
      <c r="U130" t="s">
        <v>25</v>
      </c>
      <c r="V130" t="s">
        <v>16261</v>
      </c>
    </row>
    <row r="131" spans="1:22">
      <c r="A131" t="s">
        <v>16462</v>
      </c>
      <c r="B131" t="s">
        <v>16248</v>
      </c>
      <c r="C131" t="s">
        <v>16599</v>
      </c>
      <c r="D131" t="s">
        <v>4479</v>
      </c>
      <c r="E131" s="14" t="s">
        <v>11613</v>
      </c>
      <c r="F131" t="s">
        <v>14097</v>
      </c>
      <c r="G131" s="17" t="str">
        <f>Config!$B$3</f>
        <v>SCH/R_IEC.SchLib</v>
      </c>
      <c r="H131" t="s">
        <v>16254</v>
      </c>
      <c r="I131" s="18" t="s">
        <v>16255</v>
      </c>
      <c r="J131" t="s">
        <v>16470</v>
      </c>
      <c r="M131" s="3">
        <v>1000</v>
      </c>
      <c r="N131" t="s">
        <v>16239</v>
      </c>
      <c r="O131" t="s">
        <v>7506</v>
      </c>
      <c r="P131" t="s">
        <v>16262</v>
      </c>
      <c r="Q131" t="s">
        <v>25</v>
      </c>
      <c r="R131" t="s">
        <v>16263</v>
      </c>
      <c r="S131" t="s">
        <v>7506</v>
      </c>
      <c r="T131" t="s">
        <v>16231</v>
      </c>
      <c r="U131" t="s">
        <v>25</v>
      </c>
      <c r="V131" t="s">
        <v>16232</v>
      </c>
    </row>
    <row r="132" spans="1:22">
      <c r="A132" t="s">
        <v>16463</v>
      </c>
      <c r="B132" t="s">
        <v>16249</v>
      </c>
      <c r="C132" t="s">
        <v>16600</v>
      </c>
      <c r="D132" t="s">
        <v>4479</v>
      </c>
      <c r="E132" s="14" t="s">
        <v>11613</v>
      </c>
      <c r="F132" t="s">
        <v>10776</v>
      </c>
      <c r="G132" s="17" t="str">
        <f>Config!$B$3</f>
        <v>SCH/R_IEC.SchLib</v>
      </c>
      <c r="H132" t="s">
        <v>16254</v>
      </c>
      <c r="I132" s="18" t="s">
        <v>16255</v>
      </c>
      <c r="J132" t="s">
        <v>16470</v>
      </c>
      <c r="M132" s="3">
        <v>1200</v>
      </c>
      <c r="N132" t="s">
        <v>16233</v>
      </c>
      <c r="O132" t="s">
        <v>7506</v>
      </c>
      <c r="P132" t="s">
        <v>16234</v>
      </c>
      <c r="Q132" t="s">
        <v>25</v>
      </c>
      <c r="R132" t="s">
        <v>16235</v>
      </c>
    </row>
    <row r="133" spans="1:22">
      <c r="A133" t="s">
        <v>16464</v>
      </c>
      <c r="B133" t="s">
        <v>16250</v>
      </c>
      <c r="C133" t="s">
        <v>16601</v>
      </c>
      <c r="D133" t="s">
        <v>4479</v>
      </c>
      <c r="E133" s="14" t="s">
        <v>11613</v>
      </c>
      <c r="F133" t="s">
        <v>16236</v>
      </c>
      <c r="G133" s="17" t="str">
        <f>Config!$B$3</f>
        <v>SCH/R_IEC.SchLib</v>
      </c>
      <c r="H133" t="s">
        <v>16254</v>
      </c>
      <c r="I133" s="18" t="s">
        <v>16255</v>
      </c>
      <c r="J133" t="s">
        <v>16470</v>
      </c>
      <c r="M133" s="3">
        <v>1400</v>
      </c>
      <c r="N133" t="s">
        <v>16264</v>
      </c>
      <c r="O133" t="s">
        <v>7506</v>
      </c>
      <c r="P133" t="s">
        <v>16265</v>
      </c>
      <c r="Q133" t="s">
        <v>25</v>
      </c>
      <c r="R133" t="s">
        <v>16266</v>
      </c>
      <c r="S133" t="s">
        <v>7506</v>
      </c>
      <c r="T133" t="s">
        <v>16242</v>
      </c>
      <c r="U133" t="s">
        <v>25</v>
      </c>
      <c r="V133" t="s">
        <v>16243</v>
      </c>
    </row>
    <row r="134" spans="1:22">
      <c r="A134" t="s">
        <v>16465</v>
      </c>
      <c r="B134" t="s">
        <v>16330</v>
      </c>
      <c r="C134" t="s">
        <v>16602</v>
      </c>
      <c r="D134" t="s">
        <v>4479</v>
      </c>
      <c r="E134" s="14" t="s">
        <v>11613</v>
      </c>
      <c r="F134" t="s">
        <v>16332</v>
      </c>
      <c r="G134" s="17" t="str">
        <f>Config!$B$3</f>
        <v>SCH/R_IEC.SchLib</v>
      </c>
      <c r="H134" t="s">
        <v>16254</v>
      </c>
      <c r="I134" s="18" t="s">
        <v>16255</v>
      </c>
      <c r="J134" t="s">
        <v>16470</v>
      </c>
      <c r="M134" s="3">
        <v>1600</v>
      </c>
      <c r="N134" t="s">
        <v>16333</v>
      </c>
      <c r="O134" t="s">
        <v>7506</v>
      </c>
      <c r="P134" t="s">
        <v>16334</v>
      </c>
      <c r="Q134" t="s">
        <v>25</v>
      </c>
      <c r="R134" t="s">
        <v>16335</v>
      </c>
      <c r="S134" t="s">
        <v>7506</v>
      </c>
      <c r="T134" t="s">
        <v>16336</v>
      </c>
      <c r="U134" t="s">
        <v>25</v>
      </c>
      <c r="V134" t="s">
        <v>16337</v>
      </c>
    </row>
    <row r="135" spans="1:22">
      <c r="A135" t="s">
        <v>16466</v>
      </c>
      <c r="B135" t="s">
        <v>16251</v>
      </c>
      <c r="C135" t="s">
        <v>16603</v>
      </c>
      <c r="D135" t="s">
        <v>4479</v>
      </c>
      <c r="E135" s="14" t="s">
        <v>11613</v>
      </c>
      <c r="F135" t="s">
        <v>16237</v>
      </c>
      <c r="G135" s="17" t="str">
        <f>Config!$B$3</f>
        <v>SCH/R_IEC.SchLib</v>
      </c>
      <c r="H135" t="s">
        <v>16254</v>
      </c>
      <c r="I135" s="18" t="s">
        <v>16255</v>
      </c>
      <c r="J135" t="s">
        <v>16470</v>
      </c>
      <c r="M135" s="3">
        <v>2500</v>
      </c>
      <c r="N135" t="s">
        <v>16240</v>
      </c>
      <c r="O135" t="s">
        <v>7506</v>
      </c>
      <c r="P135" t="s">
        <v>16244</v>
      </c>
      <c r="Q135" t="s">
        <v>25</v>
      </c>
      <c r="R135" t="s">
        <v>16245</v>
      </c>
    </row>
    <row r="136" spans="1:22">
      <c r="A136" t="s">
        <v>16467</v>
      </c>
      <c r="B136" t="s">
        <v>16252</v>
      </c>
      <c r="C136" t="s">
        <v>16604</v>
      </c>
      <c r="D136" t="s">
        <v>4479</v>
      </c>
      <c r="E136" s="14" t="s">
        <v>11613</v>
      </c>
      <c r="F136" t="s">
        <v>16238</v>
      </c>
      <c r="G136" s="17" t="str">
        <f>Config!$B$3</f>
        <v>SCH/R_IEC.SchLib</v>
      </c>
      <c r="H136" t="s">
        <v>16254</v>
      </c>
      <c r="I136" s="18" t="s">
        <v>16255</v>
      </c>
      <c r="J136" t="s">
        <v>16470</v>
      </c>
      <c r="M136" s="3">
        <v>3500</v>
      </c>
      <c r="N136" t="s">
        <v>16241</v>
      </c>
      <c r="O136" t="s">
        <v>7506</v>
      </c>
      <c r="P136" t="s">
        <v>16246</v>
      </c>
      <c r="Q136" t="s">
        <v>25</v>
      </c>
      <c r="R136" t="s">
        <v>16247</v>
      </c>
    </row>
    <row r="137" spans="1:22">
      <c r="A137" t="s">
        <v>16468</v>
      </c>
      <c r="B137" t="s">
        <v>16340</v>
      </c>
      <c r="C137" t="s">
        <v>16605</v>
      </c>
      <c r="D137" t="s">
        <v>4479</v>
      </c>
      <c r="E137" s="14" t="s">
        <v>11613</v>
      </c>
      <c r="F137" t="s">
        <v>16338</v>
      </c>
      <c r="G137" s="17" t="str">
        <f>Config!$B$3</f>
        <v>SCH/R_IEC.SchLib</v>
      </c>
      <c r="H137" t="s">
        <v>16254</v>
      </c>
      <c r="I137" s="18" t="s">
        <v>16255</v>
      </c>
      <c r="J137" t="s">
        <v>16470</v>
      </c>
      <c r="M137" s="3">
        <v>4500</v>
      </c>
      <c r="N137" t="s">
        <v>16346</v>
      </c>
      <c r="O137" t="s">
        <v>7506</v>
      </c>
      <c r="P137" t="s">
        <v>16347</v>
      </c>
      <c r="Q137" t="s">
        <v>25</v>
      </c>
      <c r="R137" t="s">
        <v>16348</v>
      </c>
    </row>
    <row r="138" spans="1:22">
      <c r="A138" t="s">
        <v>16469</v>
      </c>
      <c r="B138" t="s">
        <v>16343</v>
      </c>
      <c r="C138" t="s">
        <v>16606</v>
      </c>
      <c r="D138" t="s">
        <v>4479</v>
      </c>
      <c r="E138" s="14" t="s">
        <v>11613</v>
      </c>
      <c r="F138" t="s">
        <v>16345</v>
      </c>
      <c r="G138" s="17" t="str">
        <f>Config!$B$3</f>
        <v>SCH/R_IEC.SchLib</v>
      </c>
      <c r="H138" t="s">
        <v>16254</v>
      </c>
      <c r="I138" s="18" t="s">
        <v>16255</v>
      </c>
      <c r="J138" t="s">
        <v>16470</v>
      </c>
      <c r="M138" s="3">
        <v>5500</v>
      </c>
      <c r="N138" t="s">
        <v>16349</v>
      </c>
      <c r="O138" t="s">
        <v>7506</v>
      </c>
      <c r="P138" t="s">
        <v>16350</v>
      </c>
      <c r="Q138" t="s">
        <v>25</v>
      </c>
      <c r="R138" t="s">
        <v>16351</v>
      </c>
    </row>
    <row r="140" spans="1:22">
      <c r="A140" t="s">
        <v>16472</v>
      </c>
      <c r="B140" t="s">
        <v>16269</v>
      </c>
      <c r="C140" t="s">
        <v>16607</v>
      </c>
      <c r="D140" t="s">
        <v>4479</v>
      </c>
      <c r="E140" s="14" t="s">
        <v>11613</v>
      </c>
      <c r="F140" t="s">
        <v>16253</v>
      </c>
      <c r="G140" s="17" t="str">
        <f>Config!$B$3</f>
        <v>SCH/R_IEC.SchLib</v>
      </c>
      <c r="H140" t="s">
        <v>16254</v>
      </c>
      <c r="I140" s="18" t="s">
        <v>16255</v>
      </c>
      <c r="J140" t="s">
        <v>16471</v>
      </c>
      <c r="M140" s="3">
        <v>800</v>
      </c>
      <c r="N140" t="s">
        <v>16257</v>
      </c>
      <c r="O140" t="s">
        <v>7506</v>
      </c>
      <c r="P140" t="s">
        <v>16258</v>
      </c>
      <c r="Q140" t="s">
        <v>25</v>
      </c>
      <c r="R140" t="s">
        <v>16259</v>
      </c>
      <c r="S140" t="s">
        <v>7506</v>
      </c>
      <c r="T140" t="s">
        <v>16260</v>
      </c>
      <c r="U140" t="s">
        <v>25</v>
      </c>
      <c r="V140" t="s">
        <v>16261</v>
      </c>
    </row>
    <row r="141" spans="1:22">
      <c r="A141" t="s">
        <v>16473</v>
      </c>
      <c r="B141" t="s">
        <v>16248</v>
      </c>
      <c r="C141" t="s">
        <v>16608</v>
      </c>
      <c r="D141" t="s">
        <v>4479</v>
      </c>
      <c r="E141" s="14" t="s">
        <v>11613</v>
      </c>
      <c r="F141" t="s">
        <v>14097</v>
      </c>
      <c r="G141" s="17" t="str">
        <f>Config!$B$3</f>
        <v>SCH/R_IEC.SchLib</v>
      </c>
      <c r="H141" t="s">
        <v>16254</v>
      </c>
      <c r="I141" s="18" t="s">
        <v>16255</v>
      </c>
      <c r="J141" t="s">
        <v>16471</v>
      </c>
      <c r="M141" s="3">
        <v>1000</v>
      </c>
      <c r="N141" t="s">
        <v>16239</v>
      </c>
      <c r="O141" t="s">
        <v>7506</v>
      </c>
      <c r="P141" t="s">
        <v>16262</v>
      </c>
      <c r="Q141" t="s">
        <v>25</v>
      </c>
      <c r="R141" t="s">
        <v>16263</v>
      </c>
      <c r="S141" t="s">
        <v>7506</v>
      </c>
      <c r="T141" t="s">
        <v>16231</v>
      </c>
      <c r="U141" t="s">
        <v>25</v>
      </c>
      <c r="V141" t="s">
        <v>16232</v>
      </c>
    </row>
    <row r="142" spans="1:22">
      <c r="A142" t="s">
        <v>16474</v>
      </c>
      <c r="B142" t="s">
        <v>16249</v>
      </c>
      <c r="C142" t="s">
        <v>16609</v>
      </c>
      <c r="D142" t="s">
        <v>4479</v>
      </c>
      <c r="E142" s="14" t="s">
        <v>11613</v>
      </c>
      <c r="F142" t="s">
        <v>10776</v>
      </c>
      <c r="G142" s="17" t="str">
        <f>Config!$B$3</f>
        <v>SCH/R_IEC.SchLib</v>
      </c>
      <c r="H142" t="s">
        <v>16254</v>
      </c>
      <c r="I142" s="18" t="s">
        <v>16255</v>
      </c>
      <c r="J142" t="s">
        <v>16471</v>
      </c>
      <c r="M142" s="3">
        <v>1200</v>
      </c>
      <c r="N142" t="s">
        <v>16233</v>
      </c>
      <c r="O142" t="s">
        <v>7506</v>
      </c>
      <c r="P142" t="s">
        <v>16234</v>
      </c>
      <c r="Q142" t="s">
        <v>25</v>
      </c>
      <c r="R142" t="s">
        <v>16235</v>
      </c>
    </row>
    <row r="143" spans="1:22">
      <c r="A143" t="s">
        <v>16475</v>
      </c>
      <c r="B143" t="s">
        <v>16250</v>
      </c>
      <c r="C143" t="s">
        <v>16610</v>
      </c>
      <c r="D143" t="s">
        <v>4479</v>
      </c>
      <c r="E143" s="14" t="s">
        <v>11613</v>
      </c>
      <c r="F143" t="s">
        <v>16236</v>
      </c>
      <c r="G143" s="17" t="str">
        <f>Config!$B$3</f>
        <v>SCH/R_IEC.SchLib</v>
      </c>
      <c r="H143" t="s">
        <v>16254</v>
      </c>
      <c r="I143" s="18" t="s">
        <v>16255</v>
      </c>
      <c r="J143" t="s">
        <v>16471</v>
      </c>
      <c r="M143" s="3">
        <v>1400</v>
      </c>
      <c r="N143" t="s">
        <v>16264</v>
      </c>
      <c r="O143" t="s">
        <v>7506</v>
      </c>
      <c r="P143" t="s">
        <v>16265</v>
      </c>
      <c r="Q143" t="s">
        <v>25</v>
      </c>
      <c r="R143" t="s">
        <v>16266</v>
      </c>
      <c r="S143" t="s">
        <v>7506</v>
      </c>
      <c r="T143" t="s">
        <v>16242</v>
      </c>
      <c r="U143" t="s">
        <v>25</v>
      </c>
      <c r="V143" t="s">
        <v>16243</v>
      </c>
    </row>
    <row r="144" spans="1:22">
      <c r="A144" t="s">
        <v>16476</v>
      </c>
      <c r="B144" t="s">
        <v>16330</v>
      </c>
      <c r="C144" t="s">
        <v>16611</v>
      </c>
      <c r="D144" t="s">
        <v>4479</v>
      </c>
      <c r="E144" s="14" t="s">
        <v>11613</v>
      </c>
      <c r="F144" t="s">
        <v>16332</v>
      </c>
      <c r="G144" s="17" t="str">
        <f>Config!$B$3</f>
        <v>SCH/R_IEC.SchLib</v>
      </c>
      <c r="H144" t="s">
        <v>16254</v>
      </c>
      <c r="I144" s="18" t="s">
        <v>16255</v>
      </c>
      <c r="J144" t="s">
        <v>16471</v>
      </c>
      <c r="M144" s="3">
        <v>1600</v>
      </c>
      <c r="N144" t="s">
        <v>16333</v>
      </c>
      <c r="O144" t="s">
        <v>7506</v>
      </c>
      <c r="P144" t="s">
        <v>16334</v>
      </c>
      <c r="Q144" t="s">
        <v>25</v>
      </c>
      <c r="R144" t="s">
        <v>16335</v>
      </c>
      <c r="S144" t="s">
        <v>7506</v>
      </c>
      <c r="T144" t="s">
        <v>16336</v>
      </c>
      <c r="U144" t="s">
        <v>25</v>
      </c>
      <c r="V144" t="s">
        <v>16337</v>
      </c>
    </row>
    <row r="145" spans="1:22">
      <c r="A145" t="s">
        <v>16477</v>
      </c>
      <c r="B145" t="s">
        <v>16251</v>
      </c>
      <c r="C145" t="s">
        <v>16612</v>
      </c>
      <c r="D145" t="s">
        <v>4479</v>
      </c>
      <c r="E145" s="14" t="s">
        <v>11613</v>
      </c>
      <c r="F145" t="s">
        <v>16237</v>
      </c>
      <c r="G145" s="17" t="str">
        <f>Config!$B$3</f>
        <v>SCH/R_IEC.SchLib</v>
      </c>
      <c r="H145" t="s">
        <v>16254</v>
      </c>
      <c r="I145" s="18" t="s">
        <v>16255</v>
      </c>
      <c r="J145" t="s">
        <v>16471</v>
      </c>
      <c r="M145" s="3">
        <v>2500</v>
      </c>
      <c r="N145" t="s">
        <v>16240</v>
      </c>
      <c r="O145" t="s">
        <v>7506</v>
      </c>
      <c r="P145" t="s">
        <v>16244</v>
      </c>
      <c r="Q145" t="s">
        <v>25</v>
      </c>
      <c r="R145" t="s">
        <v>16245</v>
      </c>
    </row>
    <row r="146" spans="1:22">
      <c r="A146" t="s">
        <v>16478</v>
      </c>
      <c r="B146" t="s">
        <v>16252</v>
      </c>
      <c r="C146" t="s">
        <v>16613</v>
      </c>
      <c r="D146" t="s">
        <v>4479</v>
      </c>
      <c r="E146" s="14" t="s">
        <v>11613</v>
      </c>
      <c r="F146" t="s">
        <v>16238</v>
      </c>
      <c r="G146" s="17" t="str">
        <f>Config!$B$3</f>
        <v>SCH/R_IEC.SchLib</v>
      </c>
      <c r="H146" t="s">
        <v>16254</v>
      </c>
      <c r="I146" s="18" t="s">
        <v>16255</v>
      </c>
      <c r="J146" t="s">
        <v>16471</v>
      </c>
      <c r="M146" s="3">
        <v>3500</v>
      </c>
      <c r="N146" t="s">
        <v>16241</v>
      </c>
      <c r="O146" t="s">
        <v>7506</v>
      </c>
      <c r="P146" t="s">
        <v>16246</v>
      </c>
      <c r="Q146" t="s">
        <v>25</v>
      </c>
      <c r="R146" t="s">
        <v>16247</v>
      </c>
    </row>
    <row r="147" spans="1:22">
      <c r="A147" t="s">
        <v>16479</v>
      </c>
      <c r="B147" t="s">
        <v>16340</v>
      </c>
      <c r="C147" t="s">
        <v>16614</v>
      </c>
      <c r="D147" t="s">
        <v>4479</v>
      </c>
      <c r="E147" s="14" t="s">
        <v>11613</v>
      </c>
      <c r="F147" t="s">
        <v>16338</v>
      </c>
      <c r="G147" s="17" t="str">
        <f>Config!$B$3</f>
        <v>SCH/R_IEC.SchLib</v>
      </c>
      <c r="H147" t="s">
        <v>16254</v>
      </c>
      <c r="I147" s="18" t="s">
        <v>16255</v>
      </c>
      <c r="J147" t="s">
        <v>16471</v>
      </c>
      <c r="M147" s="3">
        <v>4500</v>
      </c>
      <c r="N147" t="s">
        <v>16346</v>
      </c>
      <c r="O147" t="s">
        <v>7506</v>
      </c>
      <c r="P147" t="s">
        <v>16347</v>
      </c>
      <c r="Q147" t="s">
        <v>25</v>
      </c>
      <c r="R147" t="s">
        <v>16348</v>
      </c>
    </row>
    <row r="148" spans="1:22">
      <c r="A148" t="s">
        <v>16480</v>
      </c>
      <c r="B148" t="s">
        <v>16343</v>
      </c>
      <c r="C148" t="s">
        <v>16615</v>
      </c>
      <c r="D148" t="s">
        <v>4479</v>
      </c>
      <c r="E148" s="14" t="s">
        <v>11613</v>
      </c>
      <c r="F148" t="s">
        <v>16345</v>
      </c>
      <c r="G148" s="17" t="str">
        <f>Config!$B$3</f>
        <v>SCH/R_IEC.SchLib</v>
      </c>
      <c r="H148" t="s">
        <v>16254</v>
      </c>
      <c r="I148" s="18" t="s">
        <v>16255</v>
      </c>
      <c r="J148" t="s">
        <v>16471</v>
      </c>
      <c r="M148" s="3">
        <v>5500</v>
      </c>
      <c r="N148" t="s">
        <v>16349</v>
      </c>
      <c r="O148" t="s">
        <v>7506</v>
      </c>
      <c r="P148" t="s">
        <v>16350</v>
      </c>
      <c r="Q148" t="s">
        <v>25</v>
      </c>
      <c r="R148" t="s">
        <v>16351</v>
      </c>
    </row>
    <row r="149" spans="1:22">
      <c r="A149" t="s">
        <v>16481</v>
      </c>
      <c r="B149" t="s">
        <v>16269</v>
      </c>
      <c r="C149" t="s">
        <v>16616</v>
      </c>
      <c r="D149" t="s">
        <v>4479</v>
      </c>
      <c r="E149" s="14" t="s">
        <v>11613</v>
      </c>
      <c r="F149" t="s">
        <v>16253</v>
      </c>
      <c r="G149" s="17" t="str">
        <f>Config!$B$3</f>
        <v>SCH/R_IEC.SchLib</v>
      </c>
      <c r="H149" t="s">
        <v>16254</v>
      </c>
      <c r="I149" s="18" t="s">
        <v>16255</v>
      </c>
      <c r="J149" t="s">
        <v>16471</v>
      </c>
      <c r="M149" s="3">
        <v>800</v>
      </c>
      <c r="N149" t="s">
        <v>16257</v>
      </c>
      <c r="O149" t="s">
        <v>7506</v>
      </c>
      <c r="P149" t="s">
        <v>16258</v>
      </c>
      <c r="Q149" t="s">
        <v>25</v>
      </c>
      <c r="R149" t="s">
        <v>16259</v>
      </c>
      <c r="S149" t="s">
        <v>7506</v>
      </c>
      <c r="T149" t="s">
        <v>16260</v>
      </c>
      <c r="U149" t="s">
        <v>25</v>
      </c>
      <c r="V149" t="s">
        <v>16261</v>
      </c>
    </row>
    <row r="150" spans="1:22">
      <c r="A150" t="s">
        <v>16482</v>
      </c>
      <c r="B150" t="s">
        <v>16248</v>
      </c>
      <c r="C150" t="s">
        <v>16617</v>
      </c>
      <c r="D150" t="s">
        <v>4479</v>
      </c>
      <c r="E150" s="14" t="s">
        <v>11613</v>
      </c>
      <c r="F150" t="s">
        <v>14097</v>
      </c>
      <c r="G150" s="17" t="str">
        <f>Config!$B$3</f>
        <v>SCH/R_IEC.SchLib</v>
      </c>
      <c r="H150" t="s">
        <v>16254</v>
      </c>
      <c r="I150" s="18" t="s">
        <v>16255</v>
      </c>
      <c r="J150" t="s">
        <v>16471</v>
      </c>
      <c r="M150" s="3">
        <v>1000</v>
      </c>
      <c r="N150" t="s">
        <v>16239</v>
      </c>
      <c r="O150" t="s">
        <v>7506</v>
      </c>
      <c r="P150" t="s">
        <v>16262</v>
      </c>
      <c r="Q150" t="s">
        <v>25</v>
      </c>
      <c r="R150" t="s">
        <v>16263</v>
      </c>
      <c r="S150" t="s">
        <v>7506</v>
      </c>
      <c r="T150" t="s">
        <v>16231</v>
      </c>
      <c r="U150" t="s">
        <v>25</v>
      </c>
      <c r="V150" t="s">
        <v>16232</v>
      </c>
    </row>
    <row r="151" spans="1:22">
      <c r="A151" t="s">
        <v>16483</v>
      </c>
      <c r="B151" t="s">
        <v>16249</v>
      </c>
      <c r="C151" t="s">
        <v>16618</v>
      </c>
      <c r="D151" t="s">
        <v>4479</v>
      </c>
      <c r="E151" s="14" t="s">
        <v>11613</v>
      </c>
      <c r="F151" t="s">
        <v>10776</v>
      </c>
      <c r="G151" s="17" t="str">
        <f>Config!$B$3</f>
        <v>SCH/R_IEC.SchLib</v>
      </c>
      <c r="H151" t="s">
        <v>16254</v>
      </c>
      <c r="I151" s="18" t="s">
        <v>16255</v>
      </c>
      <c r="J151" t="s">
        <v>16471</v>
      </c>
      <c r="M151" s="3">
        <v>1200</v>
      </c>
      <c r="N151" t="s">
        <v>16233</v>
      </c>
      <c r="O151" t="s">
        <v>7506</v>
      </c>
      <c r="P151" t="s">
        <v>16234</v>
      </c>
      <c r="Q151" t="s">
        <v>25</v>
      </c>
      <c r="R151" t="s">
        <v>16235</v>
      </c>
    </row>
    <row r="152" spans="1:22">
      <c r="A152" t="s">
        <v>16484</v>
      </c>
      <c r="B152" t="s">
        <v>16250</v>
      </c>
      <c r="C152" t="s">
        <v>16619</v>
      </c>
      <c r="D152" t="s">
        <v>4479</v>
      </c>
      <c r="E152" s="14" t="s">
        <v>11613</v>
      </c>
      <c r="F152" t="s">
        <v>16236</v>
      </c>
      <c r="G152" s="17" t="str">
        <f>Config!$B$3</f>
        <v>SCH/R_IEC.SchLib</v>
      </c>
      <c r="H152" t="s">
        <v>16254</v>
      </c>
      <c r="I152" s="18" t="s">
        <v>16255</v>
      </c>
      <c r="J152" t="s">
        <v>16471</v>
      </c>
      <c r="M152" s="3">
        <v>1400</v>
      </c>
      <c r="N152" t="s">
        <v>16264</v>
      </c>
      <c r="O152" t="s">
        <v>7506</v>
      </c>
      <c r="P152" t="s">
        <v>16265</v>
      </c>
      <c r="Q152" t="s">
        <v>25</v>
      </c>
      <c r="R152" t="s">
        <v>16266</v>
      </c>
      <c r="S152" t="s">
        <v>7506</v>
      </c>
      <c r="T152" t="s">
        <v>16242</v>
      </c>
      <c r="U152" t="s">
        <v>25</v>
      </c>
      <c r="V152" t="s">
        <v>16243</v>
      </c>
    </row>
    <row r="153" spans="1:22">
      <c r="A153" t="s">
        <v>16485</v>
      </c>
      <c r="B153" t="s">
        <v>16330</v>
      </c>
      <c r="C153" t="s">
        <v>16620</v>
      </c>
      <c r="D153" t="s">
        <v>4479</v>
      </c>
      <c r="E153" s="14" t="s">
        <v>11613</v>
      </c>
      <c r="F153" t="s">
        <v>16332</v>
      </c>
      <c r="G153" s="17" t="str">
        <f>Config!$B$3</f>
        <v>SCH/R_IEC.SchLib</v>
      </c>
      <c r="H153" t="s">
        <v>16254</v>
      </c>
      <c r="I153" s="18" t="s">
        <v>16255</v>
      </c>
      <c r="J153" t="s">
        <v>16471</v>
      </c>
      <c r="M153" s="3">
        <v>1600</v>
      </c>
      <c r="N153" t="s">
        <v>16333</v>
      </c>
      <c r="O153" t="s">
        <v>7506</v>
      </c>
      <c r="P153" t="s">
        <v>16334</v>
      </c>
      <c r="Q153" t="s">
        <v>25</v>
      </c>
      <c r="R153" t="s">
        <v>16335</v>
      </c>
      <c r="S153" t="s">
        <v>7506</v>
      </c>
      <c r="T153" t="s">
        <v>16336</v>
      </c>
      <c r="U153" t="s">
        <v>25</v>
      </c>
      <c r="V153" t="s">
        <v>16337</v>
      </c>
    </row>
    <row r="154" spans="1:22">
      <c r="A154" t="s">
        <v>16486</v>
      </c>
      <c r="B154" t="s">
        <v>16251</v>
      </c>
      <c r="C154" t="s">
        <v>16621</v>
      </c>
      <c r="D154" t="s">
        <v>4479</v>
      </c>
      <c r="E154" s="14" t="s">
        <v>11613</v>
      </c>
      <c r="F154" t="s">
        <v>16237</v>
      </c>
      <c r="G154" s="17" t="str">
        <f>Config!$B$3</f>
        <v>SCH/R_IEC.SchLib</v>
      </c>
      <c r="H154" t="s">
        <v>16254</v>
      </c>
      <c r="I154" s="18" t="s">
        <v>16255</v>
      </c>
      <c r="J154" t="s">
        <v>16471</v>
      </c>
      <c r="M154" s="3">
        <v>2500</v>
      </c>
      <c r="N154" t="s">
        <v>16240</v>
      </c>
      <c r="O154" t="s">
        <v>7506</v>
      </c>
      <c r="P154" t="s">
        <v>16244</v>
      </c>
      <c r="Q154" t="s">
        <v>25</v>
      </c>
      <c r="R154" t="s">
        <v>16245</v>
      </c>
    </row>
    <row r="155" spans="1:22">
      <c r="A155" t="s">
        <v>16487</v>
      </c>
      <c r="B155" t="s">
        <v>16252</v>
      </c>
      <c r="C155" t="s">
        <v>16622</v>
      </c>
      <c r="D155" t="s">
        <v>4479</v>
      </c>
      <c r="E155" s="14" t="s">
        <v>11613</v>
      </c>
      <c r="F155" t="s">
        <v>16238</v>
      </c>
      <c r="G155" s="17" t="str">
        <f>Config!$B$3</f>
        <v>SCH/R_IEC.SchLib</v>
      </c>
      <c r="H155" t="s">
        <v>16254</v>
      </c>
      <c r="I155" s="18" t="s">
        <v>16255</v>
      </c>
      <c r="J155" t="s">
        <v>16471</v>
      </c>
      <c r="M155" s="3">
        <v>3500</v>
      </c>
      <c r="N155" t="s">
        <v>16241</v>
      </c>
      <c r="O155" t="s">
        <v>7506</v>
      </c>
      <c r="P155" t="s">
        <v>16246</v>
      </c>
      <c r="Q155" t="s">
        <v>25</v>
      </c>
      <c r="R155" t="s">
        <v>16247</v>
      </c>
    </row>
    <row r="156" spans="1:22">
      <c r="A156" t="s">
        <v>16488</v>
      </c>
      <c r="B156" t="s">
        <v>16340</v>
      </c>
      <c r="C156" t="s">
        <v>16623</v>
      </c>
      <c r="D156" t="s">
        <v>4479</v>
      </c>
      <c r="E156" s="14" t="s">
        <v>11613</v>
      </c>
      <c r="F156" t="s">
        <v>16338</v>
      </c>
      <c r="G156" s="17" t="str">
        <f>Config!$B$3</f>
        <v>SCH/R_IEC.SchLib</v>
      </c>
      <c r="H156" t="s">
        <v>16254</v>
      </c>
      <c r="I156" s="18" t="s">
        <v>16255</v>
      </c>
      <c r="J156" t="s">
        <v>16471</v>
      </c>
      <c r="M156" s="3">
        <v>4500</v>
      </c>
      <c r="N156" t="s">
        <v>16346</v>
      </c>
      <c r="O156" t="s">
        <v>7506</v>
      </c>
      <c r="P156" t="s">
        <v>16347</v>
      </c>
      <c r="Q156" t="s">
        <v>25</v>
      </c>
      <c r="R156" t="s">
        <v>16348</v>
      </c>
    </row>
    <row r="157" spans="1:22">
      <c r="A157" t="s">
        <v>16489</v>
      </c>
      <c r="B157" t="s">
        <v>16343</v>
      </c>
      <c r="C157" t="s">
        <v>16624</v>
      </c>
      <c r="D157" t="s">
        <v>4479</v>
      </c>
      <c r="E157" s="14" t="s">
        <v>11613</v>
      </c>
      <c r="F157" t="s">
        <v>16345</v>
      </c>
      <c r="G157" s="17" t="str">
        <f>Config!$B$3</f>
        <v>SCH/R_IEC.SchLib</v>
      </c>
      <c r="H157" t="s">
        <v>16254</v>
      </c>
      <c r="I157" s="18" t="s">
        <v>16255</v>
      </c>
      <c r="J157" t="s">
        <v>16471</v>
      </c>
      <c r="M157" s="3">
        <v>5500</v>
      </c>
      <c r="N157" t="s">
        <v>16349</v>
      </c>
      <c r="O157" t="s">
        <v>7506</v>
      </c>
      <c r="P157" t="s">
        <v>16350</v>
      </c>
      <c r="Q157" t="s">
        <v>25</v>
      </c>
      <c r="R157" t="s">
        <v>16351</v>
      </c>
    </row>
    <row r="158" spans="1:22">
      <c r="A158" t="s">
        <v>16490</v>
      </c>
      <c r="B158" t="s">
        <v>16269</v>
      </c>
      <c r="C158" t="s">
        <v>16625</v>
      </c>
      <c r="D158" t="s">
        <v>4479</v>
      </c>
      <c r="E158" s="14" t="s">
        <v>11613</v>
      </c>
      <c r="F158" t="s">
        <v>16253</v>
      </c>
      <c r="G158" s="17" t="str">
        <f>Config!$B$3</f>
        <v>SCH/R_IEC.SchLib</v>
      </c>
      <c r="H158" t="s">
        <v>16254</v>
      </c>
      <c r="I158" s="18" t="s">
        <v>16255</v>
      </c>
      <c r="J158" t="s">
        <v>16471</v>
      </c>
      <c r="M158" s="3">
        <v>800</v>
      </c>
      <c r="N158" t="s">
        <v>16257</v>
      </c>
      <c r="O158" t="s">
        <v>7506</v>
      </c>
      <c r="P158" t="s">
        <v>16258</v>
      </c>
      <c r="Q158" t="s">
        <v>25</v>
      </c>
      <c r="R158" t="s">
        <v>16259</v>
      </c>
      <c r="S158" t="s">
        <v>7506</v>
      </c>
      <c r="T158" t="s">
        <v>16260</v>
      </c>
      <c r="U158" t="s">
        <v>25</v>
      </c>
      <c r="V158" t="s">
        <v>16261</v>
      </c>
    </row>
    <row r="159" spans="1:22">
      <c r="A159" t="s">
        <v>16491</v>
      </c>
      <c r="B159" t="s">
        <v>16248</v>
      </c>
      <c r="C159" t="s">
        <v>16626</v>
      </c>
      <c r="D159" t="s">
        <v>4479</v>
      </c>
      <c r="E159" s="14" t="s">
        <v>11613</v>
      </c>
      <c r="F159" t="s">
        <v>14097</v>
      </c>
      <c r="G159" s="17" t="str">
        <f>Config!$B$3</f>
        <v>SCH/R_IEC.SchLib</v>
      </c>
      <c r="H159" t="s">
        <v>16254</v>
      </c>
      <c r="I159" s="18" t="s">
        <v>16255</v>
      </c>
      <c r="J159" t="s">
        <v>16471</v>
      </c>
      <c r="M159" s="3">
        <v>1000</v>
      </c>
      <c r="N159" t="s">
        <v>16239</v>
      </c>
      <c r="O159" t="s">
        <v>7506</v>
      </c>
      <c r="P159" t="s">
        <v>16262</v>
      </c>
      <c r="Q159" t="s">
        <v>25</v>
      </c>
      <c r="R159" t="s">
        <v>16263</v>
      </c>
      <c r="S159" t="s">
        <v>7506</v>
      </c>
      <c r="T159" t="s">
        <v>16231</v>
      </c>
      <c r="U159" t="s">
        <v>25</v>
      </c>
      <c r="V159" t="s">
        <v>16232</v>
      </c>
    </row>
    <row r="160" spans="1:22">
      <c r="A160" t="s">
        <v>16492</v>
      </c>
      <c r="B160" t="s">
        <v>16249</v>
      </c>
      <c r="C160" t="s">
        <v>16627</v>
      </c>
      <c r="D160" t="s">
        <v>4479</v>
      </c>
      <c r="E160" s="14" t="s">
        <v>11613</v>
      </c>
      <c r="F160" t="s">
        <v>10776</v>
      </c>
      <c r="G160" s="17" t="str">
        <f>Config!$B$3</f>
        <v>SCH/R_IEC.SchLib</v>
      </c>
      <c r="H160" t="s">
        <v>16254</v>
      </c>
      <c r="I160" s="18" t="s">
        <v>16255</v>
      </c>
      <c r="J160" t="s">
        <v>16471</v>
      </c>
      <c r="M160" s="3">
        <v>1200</v>
      </c>
      <c r="N160" t="s">
        <v>16233</v>
      </c>
      <c r="O160" t="s">
        <v>7506</v>
      </c>
      <c r="P160" t="s">
        <v>16234</v>
      </c>
      <c r="Q160" t="s">
        <v>25</v>
      </c>
      <c r="R160" t="s">
        <v>16235</v>
      </c>
    </row>
    <row r="161" spans="1:22">
      <c r="A161" t="s">
        <v>16493</v>
      </c>
      <c r="B161" t="s">
        <v>16250</v>
      </c>
      <c r="C161" t="s">
        <v>16628</v>
      </c>
      <c r="D161" t="s">
        <v>4479</v>
      </c>
      <c r="E161" s="14" t="s">
        <v>11613</v>
      </c>
      <c r="F161" t="s">
        <v>16236</v>
      </c>
      <c r="G161" s="17" t="str">
        <f>Config!$B$3</f>
        <v>SCH/R_IEC.SchLib</v>
      </c>
      <c r="H161" t="s">
        <v>16254</v>
      </c>
      <c r="I161" s="18" t="s">
        <v>16255</v>
      </c>
      <c r="J161" t="s">
        <v>16471</v>
      </c>
      <c r="M161" s="3">
        <v>1400</v>
      </c>
      <c r="N161" t="s">
        <v>16264</v>
      </c>
      <c r="O161" t="s">
        <v>7506</v>
      </c>
      <c r="P161" t="s">
        <v>16265</v>
      </c>
      <c r="Q161" t="s">
        <v>25</v>
      </c>
      <c r="R161" t="s">
        <v>16266</v>
      </c>
      <c r="S161" t="s">
        <v>7506</v>
      </c>
      <c r="T161" t="s">
        <v>16242</v>
      </c>
      <c r="U161" t="s">
        <v>25</v>
      </c>
      <c r="V161" t="s">
        <v>16243</v>
      </c>
    </row>
    <row r="162" spans="1:22">
      <c r="A162" t="s">
        <v>16494</v>
      </c>
      <c r="B162" t="s">
        <v>16330</v>
      </c>
      <c r="C162" t="s">
        <v>16629</v>
      </c>
      <c r="D162" t="s">
        <v>4479</v>
      </c>
      <c r="E162" s="14" t="s">
        <v>11613</v>
      </c>
      <c r="F162" t="s">
        <v>16332</v>
      </c>
      <c r="G162" s="17" t="str">
        <f>Config!$B$3</f>
        <v>SCH/R_IEC.SchLib</v>
      </c>
      <c r="H162" t="s">
        <v>16254</v>
      </c>
      <c r="I162" s="18" t="s">
        <v>16255</v>
      </c>
      <c r="J162" t="s">
        <v>16471</v>
      </c>
      <c r="M162" s="3">
        <v>1600</v>
      </c>
      <c r="N162" t="s">
        <v>16333</v>
      </c>
      <c r="O162" t="s">
        <v>7506</v>
      </c>
      <c r="P162" t="s">
        <v>16334</v>
      </c>
      <c r="Q162" t="s">
        <v>25</v>
      </c>
      <c r="R162" t="s">
        <v>16335</v>
      </c>
      <c r="S162" t="s">
        <v>7506</v>
      </c>
      <c r="T162" t="s">
        <v>16336</v>
      </c>
      <c r="U162" t="s">
        <v>25</v>
      </c>
      <c r="V162" t="s">
        <v>16337</v>
      </c>
    </row>
    <row r="163" spans="1:22">
      <c r="A163" t="s">
        <v>16495</v>
      </c>
      <c r="B163" t="s">
        <v>16251</v>
      </c>
      <c r="C163" t="s">
        <v>16630</v>
      </c>
      <c r="D163" t="s">
        <v>4479</v>
      </c>
      <c r="E163" s="14" t="s">
        <v>11613</v>
      </c>
      <c r="F163" t="s">
        <v>16237</v>
      </c>
      <c r="G163" s="17" t="str">
        <f>Config!$B$3</f>
        <v>SCH/R_IEC.SchLib</v>
      </c>
      <c r="H163" t="s">
        <v>16254</v>
      </c>
      <c r="I163" s="18" t="s">
        <v>16255</v>
      </c>
      <c r="J163" t="s">
        <v>16471</v>
      </c>
      <c r="M163" s="3">
        <v>2500</v>
      </c>
      <c r="N163" t="s">
        <v>16240</v>
      </c>
      <c r="O163" t="s">
        <v>7506</v>
      </c>
      <c r="P163" t="s">
        <v>16244</v>
      </c>
      <c r="Q163" t="s">
        <v>25</v>
      </c>
      <c r="R163" t="s">
        <v>16245</v>
      </c>
    </row>
    <row r="164" spans="1:22">
      <c r="A164" t="s">
        <v>16496</v>
      </c>
      <c r="B164" t="s">
        <v>16252</v>
      </c>
      <c r="C164" t="s">
        <v>16631</v>
      </c>
      <c r="D164" t="s">
        <v>4479</v>
      </c>
      <c r="E164" s="14" t="s">
        <v>11613</v>
      </c>
      <c r="F164" t="s">
        <v>16238</v>
      </c>
      <c r="G164" s="17" t="str">
        <f>Config!$B$3</f>
        <v>SCH/R_IEC.SchLib</v>
      </c>
      <c r="H164" t="s">
        <v>16254</v>
      </c>
      <c r="I164" s="18" t="s">
        <v>16255</v>
      </c>
      <c r="J164" t="s">
        <v>16471</v>
      </c>
      <c r="M164" s="3">
        <v>3500</v>
      </c>
      <c r="N164" t="s">
        <v>16241</v>
      </c>
      <c r="O164" t="s">
        <v>7506</v>
      </c>
      <c r="P164" t="s">
        <v>16246</v>
      </c>
      <c r="Q164" t="s">
        <v>25</v>
      </c>
      <c r="R164" t="s">
        <v>16247</v>
      </c>
    </row>
    <row r="165" spans="1:22">
      <c r="A165" t="s">
        <v>16497</v>
      </c>
      <c r="B165" t="s">
        <v>16340</v>
      </c>
      <c r="C165" t="s">
        <v>16632</v>
      </c>
      <c r="D165" t="s">
        <v>4479</v>
      </c>
      <c r="E165" s="14" t="s">
        <v>11613</v>
      </c>
      <c r="F165" t="s">
        <v>16338</v>
      </c>
      <c r="G165" s="17" t="str">
        <f>Config!$B$3</f>
        <v>SCH/R_IEC.SchLib</v>
      </c>
      <c r="H165" t="s">
        <v>16254</v>
      </c>
      <c r="I165" s="18" t="s">
        <v>16255</v>
      </c>
      <c r="J165" t="s">
        <v>16471</v>
      </c>
      <c r="M165" s="3">
        <v>4500</v>
      </c>
      <c r="N165" t="s">
        <v>16346</v>
      </c>
      <c r="O165" t="s">
        <v>7506</v>
      </c>
      <c r="P165" t="s">
        <v>16347</v>
      </c>
      <c r="Q165" t="s">
        <v>25</v>
      </c>
      <c r="R165" t="s">
        <v>16348</v>
      </c>
    </row>
    <row r="166" spans="1:22">
      <c r="A166" t="s">
        <v>16498</v>
      </c>
      <c r="B166" t="s">
        <v>16343</v>
      </c>
      <c r="C166" t="s">
        <v>16633</v>
      </c>
      <c r="D166" t="s">
        <v>4479</v>
      </c>
      <c r="E166" s="14" t="s">
        <v>11613</v>
      </c>
      <c r="F166" t="s">
        <v>16345</v>
      </c>
      <c r="G166" s="17" t="str">
        <f>Config!$B$3</f>
        <v>SCH/R_IEC.SchLib</v>
      </c>
      <c r="H166" t="s">
        <v>16254</v>
      </c>
      <c r="I166" s="18" t="s">
        <v>16255</v>
      </c>
      <c r="J166" t="s">
        <v>16471</v>
      </c>
      <c r="M166" s="3">
        <v>5500</v>
      </c>
      <c r="N166" t="s">
        <v>16349</v>
      </c>
      <c r="O166" t="s">
        <v>7506</v>
      </c>
      <c r="P166" t="s">
        <v>16350</v>
      </c>
      <c r="Q166" t="s">
        <v>25</v>
      </c>
      <c r="R166" t="s">
        <v>16351</v>
      </c>
    </row>
    <row r="167" spans="1:22">
      <c r="A167" t="s">
        <v>16499</v>
      </c>
      <c r="B167" t="s">
        <v>16269</v>
      </c>
      <c r="C167" t="s">
        <v>16634</v>
      </c>
      <c r="D167" t="s">
        <v>4479</v>
      </c>
      <c r="E167" s="14" t="s">
        <v>11613</v>
      </c>
      <c r="F167" t="s">
        <v>16253</v>
      </c>
      <c r="G167" s="17" t="str">
        <f>Config!$B$3</f>
        <v>SCH/R_IEC.SchLib</v>
      </c>
      <c r="H167" t="s">
        <v>16254</v>
      </c>
      <c r="I167" s="18" t="s">
        <v>16255</v>
      </c>
      <c r="J167" t="s">
        <v>16471</v>
      </c>
      <c r="M167" s="3">
        <v>800</v>
      </c>
      <c r="N167" t="s">
        <v>16257</v>
      </c>
      <c r="O167" t="s">
        <v>7506</v>
      </c>
      <c r="P167" t="s">
        <v>16258</v>
      </c>
      <c r="Q167" t="s">
        <v>25</v>
      </c>
      <c r="R167" t="s">
        <v>16259</v>
      </c>
      <c r="S167" t="s">
        <v>7506</v>
      </c>
      <c r="T167" t="s">
        <v>16260</v>
      </c>
      <c r="U167" t="s">
        <v>25</v>
      </c>
      <c r="V167" t="s">
        <v>16261</v>
      </c>
    </row>
    <row r="168" spans="1:22">
      <c r="A168" t="s">
        <v>16500</v>
      </c>
      <c r="B168" t="s">
        <v>16248</v>
      </c>
      <c r="C168" t="s">
        <v>16635</v>
      </c>
      <c r="D168" t="s">
        <v>4479</v>
      </c>
      <c r="E168" s="14" t="s">
        <v>11613</v>
      </c>
      <c r="F168" t="s">
        <v>14097</v>
      </c>
      <c r="G168" s="17" t="str">
        <f>Config!$B$3</f>
        <v>SCH/R_IEC.SchLib</v>
      </c>
      <c r="H168" t="s">
        <v>16254</v>
      </c>
      <c r="I168" s="18" t="s">
        <v>16255</v>
      </c>
      <c r="J168" t="s">
        <v>16471</v>
      </c>
      <c r="M168" s="3">
        <v>1000</v>
      </c>
      <c r="N168" t="s">
        <v>16239</v>
      </c>
      <c r="O168" t="s">
        <v>7506</v>
      </c>
      <c r="P168" t="s">
        <v>16262</v>
      </c>
      <c r="Q168" t="s">
        <v>25</v>
      </c>
      <c r="R168" t="s">
        <v>16263</v>
      </c>
      <c r="S168" t="s">
        <v>7506</v>
      </c>
      <c r="T168" t="s">
        <v>16231</v>
      </c>
      <c r="U168" t="s">
        <v>25</v>
      </c>
      <c r="V168" t="s">
        <v>16232</v>
      </c>
    </row>
    <row r="169" spans="1:22">
      <c r="A169" t="s">
        <v>16501</v>
      </c>
      <c r="B169" t="s">
        <v>16249</v>
      </c>
      <c r="C169" t="s">
        <v>16636</v>
      </c>
      <c r="D169" t="s">
        <v>4479</v>
      </c>
      <c r="E169" s="14" t="s">
        <v>11613</v>
      </c>
      <c r="F169" t="s">
        <v>10776</v>
      </c>
      <c r="G169" s="17" t="str">
        <f>Config!$B$3</f>
        <v>SCH/R_IEC.SchLib</v>
      </c>
      <c r="H169" t="s">
        <v>16254</v>
      </c>
      <c r="I169" s="18" t="s">
        <v>16255</v>
      </c>
      <c r="J169" t="s">
        <v>16471</v>
      </c>
      <c r="M169" s="3">
        <v>1200</v>
      </c>
      <c r="N169" t="s">
        <v>16233</v>
      </c>
      <c r="O169" t="s">
        <v>7506</v>
      </c>
      <c r="P169" t="s">
        <v>16234</v>
      </c>
      <c r="Q169" t="s">
        <v>25</v>
      </c>
      <c r="R169" t="s">
        <v>16235</v>
      </c>
    </row>
    <row r="170" spans="1:22">
      <c r="A170" t="s">
        <v>16502</v>
      </c>
      <c r="B170" t="s">
        <v>16250</v>
      </c>
      <c r="C170" t="s">
        <v>16637</v>
      </c>
      <c r="D170" t="s">
        <v>4479</v>
      </c>
      <c r="E170" s="14" t="s">
        <v>11613</v>
      </c>
      <c r="F170" t="s">
        <v>16236</v>
      </c>
      <c r="G170" s="17" t="str">
        <f>Config!$B$3</f>
        <v>SCH/R_IEC.SchLib</v>
      </c>
      <c r="H170" t="s">
        <v>16254</v>
      </c>
      <c r="I170" s="18" t="s">
        <v>16255</v>
      </c>
      <c r="J170" t="s">
        <v>16471</v>
      </c>
      <c r="M170" s="3">
        <v>1400</v>
      </c>
      <c r="N170" t="s">
        <v>16264</v>
      </c>
      <c r="O170" t="s">
        <v>7506</v>
      </c>
      <c r="P170" t="s">
        <v>16265</v>
      </c>
      <c r="Q170" t="s">
        <v>25</v>
      </c>
      <c r="R170" t="s">
        <v>16266</v>
      </c>
      <c r="S170" t="s">
        <v>7506</v>
      </c>
      <c r="T170" t="s">
        <v>16242</v>
      </c>
      <c r="U170" t="s">
        <v>25</v>
      </c>
      <c r="V170" t="s">
        <v>16243</v>
      </c>
    </row>
    <row r="171" spans="1:22">
      <c r="A171" t="s">
        <v>16503</v>
      </c>
      <c r="B171" t="s">
        <v>16330</v>
      </c>
      <c r="C171" t="s">
        <v>16638</v>
      </c>
      <c r="D171" t="s">
        <v>4479</v>
      </c>
      <c r="E171" s="14" t="s">
        <v>11613</v>
      </c>
      <c r="F171" t="s">
        <v>16332</v>
      </c>
      <c r="G171" s="17" t="str">
        <f>Config!$B$3</f>
        <v>SCH/R_IEC.SchLib</v>
      </c>
      <c r="H171" t="s">
        <v>16254</v>
      </c>
      <c r="I171" s="18" t="s">
        <v>16255</v>
      </c>
      <c r="J171" t="s">
        <v>16471</v>
      </c>
      <c r="M171" s="3">
        <v>1600</v>
      </c>
      <c r="N171" t="s">
        <v>16333</v>
      </c>
      <c r="O171" t="s">
        <v>7506</v>
      </c>
      <c r="P171" t="s">
        <v>16334</v>
      </c>
      <c r="Q171" t="s">
        <v>25</v>
      </c>
      <c r="R171" t="s">
        <v>16335</v>
      </c>
      <c r="S171" t="s">
        <v>7506</v>
      </c>
      <c r="T171" t="s">
        <v>16336</v>
      </c>
      <c r="U171" t="s">
        <v>25</v>
      </c>
      <c r="V171" t="s">
        <v>16337</v>
      </c>
    </row>
    <row r="172" spans="1:22">
      <c r="A172" t="s">
        <v>16504</v>
      </c>
      <c r="B172" t="s">
        <v>16251</v>
      </c>
      <c r="C172" t="s">
        <v>16639</v>
      </c>
      <c r="D172" t="s">
        <v>4479</v>
      </c>
      <c r="E172" s="14" t="s">
        <v>11613</v>
      </c>
      <c r="F172" t="s">
        <v>16237</v>
      </c>
      <c r="G172" s="17" t="str">
        <f>Config!$B$3</f>
        <v>SCH/R_IEC.SchLib</v>
      </c>
      <c r="H172" t="s">
        <v>16254</v>
      </c>
      <c r="I172" s="18" t="s">
        <v>16255</v>
      </c>
      <c r="J172" t="s">
        <v>16471</v>
      </c>
      <c r="M172" s="3">
        <v>2500</v>
      </c>
      <c r="N172" t="s">
        <v>16240</v>
      </c>
      <c r="O172" t="s">
        <v>7506</v>
      </c>
      <c r="P172" t="s">
        <v>16244</v>
      </c>
      <c r="Q172" t="s">
        <v>25</v>
      </c>
      <c r="R172" t="s">
        <v>16245</v>
      </c>
    </row>
    <row r="173" spans="1:22">
      <c r="A173" t="s">
        <v>16505</v>
      </c>
      <c r="B173" t="s">
        <v>16252</v>
      </c>
      <c r="C173" t="s">
        <v>16640</v>
      </c>
      <c r="D173" t="s">
        <v>4479</v>
      </c>
      <c r="E173" s="14" t="s">
        <v>11613</v>
      </c>
      <c r="F173" t="s">
        <v>16238</v>
      </c>
      <c r="G173" s="17" t="str">
        <f>Config!$B$3</f>
        <v>SCH/R_IEC.SchLib</v>
      </c>
      <c r="H173" t="s">
        <v>16254</v>
      </c>
      <c r="I173" s="18" t="s">
        <v>16255</v>
      </c>
      <c r="J173" t="s">
        <v>16471</v>
      </c>
      <c r="M173" s="3">
        <v>3500</v>
      </c>
      <c r="N173" t="s">
        <v>16241</v>
      </c>
      <c r="O173" t="s">
        <v>7506</v>
      </c>
      <c r="P173" t="s">
        <v>16246</v>
      </c>
      <c r="Q173" t="s">
        <v>25</v>
      </c>
      <c r="R173" t="s">
        <v>16247</v>
      </c>
    </row>
    <row r="174" spans="1:22">
      <c r="A174" t="s">
        <v>16506</v>
      </c>
      <c r="B174" t="s">
        <v>16340</v>
      </c>
      <c r="C174" t="s">
        <v>16641</v>
      </c>
      <c r="D174" t="s">
        <v>4479</v>
      </c>
      <c r="E174" s="14" t="s">
        <v>11613</v>
      </c>
      <c r="F174" t="s">
        <v>16338</v>
      </c>
      <c r="G174" s="17" t="str">
        <f>Config!$B$3</f>
        <v>SCH/R_IEC.SchLib</v>
      </c>
      <c r="H174" t="s">
        <v>16254</v>
      </c>
      <c r="I174" s="18" t="s">
        <v>16255</v>
      </c>
      <c r="J174" t="s">
        <v>16471</v>
      </c>
      <c r="M174" s="3">
        <v>4500</v>
      </c>
      <c r="N174" t="s">
        <v>16346</v>
      </c>
      <c r="O174" t="s">
        <v>7506</v>
      </c>
      <c r="P174" t="s">
        <v>16347</v>
      </c>
      <c r="Q174" t="s">
        <v>25</v>
      </c>
      <c r="R174" t="s">
        <v>16348</v>
      </c>
    </row>
    <row r="175" spans="1:22">
      <c r="A175" t="s">
        <v>16507</v>
      </c>
      <c r="B175" t="s">
        <v>16343</v>
      </c>
      <c r="C175" t="s">
        <v>16642</v>
      </c>
      <c r="D175" t="s">
        <v>4479</v>
      </c>
      <c r="E175" s="14" t="s">
        <v>11613</v>
      </c>
      <c r="F175" t="s">
        <v>16345</v>
      </c>
      <c r="G175" s="17" t="str">
        <f>Config!$B$3</f>
        <v>SCH/R_IEC.SchLib</v>
      </c>
      <c r="H175" t="s">
        <v>16254</v>
      </c>
      <c r="I175" s="18" t="s">
        <v>16255</v>
      </c>
      <c r="J175" t="s">
        <v>16471</v>
      </c>
      <c r="M175" s="3">
        <v>5500</v>
      </c>
      <c r="N175" t="s">
        <v>16349</v>
      </c>
      <c r="O175" t="s">
        <v>7506</v>
      </c>
      <c r="P175" t="s">
        <v>16350</v>
      </c>
      <c r="Q175" t="s">
        <v>25</v>
      </c>
      <c r="R175" t="s">
        <v>16351</v>
      </c>
    </row>
    <row r="176" spans="1:22">
      <c r="A176" t="s">
        <v>16508</v>
      </c>
      <c r="B176" t="s">
        <v>16269</v>
      </c>
      <c r="C176" t="s">
        <v>16643</v>
      </c>
      <c r="D176" t="s">
        <v>4479</v>
      </c>
      <c r="E176" s="14" t="s">
        <v>11613</v>
      </c>
      <c r="F176" t="s">
        <v>16253</v>
      </c>
      <c r="G176" s="17" t="str">
        <f>Config!$B$3</f>
        <v>SCH/R_IEC.SchLib</v>
      </c>
      <c r="H176" t="s">
        <v>16254</v>
      </c>
      <c r="I176" s="18" t="s">
        <v>16255</v>
      </c>
      <c r="J176" t="s">
        <v>16471</v>
      </c>
      <c r="M176" s="3">
        <v>800</v>
      </c>
      <c r="N176" t="s">
        <v>16257</v>
      </c>
      <c r="O176" t="s">
        <v>7506</v>
      </c>
      <c r="P176" t="s">
        <v>16258</v>
      </c>
      <c r="Q176" t="s">
        <v>25</v>
      </c>
      <c r="R176" t="s">
        <v>16259</v>
      </c>
      <c r="S176" t="s">
        <v>7506</v>
      </c>
      <c r="T176" t="s">
        <v>16260</v>
      </c>
      <c r="U176" t="s">
        <v>25</v>
      </c>
      <c r="V176" t="s">
        <v>16261</v>
      </c>
    </row>
    <row r="177" spans="1:22">
      <c r="A177" t="s">
        <v>16509</v>
      </c>
      <c r="B177" t="s">
        <v>16248</v>
      </c>
      <c r="C177" t="s">
        <v>16644</v>
      </c>
      <c r="D177" t="s">
        <v>4479</v>
      </c>
      <c r="E177" s="14" t="s">
        <v>11613</v>
      </c>
      <c r="F177" t="s">
        <v>14097</v>
      </c>
      <c r="G177" s="17" t="str">
        <f>Config!$B$3</f>
        <v>SCH/R_IEC.SchLib</v>
      </c>
      <c r="H177" t="s">
        <v>16254</v>
      </c>
      <c r="I177" s="18" t="s">
        <v>16255</v>
      </c>
      <c r="J177" t="s">
        <v>16471</v>
      </c>
      <c r="M177" s="3">
        <v>1000</v>
      </c>
      <c r="N177" t="s">
        <v>16239</v>
      </c>
      <c r="O177" t="s">
        <v>7506</v>
      </c>
      <c r="P177" t="s">
        <v>16262</v>
      </c>
      <c r="Q177" t="s">
        <v>25</v>
      </c>
      <c r="R177" t="s">
        <v>16263</v>
      </c>
      <c r="S177" t="s">
        <v>7506</v>
      </c>
      <c r="T177" t="s">
        <v>16231</v>
      </c>
      <c r="U177" t="s">
        <v>25</v>
      </c>
      <c r="V177" t="s">
        <v>16232</v>
      </c>
    </row>
    <row r="178" spans="1:22">
      <c r="A178" t="s">
        <v>16510</v>
      </c>
      <c r="B178" t="s">
        <v>16249</v>
      </c>
      <c r="C178" t="s">
        <v>16645</v>
      </c>
      <c r="D178" t="s">
        <v>4479</v>
      </c>
      <c r="E178" s="14" t="s">
        <v>11613</v>
      </c>
      <c r="F178" t="s">
        <v>10776</v>
      </c>
      <c r="G178" s="17" t="str">
        <f>Config!$B$3</f>
        <v>SCH/R_IEC.SchLib</v>
      </c>
      <c r="H178" t="s">
        <v>16254</v>
      </c>
      <c r="I178" s="18" t="s">
        <v>16255</v>
      </c>
      <c r="J178" t="s">
        <v>16471</v>
      </c>
      <c r="M178" s="3">
        <v>1200</v>
      </c>
      <c r="N178" t="s">
        <v>16233</v>
      </c>
      <c r="O178" t="s">
        <v>7506</v>
      </c>
      <c r="P178" t="s">
        <v>16234</v>
      </c>
      <c r="Q178" t="s">
        <v>25</v>
      </c>
      <c r="R178" t="s">
        <v>16235</v>
      </c>
    </row>
    <row r="179" spans="1:22">
      <c r="A179" t="s">
        <v>16511</v>
      </c>
      <c r="B179" t="s">
        <v>16250</v>
      </c>
      <c r="C179" t="s">
        <v>16646</v>
      </c>
      <c r="D179" t="s">
        <v>4479</v>
      </c>
      <c r="E179" s="14" t="s">
        <v>11613</v>
      </c>
      <c r="F179" t="s">
        <v>16236</v>
      </c>
      <c r="G179" s="17" t="str">
        <f>Config!$B$3</f>
        <v>SCH/R_IEC.SchLib</v>
      </c>
      <c r="H179" t="s">
        <v>16254</v>
      </c>
      <c r="I179" s="18" t="s">
        <v>16255</v>
      </c>
      <c r="J179" t="s">
        <v>16471</v>
      </c>
      <c r="M179" s="3">
        <v>1400</v>
      </c>
      <c r="N179" t="s">
        <v>16264</v>
      </c>
      <c r="O179" t="s">
        <v>7506</v>
      </c>
      <c r="P179" t="s">
        <v>16265</v>
      </c>
      <c r="Q179" t="s">
        <v>25</v>
      </c>
      <c r="R179" t="s">
        <v>16266</v>
      </c>
      <c r="S179" t="s">
        <v>7506</v>
      </c>
      <c r="T179" t="s">
        <v>16242</v>
      </c>
      <c r="U179" t="s">
        <v>25</v>
      </c>
      <c r="V179" t="s">
        <v>16243</v>
      </c>
    </row>
    <row r="180" spans="1:22">
      <c r="A180" t="s">
        <v>16512</v>
      </c>
      <c r="B180" t="s">
        <v>16330</v>
      </c>
      <c r="C180" t="s">
        <v>16647</v>
      </c>
      <c r="D180" t="s">
        <v>4479</v>
      </c>
      <c r="E180" s="14" t="s">
        <v>11613</v>
      </c>
      <c r="F180" t="s">
        <v>16332</v>
      </c>
      <c r="G180" s="17" t="str">
        <f>Config!$B$3</f>
        <v>SCH/R_IEC.SchLib</v>
      </c>
      <c r="H180" t="s">
        <v>16254</v>
      </c>
      <c r="I180" s="18" t="s">
        <v>16255</v>
      </c>
      <c r="J180" t="s">
        <v>16471</v>
      </c>
      <c r="M180" s="3">
        <v>1600</v>
      </c>
      <c r="N180" t="s">
        <v>16333</v>
      </c>
      <c r="O180" t="s">
        <v>7506</v>
      </c>
      <c r="P180" t="s">
        <v>16334</v>
      </c>
      <c r="Q180" t="s">
        <v>25</v>
      </c>
      <c r="R180" t="s">
        <v>16335</v>
      </c>
      <c r="S180" t="s">
        <v>7506</v>
      </c>
      <c r="T180" t="s">
        <v>16336</v>
      </c>
      <c r="U180" t="s">
        <v>25</v>
      </c>
      <c r="V180" t="s">
        <v>16337</v>
      </c>
    </row>
    <row r="181" spans="1:22">
      <c r="A181" t="s">
        <v>16513</v>
      </c>
      <c r="B181" t="s">
        <v>16251</v>
      </c>
      <c r="C181" t="s">
        <v>16648</v>
      </c>
      <c r="D181" t="s">
        <v>4479</v>
      </c>
      <c r="E181" s="14" t="s">
        <v>11613</v>
      </c>
      <c r="F181" t="s">
        <v>16237</v>
      </c>
      <c r="G181" s="17" t="str">
        <f>Config!$B$3</f>
        <v>SCH/R_IEC.SchLib</v>
      </c>
      <c r="H181" t="s">
        <v>16254</v>
      </c>
      <c r="I181" s="18" t="s">
        <v>16255</v>
      </c>
      <c r="J181" t="s">
        <v>16471</v>
      </c>
      <c r="M181" s="3">
        <v>2500</v>
      </c>
      <c r="N181" t="s">
        <v>16240</v>
      </c>
      <c r="O181" t="s">
        <v>7506</v>
      </c>
      <c r="P181" t="s">
        <v>16244</v>
      </c>
      <c r="Q181" t="s">
        <v>25</v>
      </c>
      <c r="R181" t="s">
        <v>16245</v>
      </c>
    </row>
    <row r="182" spans="1:22">
      <c r="A182" t="s">
        <v>16514</v>
      </c>
      <c r="B182" t="s">
        <v>16252</v>
      </c>
      <c r="C182" t="s">
        <v>16649</v>
      </c>
      <c r="D182" t="s">
        <v>4479</v>
      </c>
      <c r="E182" s="14" t="s">
        <v>11613</v>
      </c>
      <c r="F182" t="s">
        <v>16238</v>
      </c>
      <c r="G182" s="17" t="str">
        <f>Config!$B$3</f>
        <v>SCH/R_IEC.SchLib</v>
      </c>
      <c r="H182" t="s">
        <v>16254</v>
      </c>
      <c r="I182" s="18" t="s">
        <v>16255</v>
      </c>
      <c r="J182" t="s">
        <v>16471</v>
      </c>
      <c r="M182" s="3">
        <v>3500</v>
      </c>
      <c r="N182" t="s">
        <v>16241</v>
      </c>
      <c r="O182" t="s">
        <v>7506</v>
      </c>
      <c r="P182" t="s">
        <v>16246</v>
      </c>
      <c r="Q182" t="s">
        <v>25</v>
      </c>
      <c r="R182" t="s">
        <v>16247</v>
      </c>
    </row>
    <row r="183" spans="1:22">
      <c r="A183" t="s">
        <v>16515</v>
      </c>
      <c r="B183" t="s">
        <v>16340</v>
      </c>
      <c r="C183" t="s">
        <v>16650</v>
      </c>
      <c r="D183" t="s">
        <v>4479</v>
      </c>
      <c r="E183" s="14" t="s">
        <v>11613</v>
      </c>
      <c r="F183" t="s">
        <v>16338</v>
      </c>
      <c r="G183" s="17" t="str">
        <f>Config!$B$3</f>
        <v>SCH/R_IEC.SchLib</v>
      </c>
      <c r="H183" t="s">
        <v>16254</v>
      </c>
      <c r="I183" s="18" t="s">
        <v>16255</v>
      </c>
      <c r="J183" t="s">
        <v>16471</v>
      </c>
      <c r="M183" s="3">
        <v>4500</v>
      </c>
      <c r="N183" t="s">
        <v>16346</v>
      </c>
      <c r="O183" t="s">
        <v>7506</v>
      </c>
      <c r="P183" t="s">
        <v>16347</v>
      </c>
      <c r="Q183" t="s">
        <v>25</v>
      </c>
      <c r="R183" t="s">
        <v>16348</v>
      </c>
    </row>
    <row r="184" spans="1:22">
      <c r="A184" t="s">
        <v>16516</v>
      </c>
      <c r="B184" t="s">
        <v>16343</v>
      </c>
      <c r="C184" t="s">
        <v>16651</v>
      </c>
      <c r="D184" t="s">
        <v>4479</v>
      </c>
      <c r="E184" s="14" t="s">
        <v>11613</v>
      </c>
      <c r="F184" t="s">
        <v>16345</v>
      </c>
      <c r="G184" s="17" t="str">
        <f>Config!$B$3</f>
        <v>SCH/R_IEC.SchLib</v>
      </c>
      <c r="H184" t="s">
        <v>16254</v>
      </c>
      <c r="I184" s="18" t="s">
        <v>16255</v>
      </c>
      <c r="J184" t="s">
        <v>16471</v>
      </c>
      <c r="M184" s="3">
        <v>5500</v>
      </c>
      <c r="N184" t="s">
        <v>16349</v>
      </c>
      <c r="O184" t="s">
        <v>7506</v>
      </c>
      <c r="P184" t="s">
        <v>16350</v>
      </c>
      <c r="Q184" t="s">
        <v>25</v>
      </c>
      <c r="R184" t="s">
        <v>16351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tabSelected="1" zoomScaleNormal="100" workbookViewId="0">
      <pane xSplit="1" ySplit="1" topLeftCell="H245" activePane="bottomRight" state="frozen"/>
      <selection pane="topRight" activeCell="B1" sqref="B1"/>
      <selection pane="bottomLeft" activeCell="A2" sqref="A2"/>
      <selection pane="bottomRight" activeCell="S276" sqref="S276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8013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8013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8013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  <row r="276" spans="1:23">
      <c r="A276" t="s">
        <v>18132</v>
      </c>
      <c r="B276" t="s">
        <v>18132</v>
      </c>
      <c r="C276" t="s">
        <v>18133</v>
      </c>
      <c r="D276" t="s">
        <v>13332</v>
      </c>
      <c r="F276" t="s">
        <v>2655</v>
      </c>
      <c r="G276" t="s">
        <v>18134</v>
      </c>
      <c r="H276" t="s">
        <v>13059</v>
      </c>
      <c r="I276" t="s">
        <v>18135</v>
      </c>
      <c r="J276" t="s">
        <v>18138</v>
      </c>
      <c r="K276" t="s">
        <v>13332</v>
      </c>
      <c r="L276" t="s">
        <v>18137</v>
      </c>
      <c r="M276" t="s">
        <v>25</v>
      </c>
      <c r="N276" t="s">
        <v>18136</v>
      </c>
      <c r="S276" t="s">
        <v>18141</v>
      </c>
      <c r="T276" t="s">
        <v>18140</v>
      </c>
      <c r="U276" t="s">
        <v>4559</v>
      </c>
      <c r="V276" t="s">
        <v>18139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16195</v>
      </c>
      <c r="L1" s="1" t="s">
        <v>16196</v>
      </c>
      <c r="M1" s="1" t="s">
        <v>16197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15025</v>
      </c>
      <c r="B2" t="s">
        <v>15025</v>
      </c>
      <c r="C2" t="s">
        <v>14965</v>
      </c>
      <c r="D2" t="s">
        <v>4310</v>
      </c>
      <c r="F2" t="str">
        <f>Config!$B$7</f>
        <v>SCH/Connector.SchLib</v>
      </c>
      <c r="G2" t="s">
        <v>14932</v>
      </c>
      <c r="H2" t="s">
        <v>15024</v>
      </c>
      <c r="I2" t="s">
        <v>14962</v>
      </c>
      <c r="J2" s="47"/>
      <c r="K2" s="47" t="s">
        <v>16198</v>
      </c>
      <c r="L2" t="s">
        <v>16198</v>
      </c>
      <c r="M2" t="s">
        <v>16219</v>
      </c>
    </row>
    <row r="3" spans="1:23">
      <c r="A3" t="s">
        <v>14933</v>
      </c>
      <c r="B3" t="s">
        <v>14933</v>
      </c>
      <c r="C3" t="s">
        <v>14964</v>
      </c>
      <c r="D3" t="s">
        <v>4310</v>
      </c>
      <c r="F3" t="str">
        <f>Config!$B$7</f>
        <v>SCH/Connector.SchLib</v>
      </c>
      <c r="G3" t="s">
        <v>14932</v>
      </c>
      <c r="H3" t="s">
        <v>15024</v>
      </c>
      <c r="I3" t="s">
        <v>14963</v>
      </c>
      <c r="J3" s="47"/>
      <c r="K3" s="47" t="s">
        <v>16198</v>
      </c>
      <c r="L3" t="s">
        <v>16199</v>
      </c>
      <c r="M3" t="s">
        <v>16219</v>
      </c>
    </row>
    <row r="4" spans="1:23">
      <c r="A4" t="s">
        <v>15026</v>
      </c>
      <c r="B4" t="s">
        <v>15026</v>
      </c>
      <c r="C4" t="s">
        <v>14966</v>
      </c>
      <c r="D4" t="s">
        <v>4310</v>
      </c>
      <c r="F4" t="str">
        <f>Config!$B$7</f>
        <v>SCH/Connector.SchLib</v>
      </c>
      <c r="G4" t="s">
        <v>14932</v>
      </c>
      <c r="H4" t="s">
        <v>15024</v>
      </c>
      <c r="I4" t="s">
        <v>14934</v>
      </c>
      <c r="J4" s="47"/>
      <c r="K4" s="47" t="s">
        <v>16199</v>
      </c>
      <c r="L4" t="s">
        <v>16198</v>
      </c>
      <c r="M4" t="s">
        <v>16219</v>
      </c>
    </row>
    <row r="5" spans="1:23">
      <c r="A5" t="s">
        <v>15027</v>
      </c>
      <c r="B5" t="s">
        <v>15027</v>
      </c>
      <c r="C5" t="s">
        <v>14967</v>
      </c>
      <c r="D5" t="s">
        <v>4310</v>
      </c>
      <c r="F5" t="str">
        <f>Config!$B$7</f>
        <v>SCH/Connector.SchLib</v>
      </c>
      <c r="G5" t="s">
        <v>14932</v>
      </c>
      <c r="H5" t="s">
        <v>15024</v>
      </c>
      <c r="I5" t="s">
        <v>14935</v>
      </c>
      <c r="J5" s="47"/>
      <c r="K5" s="47" t="s">
        <v>16199</v>
      </c>
      <c r="L5" t="s">
        <v>16199</v>
      </c>
      <c r="M5" t="s">
        <v>16219</v>
      </c>
    </row>
    <row r="6" spans="1:23">
      <c r="A6" t="s">
        <v>15028</v>
      </c>
      <c r="B6" t="s">
        <v>15028</v>
      </c>
      <c r="C6" t="s">
        <v>14969</v>
      </c>
      <c r="D6" t="s">
        <v>4310</v>
      </c>
      <c r="F6" t="str">
        <f>Config!$B$7</f>
        <v>SCH/Connector.SchLib</v>
      </c>
      <c r="G6" t="s">
        <v>14932</v>
      </c>
      <c r="H6" t="s">
        <v>15024</v>
      </c>
      <c r="I6" t="s">
        <v>14936</v>
      </c>
      <c r="J6" s="47"/>
      <c r="K6" s="47" t="s">
        <v>16199</v>
      </c>
      <c r="L6" t="s">
        <v>16200</v>
      </c>
      <c r="M6" t="s">
        <v>16219</v>
      </c>
    </row>
    <row r="7" spans="1:23">
      <c r="A7" t="s">
        <v>15029</v>
      </c>
      <c r="B7" t="s">
        <v>15029</v>
      </c>
      <c r="C7" t="s">
        <v>14970</v>
      </c>
      <c r="D7" t="s">
        <v>4310</v>
      </c>
      <c r="F7" t="str">
        <f>Config!$B$7</f>
        <v>SCH/Connector.SchLib</v>
      </c>
      <c r="G7" t="s">
        <v>14932</v>
      </c>
      <c r="H7" t="s">
        <v>15024</v>
      </c>
      <c r="I7" t="s">
        <v>14937</v>
      </c>
      <c r="J7" s="47"/>
      <c r="K7" s="47" t="s">
        <v>16200</v>
      </c>
      <c r="L7" t="s">
        <v>16198</v>
      </c>
      <c r="M7" t="s">
        <v>16219</v>
      </c>
    </row>
    <row r="8" spans="1:23">
      <c r="A8" t="s">
        <v>15030</v>
      </c>
      <c r="B8" t="s">
        <v>15030</v>
      </c>
      <c r="C8" t="s">
        <v>14971</v>
      </c>
      <c r="D8" t="s">
        <v>4310</v>
      </c>
      <c r="F8" t="str">
        <f>Config!$B$7</f>
        <v>SCH/Connector.SchLib</v>
      </c>
      <c r="G8" t="s">
        <v>14932</v>
      </c>
      <c r="H8" t="s">
        <v>15024</v>
      </c>
      <c r="I8" t="s">
        <v>14938</v>
      </c>
      <c r="J8" s="47"/>
      <c r="K8" s="47" t="s">
        <v>16200</v>
      </c>
      <c r="L8" t="s">
        <v>16199</v>
      </c>
      <c r="M8" t="s">
        <v>16219</v>
      </c>
    </row>
    <row r="9" spans="1:23">
      <c r="A9" t="s">
        <v>15031</v>
      </c>
      <c r="B9" t="s">
        <v>15031</v>
      </c>
      <c r="C9" t="s">
        <v>14972</v>
      </c>
      <c r="D9" t="s">
        <v>4310</v>
      </c>
      <c r="F9" t="str">
        <f>Config!$B$7</f>
        <v>SCH/Connector.SchLib</v>
      </c>
      <c r="G9" t="s">
        <v>14932</v>
      </c>
      <c r="H9" t="s">
        <v>15024</v>
      </c>
      <c r="I9" t="s">
        <v>14939</v>
      </c>
      <c r="J9" s="47"/>
      <c r="K9" s="47" t="s">
        <v>16200</v>
      </c>
      <c r="L9" t="s">
        <v>16200</v>
      </c>
      <c r="M9" t="s">
        <v>16219</v>
      </c>
    </row>
    <row r="10" spans="1:23">
      <c r="A10" t="s">
        <v>15032</v>
      </c>
      <c r="B10" t="s">
        <v>15032</v>
      </c>
      <c r="C10" t="s">
        <v>14973</v>
      </c>
      <c r="D10" t="s">
        <v>4310</v>
      </c>
      <c r="F10" t="str">
        <f>Config!$B$7</f>
        <v>SCH/Connector.SchLib</v>
      </c>
      <c r="G10" t="s">
        <v>14932</v>
      </c>
      <c r="H10" t="s">
        <v>15024</v>
      </c>
      <c r="I10" t="s">
        <v>14940</v>
      </c>
      <c r="J10" s="47"/>
      <c r="K10" s="47" t="s">
        <v>16200</v>
      </c>
      <c r="L10" t="s">
        <v>16202</v>
      </c>
      <c r="M10" t="s">
        <v>16219</v>
      </c>
    </row>
    <row r="11" spans="1:23">
      <c r="A11" t="s">
        <v>15033</v>
      </c>
      <c r="B11" t="s">
        <v>15033</v>
      </c>
      <c r="C11" t="s">
        <v>14974</v>
      </c>
      <c r="D11" t="s">
        <v>4310</v>
      </c>
      <c r="F11" t="str">
        <f>Config!$B$7</f>
        <v>SCH/Connector.SchLib</v>
      </c>
      <c r="G11" t="s">
        <v>14932</v>
      </c>
      <c r="H11" t="s">
        <v>15024</v>
      </c>
      <c r="I11" t="s">
        <v>14941</v>
      </c>
      <c r="J11" s="47"/>
      <c r="K11" s="47" t="s">
        <v>16201</v>
      </c>
      <c r="L11" t="s">
        <v>16209</v>
      </c>
      <c r="M11" t="s">
        <v>16219</v>
      </c>
    </row>
    <row r="12" spans="1:23">
      <c r="A12" t="s">
        <v>15034</v>
      </c>
      <c r="B12" t="s">
        <v>15034</v>
      </c>
      <c r="C12" t="s">
        <v>14968</v>
      </c>
      <c r="D12" t="s">
        <v>4310</v>
      </c>
      <c r="F12" t="str">
        <f>Config!$B$7</f>
        <v>SCH/Connector.SchLib</v>
      </c>
      <c r="G12" t="s">
        <v>14932</v>
      </c>
      <c r="H12" t="s">
        <v>15024</v>
      </c>
      <c r="I12" t="s">
        <v>14942</v>
      </c>
      <c r="J12" s="47"/>
      <c r="K12" s="47" t="s">
        <v>16201</v>
      </c>
      <c r="L12" t="s">
        <v>16201</v>
      </c>
      <c r="M12" t="s">
        <v>16219</v>
      </c>
    </row>
    <row r="13" spans="1:23">
      <c r="A13" t="s">
        <v>15035</v>
      </c>
      <c r="B13" t="s">
        <v>15035</v>
      </c>
      <c r="C13" t="s">
        <v>14975</v>
      </c>
      <c r="D13" t="s">
        <v>4310</v>
      </c>
      <c r="F13" t="str">
        <f>Config!$B$7</f>
        <v>SCH/Connector.SchLib</v>
      </c>
      <c r="G13" t="s">
        <v>14932</v>
      </c>
      <c r="H13" t="s">
        <v>15024</v>
      </c>
      <c r="I13" t="s">
        <v>14943</v>
      </c>
      <c r="J13" s="47"/>
      <c r="K13" s="47" t="s">
        <v>16201</v>
      </c>
      <c r="L13" t="s">
        <v>16203</v>
      </c>
      <c r="M13" t="s">
        <v>16219</v>
      </c>
    </row>
    <row r="14" spans="1:23">
      <c r="A14" t="s">
        <v>15036</v>
      </c>
      <c r="B14" t="s">
        <v>15036</v>
      </c>
      <c r="C14" t="s">
        <v>14976</v>
      </c>
      <c r="D14" t="s">
        <v>4310</v>
      </c>
      <c r="F14" t="str">
        <f>Config!$B$7</f>
        <v>SCH/Connector.SchLib</v>
      </c>
      <c r="G14" t="s">
        <v>14932</v>
      </c>
      <c r="H14" t="s">
        <v>15024</v>
      </c>
      <c r="I14" t="s">
        <v>14944</v>
      </c>
      <c r="J14" s="47"/>
      <c r="K14" s="47" t="s">
        <v>16202</v>
      </c>
      <c r="L14" t="s">
        <v>16199</v>
      </c>
      <c r="M14" t="s">
        <v>16219</v>
      </c>
    </row>
    <row r="15" spans="1:23">
      <c r="A15" t="s">
        <v>15037</v>
      </c>
      <c r="B15" t="s">
        <v>15037</v>
      </c>
      <c r="C15" t="s">
        <v>14977</v>
      </c>
      <c r="D15" t="s">
        <v>4310</v>
      </c>
      <c r="F15" t="str">
        <f>Config!$B$7</f>
        <v>SCH/Connector.SchLib</v>
      </c>
      <c r="G15" t="s">
        <v>14932</v>
      </c>
      <c r="H15" t="s">
        <v>15024</v>
      </c>
      <c r="I15" t="s">
        <v>14945</v>
      </c>
      <c r="J15" s="47"/>
      <c r="K15" s="47" t="s">
        <v>16202</v>
      </c>
      <c r="L15" t="s">
        <v>16200</v>
      </c>
      <c r="M15" t="s">
        <v>16219</v>
      </c>
    </row>
    <row r="16" spans="1:23">
      <c r="A16" t="s">
        <v>15038</v>
      </c>
      <c r="B16" t="s">
        <v>15038</v>
      </c>
      <c r="C16" t="s">
        <v>14978</v>
      </c>
      <c r="D16" t="s">
        <v>4310</v>
      </c>
      <c r="F16" t="str">
        <f>Config!$B$7</f>
        <v>SCH/Connector.SchLib</v>
      </c>
      <c r="G16" t="s">
        <v>14932</v>
      </c>
      <c r="H16" t="s">
        <v>15024</v>
      </c>
      <c r="I16" t="s">
        <v>14946</v>
      </c>
      <c r="J16" s="47"/>
      <c r="K16" s="47" t="s">
        <v>16202</v>
      </c>
      <c r="L16" t="s">
        <v>16202</v>
      </c>
      <c r="M16" t="s">
        <v>16219</v>
      </c>
    </row>
    <row r="17" spans="1:13">
      <c r="A17" t="s">
        <v>15039</v>
      </c>
      <c r="B17" t="s">
        <v>15039</v>
      </c>
      <c r="C17" t="s">
        <v>14979</v>
      </c>
      <c r="D17" t="s">
        <v>4310</v>
      </c>
      <c r="F17" t="str">
        <f>Config!$B$7</f>
        <v>SCH/Connector.SchLib</v>
      </c>
      <c r="G17" t="s">
        <v>14932</v>
      </c>
      <c r="H17" t="s">
        <v>15024</v>
      </c>
      <c r="I17" t="s">
        <v>14947</v>
      </c>
      <c r="J17" s="47"/>
      <c r="K17" s="47" t="s">
        <v>16202</v>
      </c>
      <c r="L17" t="s">
        <v>16204</v>
      </c>
      <c r="M17" t="s">
        <v>16219</v>
      </c>
    </row>
    <row r="18" spans="1:13">
      <c r="A18" t="s">
        <v>15040</v>
      </c>
      <c r="B18" t="s">
        <v>15040</v>
      </c>
      <c r="C18" t="s">
        <v>14980</v>
      </c>
      <c r="D18" t="s">
        <v>4310</v>
      </c>
      <c r="F18" t="str">
        <f>Config!$B$7</f>
        <v>SCH/Connector.SchLib</v>
      </c>
      <c r="G18" t="s">
        <v>14932</v>
      </c>
      <c r="H18" t="s">
        <v>15024</v>
      </c>
      <c r="I18" t="s">
        <v>14948</v>
      </c>
      <c r="J18" s="47"/>
      <c r="K18" s="47" t="s">
        <v>16203</v>
      </c>
      <c r="L18" t="s">
        <v>16209</v>
      </c>
      <c r="M18" t="s">
        <v>16219</v>
      </c>
    </row>
    <row r="19" spans="1:13">
      <c r="A19" t="s">
        <v>15041</v>
      </c>
      <c r="B19" t="s">
        <v>15041</v>
      </c>
      <c r="C19" t="s">
        <v>14981</v>
      </c>
      <c r="D19" t="s">
        <v>4310</v>
      </c>
      <c r="F19" t="str">
        <f>Config!$B$7</f>
        <v>SCH/Connector.SchLib</v>
      </c>
      <c r="G19" t="s">
        <v>14932</v>
      </c>
      <c r="H19" t="s">
        <v>15024</v>
      </c>
      <c r="I19" t="s">
        <v>14949</v>
      </c>
      <c r="J19" s="47"/>
      <c r="K19" s="47" t="s">
        <v>16203</v>
      </c>
      <c r="L19" t="s">
        <v>16201</v>
      </c>
      <c r="M19" t="s">
        <v>16219</v>
      </c>
    </row>
    <row r="20" spans="1:13">
      <c r="A20" t="s">
        <v>15042</v>
      </c>
      <c r="B20" t="s">
        <v>15042</v>
      </c>
      <c r="C20" t="s">
        <v>14982</v>
      </c>
      <c r="D20" t="s">
        <v>4310</v>
      </c>
      <c r="F20" t="str">
        <f>Config!$B$7</f>
        <v>SCH/Connector.SchLib</v>
      </c>
      <c r="G20" t="s">
        <v>14932</v>
      </c>
      <c r="H20" t="s">
        <v>15024</v>
      </c>
      <c r="I20" t="s">
        <v>14950</v>
      </c>
      <c r="J20" s="47"/>
      <c r="K20" s="47" t="s">
        <v>16203</v>
      </c>
      <c r="L20" t="s">
        <v>16203</v>
      </c>
      <c r="M20" t="s">
        <v>16219</v>
      </c>
    </row>
    <row r="21" spans="1:13">
      <c r="A21" t="s">
        <v>15043</v>
      </c>
      <c r="B21" t="s">
        <v>15043</v>
      </c>
      <c r="C21" t="s">
        <v>14983</v>
      </c>
      <c r="D21" t="s">
        <v>4310</v>
      </c>
      <c r="F21" t="str">
        <f>Config!$B$7</f>
        <v>SCH/Connector.SchLib</v>
      </c>
      <c r="G21" t="s">
        <v>14932</v>
      </c>
      <c r="H21" t="s">
        <v>15024</v>
      </c>
      <c r="I21" t="s">
        <v>14951</v>
      </c>
      <c r="J21" s="47"/>
      <c r="K21" s="47" t="s">
        <v>16203</v>
      </c>
      <c r="L21" t="s">
        <v>16206</v>
      </c>
      <c r="M21" t="s">
        <v>16219</v>
      </c>
    </row>
    <row r="22" spans="1:13">
      <c r="A22" t="s">
        <v>15044</v>
      </c>
      <c r="B22" t="s">
        <v>15044</v>
      </c>
      <c r="C22" t="s">
        <v>14984</v>
      </c>
      <c r="D22" t="s">
        <v>4310</v>
      </c>
      <c r="F22" t="str">
        <f>Config!$B$7</f>
        <v>SCH/Connector.SchLib</v>
      </c>
      <c r="G22" t="s">
        <v>14932</v>
      </c>
      <c r="H22" t="s">
        <v>15024</v>
      </c>
      <c r="I22" t="s">
        <v>14952</v>
      </c>
      <c r="J22" s="47"/>
      <c r="K22" s="47" t="s">
        <v>16204</v>
      </c>
      <c r="L22" t="s">
        <v>16210</v>
      </c>
      <c r="M22" t="s">
        <v>16219</v>
      </c>
    </row>
    <row r="23" spans="1:13">
      <c r="A23" t="s">
        <v>15045</v>
      </c>
      <c r="B23" t="s">
        <v>15045</v>
      </c>
      <c r="C23" t="s">
        <v>14985</v>
      </c>
      <c r="D23" t="s">
        <v>4310</v>
      </c>
      <c r="F23" t="str">
        <f>Config!$B$7</f>
        <v>SCH/Connector.SchLib</v>
      </c>
      <c r="G23" t="s">
        <v>14932</v>
      </c>
      <c r="H23" t="s">
        <v>15024</v>
      </c>
      <c r="I23" t="s">
        <v>14953</v>
      </c>
      <c r="J23" s="47"/>
      <c r="K23" s="47" t="s">
        <v>16204</v>
      </c>
      <c r="L23" t="s">
        <v>16200</v>
      </c>
      <c r="M23" t="s">
        <v>16219</v>
      </c>
    </row>
    <row r="24" spans="1:13">
      <c r="A24" t="s">
        <v>15046</v>
      </c>
      <c r="B24" t="s">
        <v>15046</v>
      </c>
      <c r="C24" t="s">
        <v>14986</v>
      </c>
      <c r="D24" t="s">
        <v>4310</v>
      </c>
      <c r="F24" t="str">
        <f>Config!$B$7</f>
        <v>SCH/Connector.SchLib</v>
      </c>
      <c r="G24" t="s">
        <v>14932</v>
      </c>
      <c r="H24" t="s">
        <v>15024</v>
      </c>
      <c r="I24" t="s">
        <v>14954</v>
      </c>
      <c r="J24" s="47"/>
      <c r="K24" s="47" t="s">
        <v>16204</v>
      </c>
      <c r="L24" t="s">
        <v>16202</v>
      </c>
      <c r="M24" t="s">
        <v>16219</v>
      </c>
    </row>
    <row r="25" spans="1:13">
      <c r="A25" t="s">
        <v>15047</v>
      </c>
      <c r="B25" t="s">
        <v>15047</v>
      </c>
      <c r="C25" t="s">
        <v>14987</v>
      </c>
      <c r="D25" t="s">
        <v>4310</v>
      </c>
      <c r="F25" t="str">
        <f>Config!$B$7</f>
        <v>SCH/Connector.SchLib</v>
      </c>
      <c r="G25" t="s">
        <v>14932</v>
      </c>
      <c r="H25" t="s">
        <v>15024</v>
      </c>
      <c r="I25" t="s">
        <v>14955</v>
      </c>
      <c r="J25" s="47"/>
      <c r="K25" s="47" t="s">
        <v>16204</v>
      </c>
      <c r="L25" t="s">
        <v>16204</v>
      </c>
      <c r="M25" t="s">
        <v>16219</v>
      </c>
    </row>
    <row r="26" spans="1:13">
      <c r="A26" t="s">
        <v>15048</v>
      </c>
      <c r="B26" t="s">
        <v>15048</v>
      </c>
      <c r="C26" t="s">
        <v>14988</v>
      </c>
      <c r="D26" t="s">
        <v>4310</v>
      </c>
      <c r="F26" t="str">
        <f>Config!$B$7</f>
        <v>SCH/Connector.SchLib</v>
      </c>
      <c r="G26" t="s">
        <v>14932</v>
      </c>
      <c r="H26" t="s">
        <v>15024</v>
      </c>
      <c r="I26" t="s">
        <v>14956</v>
      </c>
      <c r="J26" s="47"/>
      <c r="K26" s="47" t="s">
        <v>16204</v>
      </c>
      <c r="L26" t="s">
        <v>16207</v>
      </c>
      <c r="M26" t="s">
        <v>16219</v>
      </c>
    </row>
    <row r="27" spans="1:13">
      <c r="A27" t="s">
        <v>15049</v>
      </c>
      <c r="B27" t="s">
        <v>15049</v>
      </c>
      <c r="C27" t="s">
        <v>14989</v>
      </c>
      <c r="D27" t="s">
        <v>4310</v>
      </c>
      <c r="F27" t="str">
        <f>Config!$B$7</f>
        <v>SCH/Connector.SchLib</v>
      </c>
      <c r="G27" t="s">
        <v>14932</v>
      </c>
      <c r="H27" t="s">
        <v>15024</v>
      </c>
      <c r="I27" t="s">
        <v>14957</v>
      </c>
      <c r="J27" s="47"/>
      <c r="K27" s="47" t="s">
        <v>16205</v>
      </c>
      <c r="L27" t="s">
        <v>16199</v>
      </c>
      <c r="M27" t="s">
        <v>16219</v>
      </c>
    </row>
    <row r="28" spans="1:13">
      <c r="A28" t="s">
        <v>15697</v>
      </c>
      <c r="B28" t="s">
        <v>15697</v>
      </c>
      <c r="C28" t="s">
        <v>15696</v>
      </c>
      <c r="D28" t="s">
        <v>4310</v>
      </c>
      <c r="F28" t="str">
        <f>Config!$B$7</f>
        <v>SCH/Connector.SchLib</v>
      </c>
      <c r="G28" t="s">
        <v>14932</v>
      </c>
      <c r="H28" t="s">
        <v>15024</v>
      </c>
      <c r="I28" t="s">
        <v>15695</v>
      </c>
      <c r="J28" s="47"/>
      <c r="K28" s="47" t="s">
        <v>16205</v>
      </c>
      <c r="L28" t="s">
        <v>16200</v>
      </c>
      <c r="M28" t="s">
        <v>16219</v>
      </c>
    </row>
    <row r="29" spans="1:13">
      <c r="A29" t="s">
        <v>15050</v>
      </c>
      <c r="B29" t="s">
        <v>15050</v>
      </c>
      <c r="C29" t="s">
        <v>14990</v>
      </c>
      <c r="D29" t="s">
        <v>4310</v>
      </c>
      <c r="F29" t="str">
        <f>Config!$B$7</f>
        <v>SCH/Connector.SchLib</v>
      </c>
      <c r="G29" t="s">
        <v>14932</v>
      </c>
      <c r="H29" t="s">
        <v>15024</v>
      </c>
      <c r="I29" t="s">
        <v>14958</v>
      </c>
      <c r="J29" s="47"/>
      <c r="K29" s="47" t="s">
        <v>16205</v>
      </c>
      <c r="L29" t="s">
        <v>16211</v>
      </c>
      <c r="M29" t="s">
        <v>16219</v>
      </c>
    </row>
    <row r="30" spans="1:13">
      <c r="A30" t="s">
        <v>15051</v>
      </c>
      <c r="B30" t="s">
        <v>15051</v>
      </c>
      <c r="C30" t="s">
        <v>14991</v>
      </c>
      <c r="D30" t="s">
        <v>4310</v>
      </c>
      <c r="F30" t="str">
        <f>Config!$B$7</f>
        <v>SCH/Connector.SchLib</v>
      </c>
      <c r="G30" t="s">
        <v>14932</v>
      </c>
      <c r="H30" t="s">
        <v>15024</v>
      </c>
      <c r="I30" t="s">
        <v>14959</v>
      </c>
      <c r="J30" s="47"/>
      <c r="K30" s="47" t="s">
        <v>16205</v>
      </c>
      <c r="L30" t="s">
        <v>16212</v>
      </c>
      <c r="M30" t="s">
        <v>16219</v>
      </c>
    </row>
    <row r="31" spans="1:13">
      <c r="A31" t="s">
        <v>15052</v>
      </c>
      <c r="B31" t="s">
        <v>15052</v>
      </c>
      <c r="C31" t="s">
        <v>14992</v>
      </c>
      <c r="D31" t="s">
        <v>4310</v>
      </c>
      <c r="F31" t="str">
        <f>Config!$B$7</f>
        <v>SCH/Connector.SchLib</v>
      </c>
      <c r="G31" t="s">
        <v>14932</v>
      </c>
      <c r="H31" t="s">
        <v>15024</v>
      </c>
      <c r="I31" t="s">
        <v>14960</v>
      </c>
      <c r="J31" s="47"/>
      <c r="K31" s="47" t="s">
        <v>16205</v>
      </c>
      <c r="L31" t="s">
        <v>16205</v>
      </c>
      <c r="M31" t="s">
        <v>16219</v>
      </c>
    </row>
    <row r="32" spans="1:13">
      <c r="A32" t="s">
        <v>15053</v>
      </c>
      <c r="B32" t="s">
        <v>15053</v>
      </c>
      <c r="C32" t="s">
        <v>14993</v>
      </c>
      <c r="D32" t="s">
        <v>4310</v>
      </c>
      <c r="F32" t="str">
        <f>Config!$B$7</f>
        <v>SCH/Connector.SchLib</v>
      </c>
      <c r="G32" t="s">
        <v>14932</v>
      </c>
      <c r="H32" t="s">
        <v>15024</v>
      </c>
      <c r="I32" t="s">
        <v>14961</v>
      </c>
      <c r="J32" s="47"/>
      <c r="K32" s="47" t="s">
        <v>16205</v>
      </c>
      <c r="L32" t="s">
        <v>16213</v>
      </c>
      <c r="M32" t="s">
        <v>16219</v>
      </c>
    </row>
    <row r="33" spans="1:13">
      <c r="A33" t="s">
        <v>15720</v>
      </c>
      <c r="B33" t="s">
        <v>15720</v>
      </c>
      <c r="C33" t="s">
        <v>15736</v>
      </c>
      <c r="D33" t="s">
        <v>4310</v>
      </c>
      <c r="F33" t="str">
        <f>Config!$B$7</f>
        <v>SCH/Connector.SchLib</v>
      </c>
      <c r="G33" t="s">
        <v>14932</v>
      </c>
      <c r="H33" t="s">
        <v>15024</v>
      </c>
      <c r="I33" t="s">
        <v>15698</v>
      </c>
      <c r="J33" s="47"/>
      <c r="K33" s="47" t="s">
        <v>16206</v>
      </c>
      <c r="L33" t="s">
        <v>16214</v>
      </c>
      <c r="M33" t="s">
        <v>16219</v>
      </c>
    </row>
    <row r="34" spans="1:13">
      <c r="A34" t="s">
        <v>15717</v>
      </c>
      <c r="B34" t="s">
        <v>15717</v>
      </c>
      <c r="C34" t="s">
        <v>15737</v>
      </c>
      <c r="D34" t="s">
        <v>4310</v>
      </c>
      <c r="F34" t="str">
        <f>Config!$B$7</f>
        <v>SCH/Connector.SchLib</v>
      </c>
      <c r="G34" t="s">
        <v>14932</v>
      </c>
      <c r="H34" t="s">
        <v>15024</v>
      </c>
      <c r="I34" t="s">
        <v>15699</v>
      </c>
      <c r="J34" s="47"/>
      <c r="K34" s="47" t="s">
        <v>16206</v>
      </c>
      <c r="L34" t="s">
        <v>16200</v>
      </c>
      <c r="M34" t="s">
        <v>16219</v>
      </c>
    </row>
    <row r="35" spans="1:13">
      <c r="A35" t="s">
        <v>15721</v>
      </c>
      <c r="B35" t="s">
        <v>15721</v>
      </c>
      <c r="C35" t="s">
        <v>15738</v>
      </c>
      <c r="D35" t="s">
        <v>4310</v>
      </c>
      <c r="F35" t="str">
        <f>Config!$B$7</f>
        <v>SCH/Connector.SchLib</v>
      </c>
      <c r="G35" t="s">
        <v>14932</v>
      </c>
      <c r="H35" t="s">
        <v>15024</v>
      </c>
      <c r="I35" t="s">
        <v>15700</v>
      </c>
      <c r="J35" s="47"/>
      <c r="K35" s="47" t="s">
        <v>16206</v>
      </c>
      <c r="L35" t="s">
        <v>16201</v>
      </c>
      <c r="M35" t="s">
        <v>16219</v>
      </c>
    </row>
    <row r="36" spans="1:13">
      <c r="A36" t="s">
        <v>15722</v>
      </c>
      <c r="B36" t="s">
        <v>15722</v>
      </c>
      <c r="C36" t="s">
        <v>15739</v>
      </c>
      <c r="D36" t="s">
        <v>4310</v>
      </c>
      <c r="F36" t="str">
        <f>Config!$B$7</f>
        <v>SCH/Connector.SchLib</v>
      </c>
      <c r="G36" t="s">
        <v>14932</v>
      </c>
      <c r="H36" t="s">
        <v>15024</v>
      </c>
      <c r="I36" t="s">
        <v>15701</v>
      </c>
      <c r="J36" s="47"/>
      <c r="K36" s="47" t="s">
        <v>16206</v>
      </c>
      <c r="L36" t="s">
        <v>16203</v>
      </c>
      <c r="M36" t="s">
        <v>16219</v>
      </c>
    </row>
    <row r="37" spans="1:13">
      <c r="A37" t="s">
        <v>15723</v>
      </c>
      <c r="B37" t="s">
        <v>15723</v>
      </c>
      <c r="C37" t="s">
        <v>15740</v>
      </c>
      <c r="D37" t="s">
        <v>4310</v>
      </c>
      <c r="F37" t="str">
        <f>Config!$B$7</f>
        <v>SCH/Connector.SchLib</v>
      </c>
      <c r="G37" t="s">
        <v>14932</v>
      </c>
      <c r="H37" t="s">
        <v>15024</v>
      </c>
      <c r="I37" t="s">
        <v>15702</v>
      </c>
      <c r="J37" s="47"/>
      <c r="K37" s="47" t="s">
        <v>16206</v>
      </c>
      <c r="L37" t="s">
        <v>16206</v>
      </c>
      <c r="M37" t="s">
        <v>16219</v>
      </c>
    </row>
    <row r="38" spans="1:13">
      <c r="A38" t="s">
        <v>15724</v>
      </c>
      <c r="B38" t="s">
        <v>15724</v>
      </c>
      <c r="C38" t="s">
        <v>15741</v>
      </c>
      <c r="D38" t="s">
        <v>4310</v>
      </c>
      <c r="F38" t="str">
        <f>Config!$B$7</f>
        <v>SCH/Connector.SchLib</v>
      </c>
      <c r="G38" t="s">
        <v>14932</v>
      </c>
      <c r="H38" t="s">
        <v>15024</v>
      </c>
      <c r="I38" t="s">
        <v>15703</v>
      </c>
      <c r="J38" s="47"/>
      <c r="K38" s="47" t="s">
        <v>16206</v>
      </c>
      <c r="L38" t="s">
        <v>16215</v>
      </c>
      <c r="M38" t="s">
        <v>16219</v>
      </c>
    </row>
    <row r="39" spans="1:13">
      <c r="A39" t="s">
        <v>15725</v>
      </c>
      <c r="B39" t="s">
        <v>15725</v>
      </c>
      <c r="C39" t="s">
        <v>15742</v>
      </c>
      <c r="D39" t="s">
        <v>4310</v>
      </c>
      <c r="F39" t="str">
        <f>Config!$B$7</f>
        <v>SCH/Connector.SchLib</v>
      </c>
      <c r="G39" t="s">
        <v>14932</v>
      </c>
      <c r="H39" t="s">
        <v>15024</v>
      </c>
      <c r="I39" t="s">
        <v>15704</v>
      </c>
      <c r="J39" s="47"/>
      <c r="K39" s="47" t="s">
        <v>16207</v>
      </c>
      <c r="L39" t="s">
        <v>16199</v>
      </c>
      <c r="M39" t="s">
        <v>16219</v>
      </c>
    </row>
    <row r="40" spans="1:13">
      <c r="A40" t="s">
        <v>15726</v>
      </c>
      <c r="B40" t="s">
        <v>15726</v>
      </c>
      <c r="C40" t="s">
        <v>15743</v>
      </c>
      <c r="D40" t="s">
        <v>4310</v>
      </c>
      <c r="F40" t="str">
        <f>Config!$B$7</f>
        <v>SCH/Connector.SchLib</v>
      </c>
      <c r="G40" t="s">
        <v>14932</v>
      </c>
      <c r="H40" t="s">
        <v>15024</v>
      </c>
      <c r="I40" t="s">
        <v>15705</v>
      </c>
      <c r="J40" s="47"/>
      <c r="K40" s="47" t="s">
        <v>16207</v>
      </c>
      <c r="L40" t="s">
        <v>16216</v>
      </c>
      <c r="M40" t="s">
        <v>16219</v>
      </c>
    </row>
    <row r="41" spans="1:13">
      <c r="A41" t="s">
        <v>15718</v>
      </c>
      <c r="B41" t="s">
        <v>15718</v>
      </c>
      <c r="C41" t="s">
        <v>15744</v>
      </c>
      <c r="D41" t="s">
        <v>4310</v>
      </c>
      <c r="F41" t="str">
        <f>Config!$B$7</f>
        <v>SCH/Connector.SchLib</v>
      </c>
      <c r="G41" t="s">
        <v>14932</v>
      </c>
      <c r="H41" t="s">
        <v>15024</v>
      </c>
      <c r="I41" t="s">
        <v>15706</v>
      </c>
      <c r="J41" s="47"/>
      <c r="K41" s="47" t="s">
        <v>16207</v>
      </c>
      <c r="L41" t="s">
        <v>16200</v>
      </c>
      <c r="M41" t="s">
        <v>16219</v>
      </c>
    </row>
    <row r="42" spans="1:13">
      <c r="A42" t="s">
        <v>15727</v>
      </c>
      <c r="B42" t="s">
        <v>15727</v>
      </c>
      <c r="C42" t="s">
        <v>15745</v>
      </c>
      <c r="D42" t="s">
        <v>4310</v>
      </c>
      <c r="F42" t="str">
        <f>Config!$B$7</f>
        <v>SCH/Connector.SchLib</v>
      </c>
      <c r="G42" t="s">
        <v>14932</v>
      </c>
      <c r="H42" t="s">
        <v>15024</v>
      </c>
      <c r="I42" t="s">
        <v>15707</v>
      </c>
      <c r="J42" s="47"/>
      <c r="K42" s="47" t="s">
        <v>16207</v>
      </c>
      <c r="L42" t="s">
        <v>16202</v>
      </c>
      <c r="M42" t="s">
        <v>16219</v>
      </c>
    </row>
    <row r="43" spans="1:13">
      <c r="A43" t="s">
        <v>15728</v>
      </c>
      <c r="B43" t="s">
        <v>15728</v>
      </c>
      <c r="C43" t="s">
        <v>15746</v>
      </c>
      <c r="D43" t="s">
        <v>4310</v>
      </c>
      <c r="F43" t="str">
        <f>Config!$B$7</f>
        <v>SCH/Connector.SchLib</v>
      </c>
      <c r="G43" t="s">
        <v>14932</v>
      </c>
      <c r="H43" t="s">
        <v>15024</v>
      </c>
      <c r="I43" t="s">
        <v>15708</v>
      </c>
      <c r="J43" s="47"/>
      <c r="K43" s="47" t="s">
        <v>16207</v>
      </c>
      <c r="L43" t="s">
        <v>16204</v>
      </c>
      <c r="M43" t="s">
        <v>16219</v>
      </c>
    </row>
    <row r="44" spans="1:13">
      <c r="A44" t="s">
        <v>15729</v>
      </c>
      <c r="B44" t="s">
        <v>15729</v>
      </c>
      <c r="C44" t="s">
        <v>15747</v>
      </c>
      <c r="D44" t="s">
        <v>4310</v>
      </c>
      <c r="F44" t="str">
        <f>Config!$B$7</f>
        <v>SCH/Connector.SchLib</v>
      </c>
      <c r="G44" t="s">
        <v>14932</v>
      </c>
      <c r="H44" t="s">
        <v>15024</v>
      </c>
      <c r="I44" t="s">
        <v>15709</v>
      </c>
      <c r="J44" s="47"/>
      <c r="K44" s="47" t="s">
        <v>16207</v>
      </c>
      <c r="L44" t="s">
        <v>16207</v>
      </c>
      <c r="M44" t="s">
        <v>16219</v>
      </c>
    </row>
    <row r="45" spans="1:13">
      <c r="A45" t="s">
        <v>15730</v>
      </c>
      <c r="B45" t="s">
        <v>15730</v>
      </c>
      <c r="C45" t="s">
        <v>15748</v>
      </c>
      <c r="D45" t="s">
        <v>4310</v>
      </c>
      <c r="F45" t="str">
        <f>Config!$B$7</f>
        <v>SCH/Connector.SchLib</v>
      </c>
      <c r="G45" t="s">
        <v>14932</v>
      </c>
      <c r="H45" t="s">
        <v>15024</v>
      </c>
      <c r="I45" t="s">
        <v>15710</v>
      </c>
      <c r="J45" s="47"/>
      <c r="K45" s="47" t="s">
        <v>16207</v>
      </c>
      <c r="L45" t="s">
        <v>16217</v>
      </c>
      <c r="M45" t="s">
        <v>16219</v>
      </c>
    </row>
    <row r="46" spans="1:13">
      <c r="A46" t="s">
        <v>15731</v>
      </c>
      <c r="B46" t="s">
        <v>15731</v>
      </c>
      <c r="C46" t="s">
        <v>15749</v>
      </c>
      <c r="D46" t="s">
        <v>4310</v>
      </c>
      <c r="F46" t="str">
        <f>Config!$B$7</f>
        <v>SCH/Connector.SchLib</v>
      </c>
      <c r="G46" t="s">
        <v>14932</v>
      </c>
      <c r="H46" t="s">
        <v>15024</v>
      </c>
      <c r="I46" t="s">
        <v>15711</v>
      </c>
      <c r="J46" s="47"/>
      <c r="K46" s="47" t="s">
        <v>16208</v>
      </c>
      <c r="L46" t="s">
        <v>16199</v>
      </c>
      <c r="M46" t="s">
        <v>16219</v>
      </c>
    </row>
    <row r="47" spans="1:13">
      <c r="A47" t="s">
        <v>15719</v>
      </c>
      <c r="B47" t="s">
        <v>15719</v>
      </c>
      <c r="C47" t="s">
        <v>15750</v>
      </c>
      <c r="D47" t="s">
        <v>4310</v>
      </c>
      <c r="F47" t="str">
        <f>Config!$B$7</f>
        <v>SCH/Connector.SchLib</v>
      </c>
      <c r="G47" t="s">
        <v>14932</v>
      </c>
      <c r="H47" t="s">
        <v>15024</v>
      </c>
      <c r="I47" t="s">
        <v>15712</v>
      </c>
      <c r="J47" s="47"/>
      <c r="K47" s="47" t="s">
        <v>16208</v>
      </c>
      <c r="L47" t="s">
        <v>16200</v>
      </c>
      <c r="M47" t="s">
        <v>16219</v>
      </c>
    </row>
    <row r="48" spans="1:13">
      <c r="A48" t="s">
        <v>15732</v>
      </c>
      <c r="B48" t="s">
        <v>15732</v>
      </c>
      <c r="C48" t="s">
        <v>15751</v>
      </c>
      <c r="D48" t="s">
        <v>4310</v>
      </c>
      <c r="F48" t="str">
        <f>Config!$B$7</f>
        <v>SCH/Connector.SchLib</v>
      </c>
      <c r="G48" t="s">
        <v>14932</v>
      </c>
      <c r="H48" t="s">
        <v>15024</v>
      </c>
      <c r="I48" t="s">
        <v>15713</v>
      </c>
      <c r="J48" s="47"/>
      <c r="K48" s="47" t="s">
        <v>16208</v>
      </c>
      <c r="L48" t="s">
        <v>16212</v>
      </c>
      <c r="M48" t="s">
        <v>16219</v>
      </c>
    </row>
    <row r="49" spans="1:13">
      <c r="A49" t="s">
        <v>15733</v>
      </c>
      <c r="B49" t="s">
        <v>15733</v>
      </c>
      <c r="C49" t="s">
        <v>15752</v>
      </c>
      <c r="D49" t="s">
        <v>4310</v>
      </c>
      <c r="F49" t="str">
        <f>Config!$B$7</f>
        <v>SCH/Connector.SchLib</v>
      </c>
      <c r="G49" t="s">
        <v>14932</v>
      </c>
      <c r="H49" t="s">
        <v>15024</v>
      </c>
      <c r="I49" t="s">
        <v>15714</v>
      </c>
      <c r="J49" s="47"/>
      <c r="K49" s="47" t="s">
        <v>16208</v>
      </c>
      <c r="L49" t="s">
        <v>16205</v>
      </c>
      <c r="M49" t="s">
        <v>16219</v>
      </c>
    </row>
    <row r="50" spans="1:13">
      <c r="A50" t="s">
        <v>15734</v>
      </c>
      <c r="B50" t="s">
        <v>15734</v>
      </c>
      <c r="C50" t="s">
        <v>15753</v>
      </c>
      <c r="D50" t="s">
        <v>4310</v>
      </c>
      <c r="F50" t="str">
        <f>Config!$B$7</f>
        <v>SCH/Connector.SchLib</v>
      </c>
      <c r="G50" t="s">
        <v>14932</v>
      </c>
      <c r="H50" t="s">
        <v>15024</v>
      </c>
      <c r="I50" t="s">
        <v>15715</v>
      </c>
      <c r="J50" s="47"/>
      <c r="K50" s="47" t="s">
        <v>16208</v>
      </c>
      <c r="L50" t="s">
        <v>16213</v>
      </c>
      <c r="M50" t="s">
        <v>16219</v>
      </c>
    </row>
    <row r="51" spans="1:13">
      <c r="A51" t="s">
        <v>15735</v>
      </c>
      <c r="B51" t="s">
        <v>15735</v>
      </c>
      <c r="C51" t="s">
        <v>15754</v>
      </c>
      <c r="D51" t="s">
        <v>4310</v>
      </c>
      <c r="F51" t="str">
        <f>Config!$B$7</f>
        <v>SCH/Connector.SchLib</v>
      </c>
      <c r="G51" t="s">
        <v>14932</v>
      </c>
      <c r="H51" t="s">
        <v>15024</v>
      </c>
      <c r="I51" t="s">
        <v>15716</v>
      </c>
      <c r="J51" s="47"/>
      <c r="K51" s="47" t="s">
        <v>16208</v>
      </c>
      <c r="L51" t="s">
        <v>16218</v>
      </c>
      <c r="M51" t="s">
        <v>16219</v>
      </c>
    </row>
    <row r="52" spans="1:13">
      <c r="J52" s="47"/>
      <c r="K52" s="47"/>
    </row>
    <row r="53" spans="1:13">
      <c r="A53" t="s">
        <v>15634</v>
      </c>
      <c r="B53" t="s">
        <v>15634</v>
      </c>
      <c r="C53" t="s">
        <v>15635</v>
      </c>
      <c r="D53" t="s">
        <v>4310</v>
      </c>
      <c r="F53" t="str">
        <f>Config!$B$7</f>
        <v>SCH/Connector.SchLib</v>
      </c>
      <c r="G53" t="s">
        <v>14932</v>
      </c>
      <c r="H53" t="s">
        <v>15636</v>
      </c>
      <c r="I53" t="s">
        <v>14962</v>
      </c>
      <c r="J53" s="47"/>
      <c r="K53" s="47" t="s">
        <v>16198</v>
      </c>
      <c r="L53" t="s">
        <v>16198</v>
      </c>
      <c r="M53" t="s">
        <v>16223</v>
      </c>
    </row>
    <row r="54" spans="1:13">
      <c r="A54" t="s">
        <v>15637</v>
      </c>
      <c r="B54" t="s">
        <v>15637</v>
      </c>
      <c r="C54" t="s">
        <v>15638</v>
      </c>
      <c r="D54" t="s">
        <v>4310</v>
      </c>
      <c r="F54" t="str">
        <f>Config!$B$7</f>
        <v>SCH/Connector.SchLib</v>
      </c>
      <c r="G54" t="s">
        <v>14932</v>
      </c>
      <c r="H54" t="s">
        <v>15636</v>
      </c>
      <c r="I54" t="s">
        <v>14963</v>
      </c>
      <c r="J54" s="47"/>
      <c r="K54" s="47" t="s">
        <v>16198</v>
      </c>
      <c r="L54" t="s">
        <v>16199</v>
      </c>
      <c r="M54" t="s">
        <v>16223</v>
      </c>
    </row>
    <row r="55" spans="1:13">
      <c r="A55" t="s">
        <v>15639</v>
      </c>
      <c r="B55" t="s">
        <v>15639</v>
      </c>
      <c r="C55" t="s">
        <v>15640</v>
      </c>
      <c r="D55" t="s">
        <v>4310</v>
      </c>
      <c r="F55" t="str">
        <f>Config!$B$7</f>
        <v>SCH/Connector.SchLib</v>
      </c>
      <c r="G55" t="s">
        <v>14932</v>
      </c>
      <c r="H55" t="s">
        <v>15636</v>
      </c>
      <c r="I55" t="s">
        <v>14934</v>
      </c>
      <c r="J55" s="47"/>
      <c r="K55" s="47" t="s">
        <v>16199</v>
      </c>
      <c r="L55" t="s">
        <v>16198</v>
      </c>
      <c r="M55" t="s">
        <v>16223</v>
      </c>
    </row>
    <row r="56" spans="1:13">
      <c r="A56" t="s">
        <v>15641</v>
      </c>
      <c r="B56" t="s">
        <v>15641</v>
      </c>
      <c r="C56" t="s">
        <v>15642</v>
      </c>
      <c r="D56" t="s">
        <v>4310</v>
      </c>
      <c r="F56" t="str">
        <f>Config!$B$7</f>
        <v>SCH/Connector.SchLib</v>
      </c>
      <c r="G56" t="s">
        <v>14932</v>
      </c>
      <c r="H56" t="s">
        <v>15636</v>
      </c>
      <c r="I56" t="s">
        <v>14935</v>
      </c>
      <c r="K56" s="47" t="s">
        <v>16199</v>
      </c>
      <c r="L56" t="s">
        <v>16199</v>
      </c>
      <c r="M56" t="s">
        <v>16223</v>
      </c>
    </row>
    <row r="57" spans="1:13">
      <c r="A57" t="s">
        <v>15643</v>
      </c>
      <c r="B57" t="s">
        <v>15643</v>
      </c>
      <c r="C57" t="s">
        <v>15644</v>
      </c>
      <c r="D57" t="s">
        <v>4310</v>
      </c>
      <c r="F57" t="str">
        <f>Config!$B$7</f>
        <v>SCH/Connector.SchLib</v>
      </c>
      <c r="G57" t="s">
        <v>14932</v>
      </c>
      <c r="H57" t="s">
        <v>15636</v>
      </c>
      <c r="I57" t="s">
        <v>14936</v>
      </c>
      <c r="J57" s="47"/>
      <c r="K57" s="47" t="s">
        <v>16199</v>
      </c>
      <c r="L57" t="s">
        <v>16200</v>
      </c>
      <c r="M57" t="s">
        <v>16223</v>
      </c>
    </row>
    <row r="58" spans="1:13">
      <c r="A58" t="s">
        <v>15645</v>
      </c>
      <c r="B58" t="s">
        <v>15645</v>
      </c>
      <c r="C58" t="s">
        <v>15646</v>
      </c>
      <c r="D58" t="s">
        <v>4310</v>
      </c>
      <c r="F58" t="str">
        <f>Config!$B$7</f>
        <v>SCH/Connector.SchLib</v>
      </c>
      <c r="G58" t="s">
        <v>14932</v>
      </c>
      <c r="H58" t="s">
        <v>15636</v>
      </c>
      <c r="I58" t="s">
        <v>14937</v>
      </c>
      <c r="J58" s="47"/>
      <c r="K58" s="47" t="s">
        <v>16200</v>
      </c>
      <c r="L58" t="s">
        <v>16198</v>
      </c>
      <c r="M58" t="s">
        <v>16223</v>
      </c>
    </row>
    <row r="59" spans="1:13">
      <c r="A59" t="s">
        <v>15647</v>
      </c>
      <c r="B59" t="s">
        <v>15647</v>
      </c>
      <c r="C59" t="s">
        <v>15648</v>
      </c>
      <c r="D59" t="s">
        <v>4310</v>
      </c>
      <c r="F59" t="str">
        <f>Config!$B$7</f>
        <v>SCH/Connector.SchLib</v>
      </c>
      <c r="G59" t="s">
        <v>14932</v>
      </c>
      <c r="H59" t="s">
        <v>15636</v>
      </c>
      <c r="I59" t="s">
        <v>14938</v>
      </c>
      <c r="J59" s="47"/>
      <c r="K59" s="47" t="s">
        <v>16200</v>
      </c>
      <c r="L59" t="s">
        <v>16199</v>
      </c>
      <c r="M59" t="s">
        <v>16223</v>
      </c>
    </row>
    <row r="60" spans="1:13">
      <c r="A60" t="s">
        <v>15649</v>
      </c>
      <c r="B60" t="s">
        <v>15649</v>
      </c>
      <c r="C60" t="s">
        <v>15650</v>
      </c>
      <c r="D60" t="s">
        <v>4310</v>
      </c>
      <c r="F60" t="str">
        <f>Config!$B$7</f>
        <v>SCH/Connector.SchLib</v>
      </c>
      <c r="G60" t="s">
        <v>14932</v>
      </c>
      <c r="H60" t="s">
        <v>15636</v>
      </c>
      <c r="I60" t="s">
        <v>14939</v>
      </c>
      <c r="J60" s="47"/>
      <c r="K60" s="47" t="s">
        <v>16200</v>
      </c>
      <c r="L60" t="s">
        <v>16200</v>
      </c>
      <c r="M60" t="s">
        <v>16223</v>
      </c>
    </row>
    <row r="61" spans="1:13">
      <c r="A61" t="s">
        <v>15651</v>
      </c>
      <c r="B61" t="s">
        <v>15651</v>
      </c>
      <c r="C61" t="s">
        <v>15652</v>
      </c>
      <c r="D61" t="s">
        <v>4310</v>
      </c>
      <c r="F61" t="str">
        <f>Config!$B$7</f>
        <v>SCH/Connector.SchLib</v>
      </c>
      <c r="G61" t="s">
        <v>14932</v>
      </c>
      <c r="H61" t="s">
        <v>15636</v>
      </c>
      <c r="I61" t="s">
        <v>14940</v>
      </c>
      <c r="J61" s="47"/>
      <c r="K61" s="47" t="s">
        <v>16200</v>
      </c>
      <c r="L61" t="s">
        <v>16202</v>
      </c>
      <c r="M61" t="s">
        <v>16223</v>
      </c>
    </row>
    <row r="62" spans="1:13">
      <c r="A62" t="s">
        <v>15653</v>
      </c>
      <c r="B62" t="s">
        <v>15653</v>
      </c>
      <c r="C62" t="s">
        <v>15654</v>
      </c>
      <c r="D62" t="s">
        <v>4310</v>
      </c>
      <c r="F62" t="str">
        <f>Config!$B$7</f>
        <v>SCH/Connector.SchLib</v>
      </c>
      <c r="G62" t="s">
        <v>14932</v>
      </c>
      <c r="H62" t="s">
        <v>15636</v>
      </c>
      <c r="I62" t="s">
        <v>14941</v>
      </c>
      <c r="J62" s="47"/>
      <c r="K62" s="47" t="s">
        <v>16201</v>
      </c>
      <c r="L62" t="s">
        <v>16209</v>
      </c>
      <c r="M62" t="s">
        <v>16223</v>
      </c>
    </row>
    <row r="63" spans="1:13">
      <c r="A63" t="s">
        <v>15655</v>
      </c>
      <c r="B63" t="s">
        <v>15655</v>
      </c>
      <c r="C63" t="s">
        <v>15656</v>
      </c>
      <c r="D63" t="s">
        <v>4310</v>
      </c>
      <c r="F63" t="str">
        <f>Config!$B$7</f>
        <v>SCH/Connector.SchLib</v>
      </c>
      <c r="G63" t="s">
        <v>14932</v>
      </c>
      <c r="H63" t="s">
        <v>15636</v>
      </c>
      <c r="I63" t="s">
        <v>14942</v>
      </c>
      <c r="J63" s="47"/>
      <c r="K63" s="47" t="s">
        <v>16201</v>
      </c>
      <c r="L63" t="s">
        <v>16201</v>
      </c>
      <c r="M63" t="s">
        <v>16223</v>
      </c>
    </row>
    <row r="64" spans="1:13">
      <c r="A64" t="s">
        <v>15657</v>
      </c>
      <c r="B64" t="s">
        <v>15657</v>
      </c>
      <c r="C64" t="s">
        <v>15658</v>
      </c>
      <c r="D64" t="s">
        <v>4310</v>
      </c>
      <c r="F64" t="str">
        <f>Config!$B$7</f>
        <v>SCH/Connector.SchLib</v>
      </c>
      <c r="G64" t="s">
        <v>14932</v>
      </c>
      <c r="H64" t="s">
        <v>15636</v>
      </c>
      <c r="I64" t="s">
        <v>14943</v>
      </c>
      <c r="J64" s="47"/>
      <c r="K64" s="47" t="s">
        <v>16201</v>
      </c>
      <c r="L64" t="s">
        <v>16203</v>
      </c>
      <c r="M64" t="s">
        <v>16223</v>
      </c>
    </row>
    <row r="65" spans="1:13">
      <c r="A65" t="s">
        <v>15659</v>
      </c>
      <c r="B65" t="s">
        <v>15659</v>
      </c>
      <c r="C65" t="s">
        <v>15660</v>
      </c>
      <c r="D65" t="s">
        <v>4310</v>
      </c>
      <c r="F65" t="str">
        <f>Config!$B$7</f>
        <v>SCH/Connector.SchLib</v>
      </c>
      <c r="G65" t="s">
        <v>14932</v>
      </c>
      <c r="H65" t="s">
        <v>15636</v>
      </c>
      <c r="I65" t="s">
        <v>14944</v>
      </c>
      <c r="J65" s="47"/>
      <c r="K65" s="47" t="s">
        <v>16202</v>
      </c>
      <c r="L65" t="s">
        <v>16199</v>
      </c>
      <c r="M65" t="s">
        <v>16223</v>
      </c>
    </row>
    <row r="66" spans="1:13">
      <c r="A66" t="s">
        <v>15661</v>
      </c>
      <c r="B66" t="s">
        <v>15661</v>
      </c>
      <c r="C66" t="s">
        <v>15662</v>
      </c>
      <c r="D66" t="s">
        <v>4310</v>
      </c>
      <c r="F66" t="str">
        <f>Config!$B$7</f>
        <v>SCH/Connector.SchLib</v>
      </c>
      <c r="G66" t="s">
        <v>14932</v>
      </c>
      <c r="H66" t="s">
        <v>15636</v>
      </c>
      <c r="I66" t="s">
        <v>14945</v>
      </c>
      <c r="J66" s="47"/>
      <c r="K66" s="47" t="s">
        <v>16202</v>
      </c>
      <c r="L66" t="s">
        <v>16200</v>
      </c>
      <c r="M66" t="s">
        <v>16223</v>
      </c>
    </row>
    <row r="67" spans="1:13">
      <c r="A67" t="s">
        <v>15663</v>
      </c>
      <c r="B67" t="s">
        <v>15663</v>
      </c>
      <c r="C67" t="s">
        <v>15664</v>
      </c>
      <c r="D67" t="s">
        <v>4310</v>
      </c>
      <c r="F67" t="str">
        <f>Config!$B$7</f>
        <v>SCH/Connector.SchLib</v>
      </c>
      <c r="G67" t="s">
        <v>14932</v>
      </c>
      <c r="H67" t="s">
        <v>15636</v>
      </c>
      <c r="I67" t="s">
        <v>14946</v>
      </c>
      <c r="J67" s="47"/>
      <c r="K67" s="47" t="s">
        <v>16202</v>
      </c>
      <c r="L67" t="s">
        <v>16202</v>
      </c>
      <c r="M67" t="s">
        <v>16223</v>
      </c>
    </row>
    <row r="68" spans="1:13">
      <c r="A68" t="s">
        <v>15665</v>
      </c>
      <c r="B68" t="s">
        <v>15665</v>
      </c>
      <c r="C68" t="s">
        <v>15666</v>
      </c>
      <c r="D68" t="s">
        <v>4310</v>
      </c>
      <c r="F68" t="str">
        <f>Config!$B$7</f>
        <v>SCH/Connector.SchLib</v>
      </c>
      <c r="G68" t="s">
        <v>14932</v>
      </c>
      <c r="H68" t="s">
        <v>15636</v>
      </c>
      <c r="I68" t="s">
        <v>14947</v>
      </c>
      <c r="J68" s="47"/>
      <c r="K68" s="47" t="s">
        <v>16202</v>
      </c>
      <c r="L68" t="s">
        <v>16204</v>
      </c>
      <c r="M68" t="s">
        <v>16223</v>
      </c>
    </row>
    <row r="69" spans="1:13">
      <c r="A69" t="s">
        <v>15667</v>
      </c>
      <c r="B69" t="s">
        <v>15667</v>
      </c>
      <c r="C69" t="s">
        <v>15668</v>
      </c>
      <c r="D69" t="s">
        <v>4310</v>
      </c>
      <c r="F69" t="str">
        <f>Config!$B$7</f>
        <v>SCH/Connector.SchLib</v>
      </c>
      <c r="G69" t="s">
        <v>14932</v>
      </c>
      <c r="H69" t="s">
        <v>15636</v>
      </c>
      <c r="I69" t="s">
        <v>14948</v>
      </c>
      <c r="J69" s="47"/>
      <c r="K69" s="47" t="s">
        <v>16203</v>
      </c>
      <c r="L69" t="s">
        <v>16209</v>
      </c>
      <c r="M69" t="s">
        <v>16223</v>
      </c>
    </row>
    <row r="70" spans="1:13">
      <c r="A70" t="s">
        <v>15669</v>
      </c>
      <c r="B70" t="s">
        <v>15669</v>
      </c>
      <c r="C70" t="s">
        <v>15670</v>
      </c>
      <c r="D70" t="s">
        <v>4310</v>
      </c>
      <c r="F70" t="str">
        <f>Config!$B$7</f>
        <v>SCH/Connector.SchLib</v>
      </c>
      <c r="G70" t="s">
        <v>14932</v>
      </c>
      <c r="H70" t="s">
        <v>15636</v>
      </c>
      <c r="I70" t="s">
        <v>14949</v>
      </c>
      <c r="J70" s="47"/>
      <c r="K70" s="47" t="s">
        <v>16203</v>
      </c>
      <c r="L70" t="s">
        <v>16201</v>
      </c>
      <c r="M70" t="s">
        <v>16223</v>
      </c>
    </row>
    <row r="71" spans="1:13">
      <c r="A71" t="s">
        <v>15671</v>
      </c>
      <c r="B71" t="s">
        <v>15671</v>
      </c>
      <c r="C71" t="s">
        <v>15672</v>
      </c>
      <c r="D71" t="s">
        <v>4310</v>
      </c>
      <c r="F71" t="str">
        <f>Config!$B$7</f>
        <v>SCH/Connector.SchLib</v>
      </c>
      <c r="G71" t="s">
        <v>14932</v>
      </c>
      <c r="H71" t="s">
        <v>15636</v>
      </c>
      <c r="I71" t="s">
        <v>14950</v>
      </c>
      <c r="J71" s="47"/>
      <c r="K71" s="47" t="s">
        <v>16203</v>
      </c>
      <c r="L71" t="s">
        <v>16203</v>
      </c>
      <c r="M71" t="s">
        <v>16223</v>
      </c>
    </row>
    <row r="72" spans="1:13">
      <c r="A72" t="s">
        <v>15673</v>
      </c>
      <c r="B72" t="s">
        <v>15673</v>
      </c>
      <c r="C72" t="s">
        <v>15674</v>
      </c>
      <c r="D72" t="s">
        <v>4310</v>
      </c>
      <c r="F72" t="str">
        <f>Config!$B$7</f>
        <v>SCH/Connector.SchLib</v>
      </c>
      <c r="G72" t="s">
        <v>14932</v>
      </c>
      <c r="H72" t="s">
        <v>15636</v>
      </c>
      <c r="I72" t="s">
        <v>14951</v>
      </c>
      <c r="J72" s="47"/>
      <c r="K72" s="47" t="s">
        <v>16203</v>
      </c>
      <c r="L72" t="s">
        <v>16206</v>
      </c>
      <c r="M72" t="s">
        <v>16223</v>
      </c>
    </row>
    <row r="73" spans="1:13">
      <c r="A73" t="s">
        <v>15675</v>
      </c>
      <c r="B73" t="s">
        <v>15675</v>
      </c>
      <c r="C73" t="s">
        <v>15676</v>
      </c>
      <c r="D73" t="s">
        <v>4310</v>
      </c>
      <c r="F73" t="str">
        <f>Config!$B$7</f>
        <v>SCH/Connector.SchLib</v>
      </c>
      <c r="G73" t="s">
        <v>14932</v>
      </c>
      <c r="H73" t="s">
        <v>15636</v>
      </c>
      <c r="I73" t="s">
        <v>14952</v>
      </c>
      <c r="J73" s="47"/>
      <c r="K73" s="47" t="s">
        <v>16204</v>
      </c>
      <c r="L73" t="s">
        <v>16210</v>
      </c>
      <c r="M73" t="s">
        <v>16223</v>
      </c>
    </row>
    <row r="74" spans="1:13">
      <c r="A74" t="s">
        <v>15677</v>
      </c>
      <c r="B74" t="s">
        <v>15677</v>
      </c>
      <c r="C74" t="s">
        <v>15678</v>
      </c>
      <c r="D74" t="s">
        <v>4310</v>
      </c>
      <c r="F74" t="str">
        <f>Config!$B$7</f>
        <v>SCH/Connector.SchLib</v>
      </c>
      <c r="G74" t="s">
        <v>14932</v>
      </c>
      <c r="H74" t="s">
        <v>15636</v>
      </c>
      <c r="I74" t="s">
        <v>14953</v>
      </c>
      <c r="J74" s="47"/>
      <c r="K74" s="47" t="s">
        <v>16204</v>
      </c>
      <c r="L74" t="s">
        <v>16200</v>
      </c>
      <c r="M74" t="s">
        <v>16223</v>
      </c>
    </row>
    <row r="75" spans="1:13">
      <c r="A75" t="s">
        <v>15679</v>
      </c>
      <c r="B75" t="s">
        <v>15679</v>
      </c>
      <c r="C75" t="s">
        <v>15680</v>
      </c>
      <c r="D75" t="s">
        <v>4310</v>
      </c>
      <c r="F75" t="str">
        <f>Config!$B$7</f>
        <v>SCH/Connector.SchLib</v>
      </c>
      <c r="G75" t="s">
        <v>14932</v>
      </c>
      <c r="H75" t="s">
        <v>15636</v>
      </c>
      <c r="I75" t="s">
        <v>14954</v>
      </c>
      <c r="J75" s="47"/>
      <c r="K75" s="47" t="s">
        <v>16204</v>
      </c>
      <c r="L75" t="s">
        <v>16202</v>
      </c>
      <c r="M75" t="s">
        <v>16223</v>
      </c>
    </row>
    <row r="76" spans="1:13">
      <c r="A76" t="s">
        <v>15681</v>
      </c>
      <c r="B76" t="s">
        <v>15681</v>
      </c>
      <c r="C76" t="s">
        <v>15682</v>
      </c>
      <c r="D76" t="s">
        <v>4310</v>
      </c>
      <c r="F76" t="str">
        <f>Config!$B$7</f>
        <v>SCH/Connector.SchLib</v>
      </c>
      <c r="G76" t="s">
        <v>14932</v>
      </c>
      <c r="H76" t="s">
        <v>15636</v>
      </c>
      <c r="I76" t="s">
        <v>14955</v>
      </c>
      <c r="J76" s="47"/>
      <c r="K76" s="47" t="s">
        <v>16204</v>
      </c>
      <c r="L76" t="s">
        <v>16204</v>
      </c>
      <c r="M76" t="s">
        <v>16223</v>
      </c>
    </row>
    <row r="77" spans="1:13">
      <c r="A77" t="s">
        <v>15683</v>
      </c>
      <c r="B77" t="s">
        <v>15683</v>
      </c>
      <c r="C77" t="s">
        <v>15684</v>
      </c>
      <c r="D77" t="s">
        <v>4310</v>
      </c>
      <c r="F77" t="str">
        <f>Config!$B$7</f>
        <v>SCH/Connector.SchLib</v>
      </c>
      <c r="G77" t="s">
        <v>14932</v>
      </c>
      <c r="H77" t="s">
        <v>15636</v>
      </c>
      <c r="I77" t="s">
        <v>14956</v>
      </c>
      <c r="J77" s="47"/>
      <c r="K77" s="47" t="s">
        <v>16204</v>
      </c>
      <c r="L77" t="s">
        <v>16207</v>
      </c>
      <c r="M77" t="s">
        <v>16223</v>
      </c>
    </row>
    <row r="78" spans="1:13">
      <c r="A78" t="s">
        <v>15685</v>
      </c>
      <c r="B78" t="s">
        <v>15685</v>
      </c>
      <c r="C78" t="s">
        <v>15686</v>
      </c>
      <c r="D78" t="s">
        <v>4310</v>
      </c>
      <c r="F78" t="str">
        <f>Config!$B$7</f>
        <v>SCH/Connector.SchLib</v>
      </c>
      <c r="G78" t="s">
        <v>14932</v>
      </c>
      <c r="H78" t="s">
        <v>15636</v>
      </c>
      <c r="I78" t="s">
        <v>14957</v>
      </c>
      <c r="J78" s="47"/>
      <c r="K78" s="47" t="s">
        <v>16205</v>
      </c>
      <c r="L78" t="s">
        <v>16199</v>
      </c>
      <c r="M78" t="s">
        <v>16223</v>
      </c>
    </row>
    <row r="79" spans="1:13">
      <c r="A79" t="s">
        <v>16155</v>
      </c>
      <c r="B79" t="s">
        <v>16155</v>
      </c>
      <c r="C79" t="s">
        <v>16156</v>
      </c>
      <c r="D79" t="s">
        <v>4310</v>
      </c>
      <c r="F79" t="str">
        <f>Config!$B$7</f>
        <v>SCH/Connector.SchLib</v>
      </c>
      <c r="G79" t="s">
        <v>14932</v>
      </c>
      <c r="H79" t="s">
        <v>15636</v>
      </c>
      <c r="I79" t="s">
        <v>15695</v>
      </c>
      <c r="J79" s="47"/>
      <c r="K79" s="47" t="s">
        <v>16205</v>
      </c>
      <c r="L79" t="s">
        <v>16200</v>
      </c>
      <c r="M79" t="s">
        <v>16223</v>
      </c>
    </row>
    <row r="80" spans="1:13">
      <c r="A80" t="s">
        <v>15687</v>
      </c>
      <c r="B80" t="s">
        <v>15687</v>
      </c>
      <c r="C80" t="s">
        <v>15688</v>
      </c>
      <c r="D80" t="s">
        <v>4310</v>
      </c>
      <c r="F80" t="str">
        <f>Config!$B$7</f>
        <v>SCH/Connector.SchLib</v>
      </c>
      <c r="G80" t="s">
        <v>14932</v>
      </c>
      <c r="H80" t="s">
        <v>15636</v>
      </c>
      <c r="I80" t="s">
        <v>14958</v>
      </c>
      <c r="J80" s="47"/>
      <c r="K80" s="47" t="s">
        <v>16205</v>
      </c>
      <c r="L80" t="s">
        <v>16211</v>
      </c>
      <c r="M80" t="s">
        <v>16223</v>
      </c>
    </row>
    <row r="81" spans="1:13">
      <c r="A81" t="s">
        <v>15689</v>
      </c>
      <c r="B81" t="s">
        <v>15689</v>
      </c>
      <c r="C81" t="s">
        <v>15690</v>
      </c>
      <c r="D81" t="s">
        <v>4310</v>
      </c>
      <c r="F81" t="str">
        <f>Config!$B$7</f>
        <v>SCH/Connector.SchLib</v>
      </c>
      <c r="G81" t="s">
        <v>14932</v>
      </c>
      <c r="H81" t="s">
        <v>15636</v>
      </c>
      <c r="I81" t="s">
        <v>14959</v>
      </c>
      <c r="J81" s="47"/>
      <c r="K81" s="47" t="s">
        <v>16205</v>
      </c>
      <c r="L81" t="s">
        <v>16212</v>
      </c>
      <c r="M81" t="s">
        <v>16223</v>
      </c>
    </row>
    <row r="82" spans="1:13">
      <c r="A82" t="s">
        <v>15691</v>
      </c>
      <c r="B82" t="s">
        <v>15691</v>
      </c>
      <c r="C82" t="s">
        <v>15692</v>
      </c>
      <c r="D82" t="s">
        <v>4310</v>
      </c>
      <c r="F82" t="str">
        <f>Config!$B$7</f>
        <v>SCH/Connector.SchLib</v>
      </c>
      <c r="G82" t="s">
        <v>14932</v>
      </c>
      <c r="H82" t="s">
        <v>15636</v>
      </c>
      <c r="I82" t="s">
        <v>14960</v>
      </c>
      <c r="J82" s="47"/>
      <c r="K82" s="47" t="s">
        <v>16205</v>
      </c>
      <c r="L82" t="s">
        <v>16205</v>
      </c>
      <c r="M82" t="s">
        <v>16223</v>
      </c>
    </row>
    <row r="83" spans="1:13">
      <c r="A83" t="s">
        <v>15693</v>
      </c>
      <c r="B83" t="s">
        <v>15693</v>
      </c>
      <c r="C83" t="s">
        <v>15694</v>
      </c>
      <c r="D83" t="s">
        <v>4310</v>
      </c>
      <c r="F83" t="str">
        <f>Config!$B$7</f>
        <v>SCH/Connector.SchLib</v>
      </c>
      <c r="G83" t="s">
        <v>14932</v>
      </c>
      <c r="H83" t="s">
        <v>15636</v>
      </c>
      <c r="I83" t="s">
        <v>14961</v>
      </c>
      <c r="J83" s="47"/>
      <c r="K83" s="47" t="s">
        <v>16205</v>
      </c>
      <c r="L83" t="s">
        <v>16213</v>
      </c>
      <c r="M83" t="s">
        <v>16223</v>
      </c>
    </row>
    <row r="84" spans="1:13">
      <c r="A84" t="s">
        <v>16157</v>
      </c>
      <c r="B84" t="s">
        <v>16157</v>
      </c>
      <c r="C84" t="s">
        <v>16158</v>
      </c>
      <c r="D84" t="s">
        <v>4310</v>
      </c>
      <c r="F84" t="str">
        <f>Config!$B$7</f>
        <v>SCH/Connector.SchLib</v>
      </c>
      <c r="G84" t="s">
        <v>14932</v>
      </c>
      <c r="H84" t="s">
        <v>15636</v>
      </c>
      <c r="I84" t="s">
        <v>15698</v>
      </c>
      <c r="J84" s="47"/>
      <c r="K84" s="47" t="s">
        <v>16206</v>
      </c>
      <c r="L84" t="s">
        <v>16214</v>
      </c>
      <c r="M84" t="s">
        <v>16223</v>
      </c>
    </row>
    <row r="85" spans="1:13">
      <c r="A85" t="s">
        <v>16159</v>
      </c>
      <c r="B85" t="s">
        <v>16159</v>
      </c>
      <c r="C85" t="s">
        <v>16160</v>
      </c>
      <c r="D85" t="s">
        <v>4310</v>
      </c>
      <c r="F85" t="str">
        <f>Config!$B$7</f>
        <v>SCH/Connector.SchLib</v>
      </c>
      <c r="G85" t="s">
        <v>14932</v>
      </c>
      <c r="H85" t="s">
        <v>15636</v>
      </c>
      <c r="I85" t="s">
        <v>15699</v>
      </c>
      <c r="J85" s="47"/>
      <c r="K85" s="47" t="s">
        <v>16206</v>
      </c>
      <c r="L85" t="s">
        <v>16200</v>
      </c>
      <c r="M85" t="s">
        <v>16223</v>
      </c>
    </row>
    <row r="86" spans="1:13">
      <c r="A86" t="s">
        <v>16161</v>
      </c>
      <c r="B86" t="s">
        <v>16161</v>
      </c>
      <c r="C86" t="s">
        <v>16162</v>
      </c>
      <c r="D86" t="s">
        <v>4310</v>
      </c>
      <c r="F86" t="str">
        <f>Config!$B$7</f>
        <v>SCH/Connector.SchLib</v>
      </c>
      <c r="G86" t="s">
        <v>14932</v>
      </c>
      <c r="H86" t="s">
        <v>15636</v>
      </c>
      <c r="I86" t="s">
        <v>15700</v>
      </c>
      <c r="J86" s="47"/>
      <c r="K86" s="47" t="s">
        <v>16206</v>
      </c>
      <c r="L86" t="s">
        <v>16201</v>
      </c>
      <c r="M86" t="s">
        <v>16223</v>
      </c>
    </row>
    <row r="87" spans="1:13">
      <c r="A87" t="s">
        <v>16163</v>
      </c>
      <c r="B87" t="s">
        <v>16163</v>
      </c>
      <c r="C87" t="s">
        <v>16164</v>
      </c>
      <c r="D87" t="s">
        <v>4310</v>
      </c>
      <c r="F87" t="str">
        <f>Config!$B$7</f>
        <v>SCH/Connector.SchLib</v>
      </c>
      <c r="G87" t="s">
        <v>14932</v>
      </c>
      <c r="H87" t="s">
        <v>15636</v>
      </c>
      <c r="I87" t="s">
        <v>15701</v>
      </c>
      <c r="K87" s="47" t="s">
        <v>16206</v>
      </c>
      <c r="L87" t="s">
        <v>16203</v>
      </c>
      <c r="M87" t="s">
        <v>16223</v>
      </c>
    </row>
    <row r="88" spans="1:13">
      <c r="A88" t="s">
        <v>16165</v>
      </c>
      <c r="B88" t="s">
        <v>16165</v>
      </c>
      <c r="C88" t="s">
        <v>16166</v>
      </c>
      <c r="D88" t="s">
        <v>4310</v>
      </c>
      <c r="F88" t="str">
        <f>Config!$B$7</f>
        <v>SCH/Connector.SchLib</v>
      </c>
      <c r="G88" t="s">
        <v>14932</v>
      </c>
      <c r="H88" t="s">
        <v>15636</v>
      </c>
      <c r="I88" t="s">
        <v>15702</v>
      </c>
      <c r="J88" s="47"/>
      <c r="K88" s="47" t="s">
        <v>16206</v>
      </c>
      <c r="L88" t="s">
        <v>16206</v>
      </c>
      <c r="M88" t="s">
        <v>16223</v>
      </c>
    </row>
    <row r="89" spans="1:13">
      <c r="A89" t="s">
        <v>16167</v>
      </c>
      <c r="B89" t="s">
        <v>16167</v>
      </c>
      <c r="C89" t="s">
        <v>16168</v>
      </c>
      <c r="D89" t="s">
        <v>4310</v>
      </c>
      <c r="F89" t="str">
        <f>Config!$B$7</f>
        <v>SCH/Connector.SchLib</v>
      </c>
      <c r="G89" t="s">
        <v>14932</v>
      </c>
      <c r="H89" t="s">
        <v>15636</v>
      </c>
      <c r="I89" t="s">
        <v>15703</v>
      </c>
      <c r="J89" s="47"/>
      <c r="K89" s="47" t="s">
        <v>16206</v>
      </c>
      <c r="L89" t="s">
        <v>16215</v>
      </c>
      <c r="M89" t="s">
        <v>16223</v>
      </c>
    </row>
    <row r="90" spans="1:13">
      <c r="A90" t="s">
        <v>16169</v>
      </c>
      <c r="B90" t="s">
        <v>16169</v>
      </c>
      <c r="C90" t="s">
        <v>16170</v>
      </c>
      <c r="D90" t="s">
        <v>4310</v>
      </c>
      <c r="F90" t="str">
        <f>Config!$B$7</f>
        <v>SCH/Connector.SchLib</v>
      </c>
      <c r="G90" t="s">
        <v>14932</v>
      </c>
      <c r="H90" t="s">
        <v>15636</v>
      </c>
      <c r="I90" t="s">
        <v>15704</v>
      </c>
      <c r="J90" s="47"/>
      <c r="K90" s="47" t="s">
        <v>16207</v>
      </c>
      <c r="L90" t="s">
        <v>16199</v>
      </c>
      <c r="M90" t="s">
        <v>16223</v>
      </c>
    </row>
    <row r="91" spans="1:13">
      <c r="A91" t="s">
        <v>16171</v>
      </c>
      <c r="B91" t="s">
        <v>16171</v>
      </c>
      <c r="C91" t="s">
        <v>16172</v>
      </c>
      <c r="D91" t="s">
        <v>4310</v>
      </c>
      <c r="F91" t="str">
        <f>Config!$B$7</f>
        <v>SCH/Connector.SchLib</v>
      </c>
      <c r="G91" t="s">
        <v>14932</v>
      </c>
      <c r="H91" t="s">
        <v>15636</v>
      </c>
      <c r="I91" t="s">
        <v>15705</v>
      </c>
      <c r="J91" s="47"/>
      <c r="K91" s="47" t="s">
        <v>16207</v>
      </c>
      <c r="L91" t="s">
        <v>16216</v>
      </c>
      <c r="M91" t="s">
        <v>16223</v>
      </c>
    </row>
    <row r="92" spans="1:13">
      <c r="A92" t="s">
        <v>16173</v>
      </c>
      <c r="B92" t="s">
        <v>16173</v>
      </c>
      <c r="C92" t="s">
        <v>16174</v>
      </c>
      <c r="D92" t="s">
        <v>4310</v>
      </c>
      <c r="F92" t="str">
        <f>Config!$B$7</f>
        <v>SCH/Connector.SchLib</v>
      </c>
      <c r="G92" t="s">
        <v>14932</v>
      </c>
      <c r="H92" t="s">
        <v>15636</v>
      </c>
      <c r="I92" t="s">
        <v>15706</v>
      </c>
      <c r="J92" s="47"/>
      <c r="K92" s="47" t="s">
        <v>16207</v>
      </c>
      <c r="L92" t="s">
        <v>16200</v>
      </c>
      <c r="M92" t="s">
        <v>16223</v>
      </c>
    </row>
    <row r="93" spans="1:13">
      <c r="A93" t="s">
        <v>16175</v>
      </c>
      <c r="B93" t="s">
        <v>16175</v>
      </c>
      <c r="C93" t="s">
        <v>16176</v>
      </c>
      <c r="D93" t="s">
        <v>4310</v>
      </c>
      <c r="F93" t="str">
        <f>Config!$B$7</f>
        <v>SCH/Connector.SchLib</v>
      </c>
      <c r="G93" t="s">
        <v>14932</v>
      </c>
      <c r="H93" t="s">
        <v>15636</v>
      </c>
      <c r="I93" t="s">
        <v>15707</v>
      </c>
      <c r="J93" s="47"/>
      <c r="K93" s="47" t="s">
        <v>16207</v>
      </c>
      <c r="L93" t="s">
        <v>16202</v>
      </c>
      <c r="M93" t="s">
        <v>16223</v>
      </c>
    </row>
    <row r="94" spans="1:13">
      <c r="A94" t="s">
        <v>16177</v>
      </c>
      <c r="B94" t="s">
        <v>16177</v>
      </c>
      <c r="C94" t="s">
        <v>16178</v>
      </c>
      <c r="D94" t="s">
        <v>4310</v>
      </c>
      <c r="F94" t="str">
        <f>Config!$B$7</f>
        <v>SCH/Connector.SchLib</v>
      </c>
      <c r="G94" t="s">
        <v>14932</v>
      </c>
      <c r="H94" t="s">
        <v>15636</v>
      </c>
      <c r="I94" t="s">
        <v>15708</v>
      </c>
      <c r="J94" s="47"/>
      <c r="K94" s="47" t="s">
        <v>16207</v>
      </c>
      <c r="L94" t="s">
        <v>16204</v>
      </c>
      <c r="M94" t="s">
        <v>16223</v>
      </c>
    </row>
    <row r="95" spans="1:13">
      <c r="A95" t="s">
        <v>16179</v>
      </c>
      <c r="B95" t="s">
        <v>16179</v>
      </c>
      <c r="C95" t="s">
        <v>16180</v>
      </c>
      <c r="D95" t="s">
        <v>4310</v>
      </c>
      <c r="F95" t="str">
        <f>Config!$B$7</f>
        <v>SCH/Connector.SchLib</v>
      </c>
      <c r="G95" t="s">
        <v>14932</v>
      </c>
      <c r="H95" t="s">
        <v>15636</v>
      </c>
      <c r="I95" t="s">
        <v>15709</v>
      </c>
      <c r="J95" s="47"/>
      <c r="K95" s="47" t="s">
        <v>16207</v>
      </c>
      <c r="L95" t="s">
        <v>16207</v>
      </c>
      <c r="M95" t="s">
        <v>16223</v>
      </c>
    </row>
    <row r="96" spans="1:13">
      <c r="A96" t="s">
        <v>16181</v>
      </c>
      <c r="B96" t="s">
        <v>16181</v>
      </c>
      <c r="C96" t="s">
        <v>16182</v>
      </c>
      <c r="D96" t="s">
        <v>4310</v>
      </c>
      <c r="F96" t="str">
        <f>Config!$B$7</f>
        <v>SCH/Connector.SchLib</v>
      </c>
      <c r="G96" t="s">
        <v>14932</v>
      </c>
      <c r="H96" t="s">
        <v>15636</v>
      </c>
      <c r="I96" t="s">
        <v>15710</v>
      </c>
      <c r="J96" s="47"/>
      <c r="K96" s="47" t="s">
        <v>16207</v>
      </c>
      <c r="L96" t="s">
        <v>16217</v>
      </c>
      <c r="M96" t="s">
        <v>16223</v>
      </c>
    </row>
    <row r="97" spans="1:13">
      <c r="A97" t="s">
        <v>16183</v>
      </c>
      <c r="B97" t="s">
        <v>16183</v>
      </c>
      <c r="C97" t="s">
        <v>16184</v>
      </c>
      <c r="D97" t="s">
        <v>4310</v>
      </c>
      <c r="F97" t="str">
        <f>Config!$B$7</f>
        <v>SCH/Connector.SchLib</v>
      </c>
      <c r="G97" t="s">
        <v>14932</v>
      </c>
      <c r="H97" t="s">
        <v>15636</v>
      </c>
      <c r="I97" t="s">
        <v>15711</v>
      </c>
      <c r="J97" s="47"/>
      <c r="K97" s="47" t="s">
        <v>16208</v>
      </c>
      <c r="L97" t="s">
        <v>16199</v>
      </c>
      <c r="M97" t="s">
        <v>16223</v>
      </c>
    </row>
    <row r="98" spans="1:13">
      <c r="A98" t="s">
        <v>16185</v>
      </c>
      <c r="B98" t="s">
        <v>16185</v>
      </c>
      <c r="C98" t="s">
        <v>16186</v>
      </c>
      <c r="D98" t="s">
        <v>4310</v>
      </c>
      <c r="F98" t="str">
        <f>Config!$B$7</f>
        <v>SCH/Connector.SchLib</v>
      </c>
      <c r="G98" t="s">
        <v>14932</v>
      </c>
      <c r="H98" t="s">
        <v>15636</v>
      </c>
      <c r="I98" t="s">
        <v>15712</v>
      </c>
      <c r="J98" s="47"/>
      <c r="K98" s="47" t="s">
        <v>16208</v>
      </c>
      <c r="L98" t="s">
        <v>16200</v>
      </c>
      <c r="M98" t="s">
        <v>16223</v>
      </c>
    </row>
    <row r="99" spans="1:13">
      <c r="A99" t="s">
        <v>16187</v>
      </c>
      <c r="B99" t="s">
        <v>16187</v>
      </c>
      <c r="C99" t="s">
        <v>16188</v>
      </c>
      <c r="D99" t="s">
        <v>4310</v>
      </c>
      <c r="F99" t="str">
        <f>Config!$B$7</f>
        <v>SCH/Connector.SchLib</v>
      </c>
      <c r="G99" t="s">
        <v>14932</v>
      </c>
      <c r="H99" t="s">
        <v>15636</v>
      </c>
      <c r="I99" t="s">
        <v>15713</v>
      </c>
      <c r="J99" s="47"/>
      <c r="K99" s="47" t="s">
        <v>16208</v>
      </c>
      <c r="L99" t="s">
        <v>16212</v>
      </c>
      <c r="M99" t="s">
        <v>16223</v>
      </c>
    </row>
    <row r="100" spans="1:13">
      <c r="A100" t="s">
        <v>16189</v>
      </c>
      <c r="B100" t="s">
        <v>16189</v>
      </c>
      <c r="C100" t="s">
        <v>16190</v>
      </c>
      <c r="D100" t="s">
        <v>4310</v>
      </c>
      <c r="F100" t="str">
        <f>Config!$B$7</f>
        <v>SCH/Connector.SchLib</v>
      </c>
      <c r="G100" t="s">
        <v>14932</v>
      </c>
      <c r="H100" t="s">
        <v>15636</v>
      </c>
      <c r="I100" t="s">
        <v>15714</v>
      </c>
      <c r="J100" s="47"/>
      <c r="K100" s="47" t="s">
        <v>16208</v>
      </c>
      <c r="L100" t="s">
        <v>16205</v>
      </c>
      <c r="M100" t="s">
        <v>16223</v>
      </c>
    </row>
    <row r="101" spans="1:13">
      <c r="A101" t="s">
        <v>16191</v>
      </c>
      <c r="B101" t="s">
        <v>16191</v>
      </c>
      <c r="C101" t="s">
        <v>16192</v>
      </c>
      <c r="D101" t="s">
        <v>4310</v>
      </c>
      <c r="F101" t="str">
        <f>Config!$B$7</f>
        <v>SCH/Connector.SchLib</v>
      </c>
      <c r="G101" t="s">
        <v>14932</v>
      </c>
      <c r="H101" t="s">
        <v>15636</v>
      </c>
      <c r="I101" t="s">
        <v>15715</v>
      </c>
      <c r="J101" s="47"/>
      <c r="K101" s="47" t="s">
        <v>16208</v>
      </c>
      <c r="L101" t="s">
        <v>16213</v>
      </c>
      <c r="M101" t="s">
        <v>16223</v>
      </c>
    </row>
    <row r="102" spans="1:13">
      <c r="A102" t="s">
        <v>16193</v>
      </c>
      <c r="B102" t="s">
        <v>16193</v>
      </c>
      <c r="C102" t="s">
        <v>16194</v>
      </c>
      <c r="D102" t="s">
        <v>4310</v>
      </c>
      <c r="F102" t="str">
        <f>Config!$B$7</f>
        <v>SCH/Connector.SchLib</v>
      </c>
      <c r="G102" t="s">
        <v>14932</v>
      </c>
      <c r="H102" t="s">
        <v>15636</v>
      </c>
      <c r="I102" t="s">
        <v>15716</v>
      </c>
      <c r="J102" s="47"/>
      <c r="K102" s="47" t="s">
        <v>16208</v>
      </c>
      <c r="L102" t="s">
        <v>16218</v>
      </c>
      <c r="M102" t="s">
        <v>16223</v>
      </c>
    </row>
    <row r="103" spans="1:13">
      <c r="J103" s="47"/>
      <c r="K103" s="47"/>
    </row>
    <row r="104" spans="1:13">
      <c r="A104" t="s">
        <v>15573</v>
      </c>
      <c r="B104" t="s">
        <v>15573</v>
      </c>
      <c r="C104" t="s">
        <v>15574</v>
      </c>
      <c r="D104" t="s">
        <v>4310</v>
      </c>
      <c r="F104" t="str">
        <f>Config!$B$7</f>
        <v>SCH/Connector.SchLib</v>
      </c>
      <c r="G104" t="s">
        <v>14932</v>
      </c>
      <c r="H104" t="s">
        <v>15575</v>
      </c>
      <c r="I104" t="s">
        <v>14962</v>
      </c>
      <c r="J104" s="47"/>
      <c r="K104" s="47" t="s">
        <v>16198</v>
      </c>
      <c r="L104" t="s">
        <v>16198</v>
      </c>
      <c r="M104" t="s">
        <v>16224</v>
      </c>
    </row>
    <row r="105" spans="1:13">
      <c r="A105" t="s">
        <v>15576</v>
      </c>
      <c r="B105" t="s">
        <v>15576</v>
      </c>
      <c r="C105" t="s">
        <v>15577</v>
      </c>
      <c r="D105" t="s">
        <v>4310</v>
      </c>
      <c r="F105" t="str">
        <f>Config!$B$7</f>
        <v>SCH/Connector.SchLib</v>
      </c>
      <c r="G105" t="s">
        <v>14932</v>
      </c>
      <c r="H105" t="s">
        <v>15575</v>
      </c>
      <c r="I105" t="s">
        <v>14963</v>
      </c>
      <c r="J105" s="47"/>
      <c r="K105" s="47" t="s">
        <v>16198</v>
      </c>
      <c r="L105" t="s">
        <v>16199</v>
      </c>
      <c r="M105" t="s">
        <v>16224</v>
      </c>
    </row>
    <row r="106" spans="1:13">
      <c r="A106" t="s">
        <v>15578</v>
      </c>
      <c r="B106" t="s">
        <v>15578</v>
      </c>
      <c r="C106" t="s">
        <v>15579</v>
      </c>
      <c r="D106" t="s">
        <v>4310</v>
      </c>
      <c r="F106" t="str">
        <f>Config!$B$7</f>
        <v>SCH/Connector.SchLib</v>
      </c>
      <c r="G106" t="s">
        <v>14932</v>
      </c>
      <c r="H106" t="s">
        <v>15575</v>
      </c>
      <c r="I106" t="s">
        <v>14934</v>
      </c>
      <c r="J106" s="47"/>
      <c r="K106" s="47" t="s">
        <v>16199</v>
      </c>
      <c r="L106" t="s">
        <v>16198</v>
      </c>
      <c r="M106" t="s">
        <v>16224</v>
      </c>
    </row>
    <row r="107" spans="1:13">
      <c r="A107" t="s">
        <v>15580</v>
      </c>
      <c r="B107" t="s">
        <v>15580</v>
      </c>
      <c r="C107" t="s">
        <v>15581</v>
      </c>
      <c r="D107" t="s">
        <v>4310</v>
      </c>
      <c r="F107" t="str">
        <f>Config!$B$7</f>
        <v>SCH/Connector.SchLib</v>
      </c>
      <c r="G107" t="s">
        <v>14932</v>
      </c>
      <c r="H107" t="s">
        <v>15575</v>
      </c>
      <c r="I107" t="s">
        <v>14935</v>
      </c>
      <c r="J107" s="47"/>
      <c r="K107" s="47" t="s">
        <v>16199</v>
      </c>
      <c r="L107" t="s">
        <v>16199</v>
      </c>
      <c r="M107" t="s">
        <v>16224</v>
      </c>
    </row>
    <row r="108" spans="1:13">
      <c r="A108" t="s">
        <v>15582</v>
      </c>
      <c r="B108" t="s">
        <v>15582</v>
      </c>
      <c r="C108" t="s">
        <v>15583</v>
      </c>
      <c r="D108" t="s">
        <v>4310</v>
      </c>
      <c r="F108" t="str">
        <f>Config!$B$7</f>
        <v>SCH/Connector.SchLib</v>
      </c>
      <c r="G108" t="s">
        <v>14932</v>
      </c>
      <c r="H108" t="s">
        <v>15575</v>
      </c>
      <c r="I108" t="s">
        <v>14936</v>
      </c>
      <c r="J108" s="47"/>
      <c r="K108" s="47" t="s">
        <v>16199</v>
      </c>
      <c r="L108" t="s">
        <v>16200</v>
      </c>
      <c r="M108" t="s">
        <v>16224</v>
      </c>
    </row>
    <row r="109" spans="1:13">
      <c r="A109" t="s">
        <v>15584</v>
      </c>
      <c r="B109" t="s">
        <v>15584</v>
      </c>
      <c r="C109" t="s">
        <v>15585</v>
      </c>
      <c r="D109" t="s">
        <v>4310</v>
      </c>
      <c r="F109" t="str">
        <f>Config!$B$7</f>
        <v>SCH/Connector.SchLib</v>
      </c>
      <c r="G109" t="s">
        <v>14932</v>
      </c>
      <c r="H109" t="s">
        <v>15575</v>
      </c>
      <c r="I109" t="s">
        <v>14937</v>
      </c>
      <c r="J109" s="47"/>
      <c r="K109" s="47" t="s">
        <v>16200</v>
      </c>
      <c r="L109" t="s">
        <v>16198</v>
      </c>
      <c r="M109" t="s">
        <v>16224</v>
      </c>
    </row>
    <row r="110" spans="1:13">
      <c r="A110" t="s">
        <v>15586</v>
      </c>
      <c r="B110" t="s">
        <v>15586</v>
      </c>
      <c r="C110" t="s">
        <v>15587</v>
      </c>
      <c r="D110" t="s">
        <v>4310</v>
      </c>
      <c r="F110" t="str">
        <f>Config!$B$7</f>
        <v>SCH/Connector.SchLib</v>
      </c>
      <c r="G110" t="s">
        <v>14932</v>
      </c>
      <c r="H110" t="s">
        <v>15575</v>
      </c>
      <c r="I110" t="s">
        <v>14938</v>
      </c>
      <c r="J110" s="47"/>
      <c r="K110" s="47" t="s">
        <v>16200</v>
      </c>
      <c r="L110" t="s">
        <v>16199</v>
      </c>
      <c r="M110" t="s">
        <v>16224</v>
      </c>
    </row>
    <row r="111" spans="1:13">
      <c r="A111" t="s">
        <v>15588</v>
      </c>
      <c r="B111" t="s">
        <v>15588</v>
      </c>
      <c r="C111" t="s">
        <v>15589</v>
      </c>
      <c r="D111" t="s">
        <v>4310</v>
      </c>
      <c r="F111" t="str">
        <f>Config!$B$7</f>
        <v>SCH/Connector.SchLib</v>
      </c>
      <c r="G111" t="s">
        <v>14932</v>
      </c>
      <c r="H111" t="s">
        <v>15575</v>
      </c>
      <c r="I111" t="s">
        <v>14939</v>
      </c>
      <c r="J111" s="47"/>
      <c r="K111" s="47" t="s">
        <v>16200</v>
      </c>
      <c r="L111" t="s">
        <v>16200</v>
      </c>
      <c r="M111" t="s">
        <v>16224</v>
      </c>
    </row>
    <row r="112" spans="1:13">
      <c r="A112" t="s">
        <v>15590</v>
      </c>
      <c r="B112" t="s">
        <v>15590</v>
      </c>
      <c r="C112" t="s">
        <v>15591</v>
      </c>
      <c r="D112" t="s">
        <v>4310</v>
      </c>
      <c r="F112" t="str">
        <f>Config!$B$7</f>
        <v>SCH/Connector.SchLib</v>
      </c>
      <c r="G112" t="s">
        <v>14932</v>
      </c>
      <c r="H112" t="s">
        <v>15575</v>
      </c>
      <c r="I112" t="s">
        <v>14940</v>
      </c>
      <c r="J112" s="47"/>
      <c r="K112" s="47" t="s">
        <v>16200</v>
      </c>
      <c r="L112" t="s">
        <v>16202</v>
      </c>
      <c r="M112" t="s">
        <v>16224</v>
      </c>
    </row>
    <row r="113" spans="1:13">
      <c r="A113" t="s">
        <v>15592</v>
      </c>
      <c r="B113" t="s">
        <v>15592</v>
      </c>
      <c r="C113" t="s">
        <v>15593</v>
      </c>
      <c r="D113" t="s">
        <v>4310</v>
      </c>
      <c r="F113" t="str">
        <f>Config!$B$7</f>
        <v>SCH/Connector.SchLib</v>
      </c>
      <c r="G113" t="s">
        <v>14932</v>
      </c>
      <c r="H113" t="s">
        <v>15575</v>
      </c>
      <c r="I113" t="s">
        <v>14941</v>
      </c>
      <c r="J113" s="47"/>
      <c r="K113" s="47" t="s">
        <v>16201</v>
      </c>
      <c r="L113" t="s">
        <v>16209</v>
      </c>
      <c r="M113" t="s">
        <v>16224</v>
      </c>
    </row>
    <row r="114" spans="1:13">
      <c r="A114" t="s">
        <v>15594</v>
      </c>
      <c r="B114" t="s">
        <v>15594</v>
      </c>
      <c r="C114" t="s">
        <v>15595</v>
      </c>
      <c r="D114" t="s">
        <v>4310</v>
      </c>
      <c r="F114" t="str">
        <f>Config!$B$7</f>
        <v>SCH/Connector.SchLib</v>
      </c>
      <c r="G114" t="s">
        <v>14932</v>
      </c>
      <c r="H114" t="s">
        <v>15575</v>
      </c>
      <c r="I114" t="s">
        <v>14942</v>
      </c>
      <c r="J114" s="47"/>
      <c r="K114" s="47" t="s">
        <v>16201</v>
      </c>
      <c r="L114" t="s">
        <v>16201</v>
      </c>
      <c r="M114" t="s">
        <v>16224</v>
      </c>
    </row>
    <row r="115" spans="1:13">
      <c r="A115" t="s">
        <v>15596</v>
      </c>
      <c r="B115" t="s">
        <v>15596</v>
      </c>
      <c r="C115" t="s">
        <v>15597</v>
      </c>
      <c r="D115" t="s">
        <v>4310</v>
      </c>
      <c r="F115" t="str">
        <f>Config!$B$7</f>
        <v>SCH/Connector.SchLib</v>
      </c>
      <c r="G115" t="s">
        <v>14932</v>
      </c>
      <c r="H115" t="s">
        <v>15575</v>
      </c>
      <c r="I115" t="s">
        <v>14943</v>
      </c>
      <c r="J115" s="47"/>
      <c r="K115" s="47" t="s">
        <v>16201</v>
      </c>
      <c r="L115" t="s">
        <v>16203</v>
      </c>
      <c r="M115" t="s">
        <v>16224</v>
      </c>
    </row>
    <row r="116" spans="1:13">
      <c r="A116" t="s">
        <v>15598</v>
      </c>
      <c r="B116" t="s">
        <v>15598</v>
      </c>
      <c r="C116" t="s">
        <v>15599</v>
      </c>
      <c r="D116" t="s">
        <v>4310</v>
      </c>
      <c r="F116" t="str">
        <f>Config!$B$7</f>
        <v>SCH/Connector.SchLib</v>
      </c>
      <c r="G116" t="s">
        <v>14932</v>
      </c>
      <c r="H116" t="s">
        <v>15575</v>
      </c>
      <c r="I116" t="s">
        <v>14944</v>
      </c>
      <c r="J116" s="47"/>
      <c r="K116" s="47" t="s">
        <v>16202</v>
      </c>
      <c r="L116" t="s">
        <v>16199</v>
      </c>
      <c r="M116" t="s">
        <v>16224</v>
      </c>
    </row>
    <row r="117" spans="1:13">
      <c r="A117" t="s">
        <v>15600</v>
      </c>
      <c r="B117" t="s">
        <v>15600</v>
      </c>
      <c r="C117" t="s">
        <v>15601</v>
      </c>
      <c r="D117" t="s">
        <v>4310</v>
      </c>
      <c r="F117" t="str">
        <f>Config!$B$7</f>
        <v>SCH/Connector.SchLib</v>
      </c>
      <c r="G117" t="s">
        <v>14932</v>
      </c>
      <c r="H117" t="s">
        <v>15575</v>
      </c>
      <c r="I117" t="s">
        <v>14945</v>
      </c>
      <c r="J117" s="47"/>
      <c r="K117" s="47" t="s">
        <v>16202</v>
      </c>
      <c r="L117" t="s">
        <v>16200</v>
      </c>
      <c r="M117" t="s">
        <v>16224</v>
      </c>
    </row>
    <row r="118" spans="1:13">
      <c r="A118" t="s">
        <v>15602</v>
      </c>
      <c r="B118" t="s">
        <v>15602</v>
      </c>
      <c r="C118" t="s">
        <v>15603</v>
      </c>
      <c r="D118" t="s">
        <v>4310</v>
      </c>
      <c r="F118" t="str">
        <f>Config!$B$7</f>
        <v>SCH/Connector.SchLib</v>
      </c>
      <c r="G118" t="s">
        <v>14932</v>
      </c>
      <c r="H118" t="s">
        <v>15575</v>
      </c>
      <c r="I118" t="s">
        <v>14946</v>
      </c>
      <c r="K118" s="47" t="s">
        <v>16202</v>
      </c>
      <c r="L118" t="s">
        <v>16202</v>
      </c>
      <c r="M118" t="s">
        <v>16224</v>
      </c>
    </row>
    <row r="119" spans="1:13">
      <c r="A119" t="s">
        <v>15604</v>
      </c>
      <c r="B119" t="s">
        <v>15604</v>
      </c>
      <c r="C119" t="s">
        <v>15605</v>
      </c>
      <c r="D119" t="s">
        <v>4310</v>
      </c>
      <c r="F119" t="str">
        <f>Config!$B$7</f>
        <v>SCH/Connector.SchLib</v>
      </c>
      <c r="G119" t="s">
        <v>14932</v>
      </c>
      <c r="H119" t="s">
        <v>15575</v>
      </c>
      <c r="I119" t="s">
        <v>14947</v>
      </c>
      <c r="K119" s="47" t="s">
        <v>16202</v>
      </c>
      <c r="L119" t="s">
        <v>16204</v>
      </c>
      <c r="M119" t="s">
        <v>16224</v>
      </c>
    </row>
    <row r="120" spans="1:13">
      <c r="A120" t="s">
        <v>15606</v>
      </c>
      <c r="B120" t="s">
        <v>15606</v>
      </c>
      <c r="C120" t="s">
        <v>15607</v>
      </c>
      <c r="D120" t="s">
        <v>4310</v>
      </c>
      <c r="F120" t="str">
        <f>Config!$B$7</f>
        <v>SCH/Connector.SchLib</v>
      </c>
      <c r="G120" t="s">
        <v>14932</v>
      </c>
      <c r="H120" t="s">
        <v>15575</v>
      </c>
      <c r="I120" t="s">
        <v>14948</v>
      </c>
      <c r="K120" s="47" t="s">
        <v>16203</v>
      </c>
      <c r="L120" t="s">
        <v>16209</v>
      </c>
      <c r="M120" t="s">
        <v>16224</v>
      </c>
    </row>
    <row r="121" spans="1:13">
      <c r="A121" t="s">
        <v>15608</v>
      </c>
      <c r="B121" t="s">
        <v>15608</v>
      </c>
      <c r="C121" t="s">
        <v>15609</v>
      </c>
      <c r="D121" t="s">
        <v>4310</v>
      </c>
      <c r="F121" t="str">
        <f>Config!$B$7</f>
        <v>SCH/Connector.SchLib</v>
      </c>
      <c r="G121" t="s">
        <v>14932</v>
      </c>
      <c r="H121" t="s">
        <v>15575</v>
      </c>
      <c r="I121" t="s">
        <v>14949</v>
      </c>
      <c r="K121" s="47" t="s">
        <v>16203</v>
      </c>
      <c r="L121" t="s">
        <v>16201</v>
      </c>
      <c r="M121" t="s">
        <v>16224</v>
      </c>
    </row>
    <row r="122" spans="1:13">
      <c r="A122" t="s">
        <v>15610</v>
      </c>
      <c r="B122" t="s">
        <v>15610</v>
      </c>
      <c r="C122" t="s">
        <v>15611</v>
      </c>
      <c r="D122" t="s">
        <v>4310</v>
      </c>
      <c r="F122" t="str">
        <f>Config!$B$7</f>
        <v>SCH/Connector.SchLib</v>
      </c>
      <c r="G122" t="s">
        <v>14932</v>
      </c>
      <c r="H122" t="s">
        <v>15575</v>
      </c>
      <c r="I122" t="s">
        <v>14950</v>
      </c>
      <c r="K122" s="47" t="s">
        <v>16203</v>
      </c>
      <c r="L122" t="s">
        <v>16203</v>
      </c>
      <c r="M122" t="s">
        <v>16224</v>
      </c>
    </row>
    <row r="123" spans="1:13">
      <c r="A123" t="s">
        <v>15612</v>
      </c>
      <c r="B123" t="s">
        <v>15612</v>
      </c>
      <c r="C123" t="s">
        <v>15613</v>
      </c>
      <c r="D123" t="s">
        <v>4310</v>
      </c>
      <c r="F123" t="str">
        <f>Config!$B$7</f>
        <v>SCH/Connector.SchLib</v>
      </c>
      <c r="G123" t="s">
        <v>14932</v>
      </c>
      <c r="H123" t="s">
        <v>15575</v>
      </c>
      <c r="I123" t="s">
        <v>14951</v>
      </c>
      <c r="K123" s="47" t="s">
        <v>16203</v>
      </c>
      <c r="L123" t="s">
        <v>16206</v>
      </c>
      <c r="M123" t="s">
        <v>16224</v>
      </c>
    </row>
    <row r="124" spans="1:13">
      <c r="A124" t="s">
        <v>15614</v>
      </c>
      <c r="B124" t="s">
        <v>15614</v>
      </c>
      <c r="C124" t="s">
        <v>15615</v>
      </c>
      <c r="D124" t="s">
        <v>4310</v>
      </c>
      <c r="F124" t="str">
        <f>Config!$B$7</f>
        <v>SCH/Connector.SchLib</v>
      </c>
      <c r="G124" t="s">
        <v>14932</v>
      </c>
      <c r="H124" t="s">
        <v>15575</v>
      </c>
      <c r="I124" t="s">
        <v>14952</v>
      </c>
      <c r="K124" s="47" t="s">
        <v>16204</v>
      </c>
      <c r="L124" t="s">
        <v>16210</v>
      </c>
      <c r="M124" t="s">
        <v>16224</v>
      </c>
    </row>
    <row r="125" spans="1:13">
      <c r="A125" t="s">
        <v>15616</v>
      </c>
      <c r="B125" t="s">
        <v>15616</v>
      </c>
      <c r="C125" t="s">
        <v>15617</v>
      </c>
      <c r="D125" t="s">
        <v>4310</v>
      </c>
      <c r="F125" t="str">
        <f>Config!$B$7</f>
        <v>SCH/Connector.SchLib</v>
      </c>
      <c r="G125" t="s">
        <v>14932</v>
      </c>
      <c r="H125" t="s">
        <v>15575</v>
      </c>
      <c r="I125" t="s">
        <v>14953</v>
      </c>
      <c r="K125" s="47" t="s">
        <v>16204</v>
      </c>
      <c r="L125" t="s">
        <v>16200</v>
      </c>
      <c r="M125" t="s">
        <v>16224</v>
      </c>
    </row>
    <row r="126" spans="1:13">
      <c r="A126" t="s">
        <v>15618</v>
      </c>
      <c r="B126" t="s">
        <v>15618</v>
      </c>
      <c r="C126" t="s">
        <v>15619</v>
      </c>
      <c r="D126" t="s">
        <v>4310</v>
      </c>
      <c r="F126" t="str">
        <f>Config!$B$7</f>
        <v>SCH/Connector.SchLib</v>
      </c>
      <c r="G126" t="s">
        <v>14932</v>
      </c>
      <c r="H126" t="s">
        <v>15575</v>
      </c>
      <c r="I126" t="s">
        <v>14954</v>
      </c>
      <c r="K126" s="47" t="s">
        <v>16204</v>
      </c>
      <c r="L126" t="s">
        <v>16202</v>
      </c>
      <c r="M126" t="s">
        <v>16224</v>
      </c>
    </row>
    <row r="127" spans="1:13">
      <c r="A127" t="s">
        <v>15620</v>
      </c>
      <c r="B127" t="s">
        <v>15620</v>
      </c>
      <c r="C127" t="s">
        <v>15621</v>
      </c>
      <c r="D127" t="s">
        <v>4310</v>
      </c>
      <c r="F127" t="str">
        <f>Config!$B$7</f>
        <v>SCH/Connector.SchLib</v>
      </c>
      <c r="G127" t="s">
        <v>14932</v>
      </c>
      <c r="H127" t="s">
        <v>15575</v>
      </c>
      <c r="I127" t="s">
        <v>14955</v>
      </c>
      <c r="K127" s="47" t="s">
        <v>16204</v>
      </c>
      <c r="L127" t="s">
        <v>16204</v>
      </c>
      <c r="M127" t="s">
        <v>16224</v>
      </c>
    </row>
    <row r="128" spans="1:13">
      <c r="A128" t="s">
        <v>15622</v>
      </c>
      <c r="B128" t="s">
        <v>15622</v>
      </c>
      <c r="C128" t="s">
        <v>15623</v>
      </c>
      <c r="D128" t="s">
        <v>4310</v>
      </c>
      <c r="F128" t="str">
        <f>Config!$B$7</f>
        <v>SCH/Connector.SchLib</v>
      </c>
      <c r="G128" t="s">
        <v>14932</v>
      </c>
      <c r="H128" t="s">
        <v>15575</v>
      </c>
      <c r="I128" t="s">
        <v>14956</v>
      </c>
      <c r="K128" s="47" t="s">
        <v>16204</v>
      </c>
      <c r="L128" t="s">
        <v>16207</v>
      </c>
      <c r="M128" t="s">
        <v>16224</v>
      </c>
    </row>
    <row r="129" spans="1:13">
      <c r="A129" t="s">
        <v>15624</v>
      </c>
      <c r="B129" t="s">
        <v>15624</v>
      </c>
      <c r="C129" t="s">
        <v>15625</v>
      </c>
      <c r="D129" t="s">
        <v>4310</v>
      </c>
      <c r="F129" t="str">
        <f>Config!$B$7</f>
        <v>SCH/Connector.SchLib</v>
      </c>
      <c r="G129" t="s">
        <v>14932</v>
      </c>
      <c r="H129" t="s">
        <v>15575</v>
      </c>
      <c r="I129" t="s">
        <v>14957</v>
      </c>
      <c r="K129" s="47" t="s">
        <v>16205</v>
      </c>
      <c r="L129" t="s">
        <v>16199</v>
      </c>
      <c r="M129" t="s">
        <v>16224</v>
      </c>
    </row>
    <row r="130" spans="1:13">
      <c r="A130" t="s">
        <v>16115</v>
      </c>
      <c r="B130" t="s">
        <v>16115</v>
      </c>
      <c r="C130" t="s">
        <v>16116</v>
      </c>
      <c r="D130" t="s">
        <v>4310</v>
      </c>
      <c r="F130" t="str">
        <f>Config!$B$7</f>
        <v>SCH/Connector.SchLib</v>
      </c>
      <c r="G130" t="s">
        <v>14932</v>
      </c>
      <c r="H130" t="s">
        <v>15575</v>
      </c>
      <c r="I130" t="s">
        <v>15695</v>
      </c>
      <c r="K130" s="47" t="s">
        <v>16205</v>
      </c>
      <c r="L130" t="s">
        <v>16200</v>
      </c>
      <c r="M130" t="s">
        <v>16224</v>
      </c>
    </row>
    <row r="131" spans="1:13">
      <c r="A131" t="s">
        <v>15626</v>
      </c>
      <c r="B131" t="s">
        <v>15626</v>
      </c>
      <c r="C131" t="s">
        <v>15627</v>
      </c>
      <c r="D131" t="s">
        <v>4310</v>
      </c>
      <c r="F131" t="str">
        <f>Config!$B$7</f>
        <v>SCH/Connector.SchLib</v>
      </c>
      <c r="G131" t="s">
        <v>14932</v>
      </c>
      <c r="H131" t="s">
        <v>15575</v>
      </c>
      <c r="I131" t="s">
        <v>14958</v>
      </c>
      <c r="K131" s="47" t="s">
        <v>16205</v>
      </c>
      <c r="L131" t="s">
        <v>16211</v>
      </c>
      <c r="M131" t="s">
        <v>16224</v>
      </c>
    </row>
    <row r="132" spans="1:13">
      <c r="A132" t="s">
        <v>15628</v>
      </c>
      <c r="B132" t="s">
        <v>15628</v>
      </c>
      <c r="C132" t="s">
        <v>15629</v>
      </c>
      <c r="D132" t="s">
        <v>4310</v>
      </c>
      <c r="F132" t="str">
        <f>Config!$B$7</f>
        <v>SCH/Connector.SchLib</v>
      </c>
      <c r="G132" t="s">
        <v>14932</v>
      </c>
      <c r="H132" t="s">
        <v>15575</v>
      </c>
      <c r="I132" t="s">
        <v>14959</v>
      </c>
      <c r="K132" s="47" t="s">
        <v>16205</v>
      </c>
      <c r="L132" t="s">
        <v>16212</v>
      </c>
      <c r="M132" t="s">
        <v>16224</v>
      </c>
    </row>
    <row r="133" spans="1:13">
      <c r="A133" t="s">
        <v>15630</v>
      </c>
      <c r="B133" t="s">
        <v>15630</v>
      </c>
      <c r="C133" t="s">
        <v>15631</v>
      </c>
      <c r="D133" t="s">
        <v>4310</v>
      </c>
      <c r="F133" t="str">
        <f>Config!$B$7</f>
        <v>SCH/Connector.SchLib</v>
      </c>
      <c r="G133" t="s">
        <v>14932</v>
      </c>
      <c r="H133" t="s">
        <v>15575</v>
      </c>
      <c r="I133" t="s">
        <v>14960</v>
      </c>
      <c r="K133" s="47" t="s">
        <v>16205</v>
      </c>
      <c r="L133" t="s">
        <v>16205</v>
      </c>
      <c r="M133" t="s">
        <v>16224</v>
      </c>
    </row>
    <row r="134" spans="1:13">
      <c r="A134" t="s">
        <v>15632</v>
      </c>
      <c r="B134" t="s">
        <v>15632</v>
      </c>
      <c r="C134" t="s">
        <v>15633</v>
      </c>
      <c r="D134" t="s">
        <v>4310</v>
      </c>
      <c r="F134" t="str">
        <f>Config!$B$7</f>
        <v>SCH/Connector.SchLib</v>
      </c>
      <c r="G134" t="s">
        <v>14932</v>
      </c>
      <c r="H134" t="s">
        <v>15575</v>
      </c>
      <c r="I134" t="s">
        <v>14961</v>
      </c>
      <c r="K134" s="47" t="s">
        <v>16205</v>
      </c>
      <c r="L134" t="s">
        <v>16213</v>
      </c>
      <c r="M134" t="s">
        <v>16224</v>
      </c>
    </row>
    <row r="135" spans="1:13">
      <c r="A135" t="s">
        <v>16117</v>
      </c>
      <c r="B135" t="s">
        <v>16117</v>
      </c>
      <c r="C135" t="s">
        <v>16118</v>
      </c>
      <c r="D135" t="s">
        <v>4310</v>
      </c>
      <c r="F135" t="str">
        <f>Config!$B$7</f>
        <v>SCH/Connector.SchLib</v>
      </c>
      <c r="G135" t="s">
        <v>14932</v>
      </c>
      <c r="H135" t="s">
        <v>15575</v>
      </c>
      <c r="I135" t="s">
        <v>15698</v>
      </c>
      <c r="K135" s="47" t="s">
        <v>16206</v>
      </c>
      <c r="L135" t="s">
        <v>16214</v>
      </c>
      <c r="M135" t="s">
        <v>16224</v>
      </c>
    </row>
    <row r="136" spans="1:13">
      <c r="A136" t="s">
        <v>16119</v>
      </c>
      <c r="B136" t="s">
        <v>16119</v>
      </c>
      <c r="C136" t="s">
        <v>16120</v>
      </c>
      <c r="D136" t="s">
        <v>4310</v>
      </c>
      <c r="F136" t="str">
        <f>Config!$B$7</f>
        <v>SCH/Connector.SchLib</v>
      </c>
      <c r="G136" t="s">
        <v>14932</v>
      </c>
      <c r="H136" t="s">
        <v>15575</v>
      </c>
      <c r="I136" t="s">
        <v>15699</v>
      </c>
      <c r="K136" s="47" t="s">
        <v>16206</v>
      </c>
      <c r="L136" t="s">
        <v>16200</v>
      </c>
      <c r="M136" t="s">
        <v>16224</v>
      </c>
    </row>
    <row r="137" spans="1:13">
      <c r="A137" t="s">
        <v>16121</v>
      </c>
      <c r="B137" t="s">
        <v>16121</v>
      </c>
      <c r="C137" t="s">
        <v>16122</v>
      </c>
      <c r="D137" t="s">
        <v>4310</v>
      </c>
      <c r="F137" t="str">
        <f>Config!$B$7</f>
        <v>SCH/Connector.SchLib</v>
      </c>
      <c r="G137" t="s">
        <v>14932</v>
      </c>
      <c r="H137" t="s">
        <v>15575</v>
      </c>
      <c r="I137" t="s">
        <v>15700</v>
      </c>
      <c r="K137" s="47" t="s">
        <v>16206</v>
      </c>
      <c r="L137" t="s">
        <v>16201</v>
      </c>
      <c r="M137" t="s">
        <v>16224</v>
      </c>
    </row>
    <row r="138" spans="1:13">
      <c r="A138" t="s">
        <v>16123</v>
      </c>
      <c r="B138" t="s">
        <v>16123</v>
      </c>
      <c r="C138" t="s">
        <v>16124</v>
      </c>
      <c r="D138" t="s">
        <v>4310</v>
      </c>
      <c r="F138" t="str">
        <f>Config!$B$7</f>
        <v>SCH/Connector.SchLib</v>
      </c>
      <c r="G138" t="s">
        <v>14932</v>
      </c>
      <c r="H138" t="s">
        <v>15575</v>
      </c>
      <c r="I138" t="s">
        <v>15701</v>
      </c>
      <c r="K138" s="47" t="s">
        <v>16206</v>
      </c>
      <c r="L138" t="s">
        <v>16203</v>
      </c>
      <c r="M138" t="s">
        <v>16224</v>
      </c>
    </row>
    <row r="139" spans="1:13">
      <c r="A139" t="s">
        <v>16125</v>
      </c>
      <c r="B139" t="s">
        <v>16125</v>
      </c>
      <c r="C139" t="s">
        <v>16126</v>
      </c>
      <c r="D139" t="s">
        <v>4310</v>
      </c>
      <c r="F139" t="str">
        <f>Config!$B$7</f>
        <v>SCH/Connector.SchLib</v>
      </c>
      <c r="G139" t="s">
        <v>14932</v>
      </c>
      <c r="H139" t="s">
        <v>15575</v>
      </c>
      <c r="I139" t="s">
        <v>15702</v>
      </c>
      <c r="K139" s="47" t="s">
        <v>16206</v>
      </c>
      <c r="L139" t="s">
        <v>16206</v>
      </c>
      <c r="M139" t="s">
        <v>16224</v>
      </c>
    </row>
    <row r="140" spans="1:13">
      <c r="A140" t="s">
        <v>16127</v>
      </c>
      <c r="B140" t="s">
        <v>16127</v>
      </c>
      <c r="C140" t="s">
        <v>16128</v>
      </c>
      <c r="D140" t="s">
        <v>4310</v>
      </c>
      <c r="F140" t="str">
        <f>Config!$B$7</f>
        <v>SCH/Connector.SchLib</v>
      </c>
      <c r="G140" t="s">
        <v>14932</v>
      </c>
      <c r="H140" t="s">
        <v>15575</v>
      </c>
      <c r="I140" t="s">
        <v>15703</v>
      </c>
      <c r="K140" s="47" t="s">
        <v>16206</v>
      </c>
      <c r="L140" t="s">
        <v>16215</v>
      </c>
      <c r="M140" t="s">
        <v>16224</v>
      </c>
    </row>
    <row r="141" spans="1:13">
      <c r="A141" t="s">
        <v>16129</v>
      </c>
      <c r="B141" t="s">
        <v>16129</v>
      </c>
      <c r="C141" t="s">
        <v>16130</v>
      </c>
      <c r="D141" t="s">
        <v>4310</v>
      </c>
      <c r="F141" t="str">
        <f>Config!$B$7</f>
        <v>SCH/Connector.SchLib</v>
      </c>
      <c r="G141" t="s">
        <v>14932</v>
      </c>
      <c r="H141" t="s">
        <v>15575</v>
      </c>
      <c r="I141" t="s">
        <v>15704</v>
      </c>
      <c r="K141" s="47" t="s">
        <v>16207</v>
      </c>
      <c r="L141" t="s">
        <v>16199</v>
      </c>
      <c r="M141" t="s">
        <v>16224</v>
      </c>
    </row>
    <row r="142" spans="1:13">
      <c r="A142" t="s">
        <v>16131</v>
      </c>
      <c r="B142" t="s">
        <v>16131</v>
      </c>
      <c r="C142" t="s">
        <v>16132</v>
      </c>
      <c r="D142" t="s">
        <v>4310</v>
      </c>
      <c r="F142" t="str">
        <f>Config!$B$7</f>
        <v>SCH/Connector.SchLib</v>
      </c>
      <c r="G142" t="s">
        <v>14932</v>
      </c>
      <c r="H142" t="s">
        <v>15575</v>
      </c>
      <c r="I142" t="s">
        <v>15705</v>
      </c>
      <c r="K142" s="47" t="s">
        <v>16207</v>
      </c>
      <c r="L142" t="s">
        <v>16216</v>
      </c>
      <c r="M142" t="s">
        <v>16224</v>
      </c>
    </row>
    <row r="143" spans="1:13">
      <c r="A143" t="s">
        <v>16133</v>
      </c>
      <c r="B143" t="s">
        <v>16133</v>
      </c>
      <c r="C143" t="s">
        <v>16134</v>
      </c>
      <c r="D143" t="s">
        <v>4310</v>
      </c>
      <c r="F143" t="str">
        <f>Config!$B$7</f>
        <v>SCH/Connector.SchLib</v>
      </c>
      <c r="G143" t="s">
        <v>14932</v>
      </c>
      <c r="H143" t="s">
        <v>15575</v>
      </c>
      <c r="I143" t="s">
        <v>15706</v>
      </c>
      <c r="K143" s="47" t="s">
        <v>16207</v>
      </c>
      <c r="L143" t="s">
        <v>16200</v>
      </c>
      <c r="M143" t="s">
        <v>16224</v>
      </c>
    </row>
    <row r="144" spans="1:13">
      <c r="A144" t="s">
        <v>16135</v>
      </c>
      <c r="B144" t="s">
        <v>16135</v>
      </c>
      <c r="C144" t="s">
        <v>16136</v>
      </c>
      <c r="D144" t="s">
        <v>4310</v>
      </c>
      <c r="F144" t="str">
        <f>Config!$B$7</f>
        <v>SCH/Connector.SchLib</v>
      </c>
      <c r="G144" t="s">
        <v>14932</v>
      </c>
      <c r="H144" t="s">
        <v>15575</v>
      </c>
      <c r="I144" t="s">
        <v>15707</v>
      </c>
      <c r="K144" s="47" t="s">
        <v>16207</v>
      </c>
      <c r="L144" t="s">
        <v>16202</v>
      </c>
      <c r="M144" t="s">
        <v>16224</v>
      </c>
    </row>
    <row r="145" spans="1:13">
      <c r="A145" t="s">
        <v>16137</v>
      </c>
      <c r="B145" t="s">
        <v>16137</v>
      </c>
      <c r="C145" t="s">
        <v>16138</v>
      </c>
      <c r="D145" t="s">
        <v>4310</v>
      </c>
      <c r="F145" t="str">
        <f>Config!$B$7</f>
        <v>SCH/Connector.SchLib</v>
      </c>
      <c r="G145" t="s">
        <v>14932</v>
      </c>
      <c r="H145" t="s">
        <v>15575</v>
      </c>
      <c r="I145" t="s">
        <v>15708</v>
      </c>
      <c r="K145" s="47" t="s">
        <v>16207</v>
      </c>
      <c r="L145" t="s">
        <v>16204</v>
      </c>
      <c r="M145" t="s">
        <v>16224</v>
      </c>
    </row>
    <row r="146" spans="1:13">
      <c r="A146" t="s">
        <v>16139</v>
      </c>
      <c r="B146" t="s">
        <v>16139</v>
      </c>
      <c r="C146" t="s">
        <v>16140</v>
      </c>
      <c r="D146" t="s">
        <v>4310</v>
      </c>
      <c r="F146" t="str">
        <f>Config!$B$7</f>
        <v>SCH/Connector.SchLib</v>
      </c>
      <c r="G146" t="s">
        <v>14932</v>
      </c>
      <c r="H146" t="s">
        <v>15575</v>
      </c>
      <c r="I146" t="s">
        <v>15709</v>
      </c>
      <c r="K146" s="47" t="s">
        <v>16207</v>
      </c>
      <c r="L146" t="s">
        <v>16207</v>
      </c>
      <c r="M146" t="s">
        <v>16224</v>
      </c>
    </row>
    <row r="147" spans="1:13">
      <c r="A147" t="s">
        <v>16141</v>
      </c>
      <c r="B147" t="s">
        <v>16141</v>
      </c>
      <c r="C147" t="s">
        <v>16142</v>
      </c>
      <c r="D147" t="s">
        <v>4310</v>
      </c>
      <c r="F147" t="str">
        <f>Config!$B$7</f>
        <v>SCH/Connector.SchLib</v>
      </c>
      <c r="G147" t="s">
        <v>14932</v>
      </c>
      <c r="H147" t="s">
        <v>15575</v>
      </c>
      <c r="I147" t="s">
        <v>15710</v>
      </c>
      <c r="K147" s="47" t="s">
        <v>16207</v>
      </c>
      <c r="L147" t="s">
        <v>16217</v>
      </c>
      <c r="M147" t="s">
        <v>16224</v>
      </c>
    </row>
    <row r="148" spans="1:13">
      <c r="A148" t="s">
        <v>16143</v>
      </c>
      <c r="B148" t="s">
        <v>16143</v>
      </c>
      <c r="C148" t="s">
        <v>16144</v>
      </c>
      <c r="D148" t="s">
        <v>4310</v>
      </c>
      <c r="F148" t="str">
        <f>Config!$B$7</f>
        <v>SCH/Connector.SchLib</v>
      </c>
      <c r="G148" t="s">
        <v>14932</v>
      </c>
      <c r="H148" t="s">
        <v>15575</v>
      </c>
      <c r="I148" t="s">
        <v>15711</v>
      </c>
      <c r="K148" s="47" t="s">
        <v>16208</v>
      </c>
      <c r="L148" t="s">
        <v>16199</v>
      </c>
      <c r="M148" t="s">
        <v>16224</v>
      </c>
    </row>
    <row r="149" spans="1:13">
      <c r="A149" t="s">
        <v>16145</v>
      </c>
      <c r="B149" t="s">
        <v>16145</v>
      </c>
      <c r="C149" t="s">
        <v>16146</v>
      </c>
      <c r="D149" t="s">
        <v>4310</v>
      </c>
      <c r="F149" t="str">
        <f>Config!$B$7</f>
        <v>SCH/Connector.SchLib</v>
      </c>
      <c r="G149" t="s">
        <v>14932</v>
      </c>
      <c r="H149" t="s">
        <v>15575</v>
      </c>
      <c r="I149" t="s">
        <v>15712</v>
      </c>
      <c r="K149" s="47" t="s">
        <v>16208</v>
      </c>
      <c r="L149" t="s">
        <v>16200</v>
      </c>
      <c r="M149" t="s">
        <v>16224</v>
      </c>
    </row>
    <row r="150" spans="1:13">
      <c r="A150" t="s">
        <v>16147</v>
      </c>
      <c r="B150" t="s">
        <v>16147</v>
      </c>
      <c r="C150" t="s">
        <v>16148</v>
      </c>
      <c r="D150" t="s">
        <v>4310</v>
      </c>
      <c r="F150" t="str">
        <f>Config!$B$7</f>
        <v>SCH/Connector.SchLib</v>
      </c>
      <c r="G150" t="s">
        <v>14932</v>
      </c>
      <c r="H150" t="s">
        <v>15575</v>
      </c>
      <c r="I150" t="s">
        <v>15713</v>
      </c>
      <c r="K150" s="47" t="s">
        <v>16208</v>
      </c>
      <c r="L150" t="s">
        <v>16212</v>
      </c>
      <c r="M150" t="s">
        <v>16224</v>
      </c>
    </row>
    <row r="151" spans="1:13">
      <c r="A151" t="s">
        <v>16149</v>
      </c>
      <c r="B151" t="s">
        <v>16149</v>
      </c>
      <c r="C151" t="s">
        <v>16150</v>
      </c>
      <c r="D151" t="s">
        <v>4310</v>
      </c>
      <c r="F151" t="str">
        <f>Config!$B$7</f>
        <v>SCH/Connector.SchLib</v>
      </c>
      <c r="G151" t="s">
        <v>14932</v>
      </c>
      <c r="H151" t="s">
        <v>15575</v>
      </c>
      <c r="I151" t="s">
        <v>15714</v>
      </c>
      <c r="K151" s="47" t="s">
        <v>16208</v>
      </c>
      <c r="L151" t="s">
        <v>16205</v>
      </c>
      <c r="M151" t="s">
        <v>16224</v>
      </c>
    </row>
    <row r="152" spans="1:13">
      <c r="A152" t="s">
        <v>16151</v>
      </c>
      <c r="B152" t="s">
        <v>16151</v>
      </c>
      <c r="C152" t="s">
        <v>16152</v>
      </c>
      <c r="D152" t="s">
        <v>4310</v>
      </c>
      <c r="F152" t="str">
        <f>Config!$B$7</f>
        <v>SCH/Connector.SchLib</v>
      </c>
      <c r="G152" t="s">
        <v>14932</v>
      </c>
      <c r="H152" t="s">
        <v>15575</v>
      </c>
      <c r="I152" t="s">
        <v>15715</v>
      </c>
      <c r="K152" s="47" t="s">
        <v>16208</v>
      </c>
      <c r="L152" t="s">
        <v>16213</v>
      </c>
      <c r="M152" t="s">
        <v>16224</v>
      </c>
    </row>
    <row r="153" spans="1:13">
      <c r="A153" t="s">
        <v>16153</v>
      </c>
      <c r="B153" t="s">
        <v>16153</v>
      </c>
      <c r="C153" t="s">
        <v>16154</v>
      </c>
      <c r="D153" t="s">
        <v>4310</v>
      </c>
      <c r="F153" t="str">
        <f>Config!$B$7</f>
        <v>SCH/Connector.SchLib</v>
      </c>
      <c r="G153" t="s">
        <v>14932</v>
      </c>
      <c r="H153" t="s">
        <v>15575</v>
      </c>
      <c r="I153" t="s">
        <v>15716</v>
      </c>
      <c r="K153" s="47" t="s">
        <v>16208</v>
      </c>
      <c r="L153" t="s">
        <v>16218</v>
      </c>
      <c r="M153" t="s">
        <v>16224</v>
      </c>
    </row>
    <row r="155" spans="1:13">
      <c r="A155" t="s">
        <v>15512</v>
      </c>
      <c r="B155" t="s">
        <v>15512</v>
      </c>
      <c r="C155" t="s">
        <v>15513</v>
      </c>
      <c r="D155" t="s">
        <v>4310</v>
      </c>
      <c r="F155" t="str">
        <f>Config!$B$7</f>
        <v>SCH/Connector.SchLib</v>
      </c>
      <c r="G155" t="s">
        <v>14932</v>
      </c>
      <c r="H155" t="s">
        <v>15514</v>
      </c>
      <c r="I155" t="s">
        <v>14962</v>
      </c>
      <c r="K155" s="47" t="s">
        <v>16198</v>
      </c>
      <c r="L155" t="s">
        <v>16198</v>
      </c>
      <c r="M155" t="s">
        <v>16225</v>
      </c>
    </row>
    <row r="156" spans="1:13">
      <c r="A156" t="s">
        <v>15515</v>
      </c>
      <c r="B156" t="s">
        <v>15515</v>
      </c>
      <c r="C156" t="s">
        <v>15516</v>
      </c>
      <c r="D156" t="s">
        <v>4310</v>
      </c>
      <c r="F156" t="str">
        <f>Config!$B$7</f>
        <v>SCH/Connector.SchLib</v>
      </c>
      <c r="G156" t="s">
        <v>14932</v>
      </c>
      <c r="H156" t="s">
        <v>15514</v>
      </c>
      <c r="I156" t="s">
        <v>14963</v>
      </c>
      <c r="K156" s="47" t="s">
        <v>16198</v>
      </c>
      <c r="L156" t="s">
        <v>16199</v>
      </c>
      <c r="M156" t="s">
        <v>16225</v>
      </c>
    </row>
    <row r="157" spans="1:13">
      <c r="A157" t="s">
        <v>15517</v>
      </c>
      <c r="B157" t="s">
        <v>15517</v>
      </c>
      <c r="C157" t="s">
        <v>15518</v>
      </c>
      <c r="D157" t="s">
        <v>4310</v>
      </c>
      <c r="F157" t="str">
        <f>Config!$B$7</f>
        <v>SCH/Connector.SchLib</v>
      </c>
      <c r="G157" t="s">
        <v>14932</v>
      </c>
      <c r="H157" t="s">
        <v>15514</v>
      </c>
      <c r="I157" t="s">
        <v>14934</v>
      </c>
      <c r="K157" s="47" t="s">
        <v>16199</v>
      </c>
      <c r="L157" t="s">
        <v>16198</v>
      </c>
      <c r="M157" t="s">
        <v>16225</v>
      </c>
    </row>
    <row r="158" spans="1:13">
      <c r="A158" t="s">
        <v>15519</v>
      </c>
      <c r="B158" t="s">
        <v>15519</v>
      </c>
      <c r="C158" t="s">
        <v>15520</v>
      </c>
      <c r="D158" t="s">
        <v>4310</v>
      </c>
      <c r="F158" t="str">
        <f>Config!$B$7</f>
        <v>SCH/Connector.SchLib</v>
      </c>
      <c r="G158" t="s">
        <v>14932</v>
      </c>
      <c r="H158" t="s">
        <v>15514</v>
      </c>
      <c r="I158" t="s">
        <v>14935</v>
      </c>
      <c r="K158" s="47" t="s">
        <v>16199</v>
      </c>
      <c r="L158" t="s">
        <v>16199</v>
      </c>
      <c r="M158" t="s">
        <v>16225</v>
      </c>
    </row>
    <row r="159" spans="1:13">
      <c r="A159" t="s">
        <v>15521</v>
      </c>
      <c r="B159" t="s">
        <v>15521</v>
      </c>
      <c r="C159" t="s">
        <v>15522</v>
      </c>
      <c r="D159" t="s">
        <v>4310</v>
      </c>
      <c r="F159" t="str">
        <f>Config!$B$7</f>
        <v>SCH/Connector.SchLib</v>
      </c>
      <c r="G159" t="s">
        <v>14932</v>
      </c>
      <c r="H159" t="s">
        <v>15514</v>
      </c>
      <c r="I159" t="s">
        <v>14936</v>
      </c>
      <c r="K159" s="47" t="s">
        <v>16199</v>
      </c>
      <c r="L159" t="s">
        <v>16200</v>
      </c>
      <c r="M159" t="s">
        <v>16225</v>
      </c>
    </row>
    <row r="160" spans="1:13">
      <c r="A160" t="s">
        <v>15523</v>
      </c>
      <c r="B160" t="s">
        <v>15523</v>
      </c>
      <c r="C160" t="s">
        <v>15524</v>
      </c>
      <c r="D160" t="s">
        <v>4310</v>
      </c>
      <c r="F160" t="str">
        <f>Config!$B$7</f>
        <v>SCH/Connector.SchLib</v>
      </c>
      <c r="G160" t="s">
        <v>14932</v>
      </c>
      <c r="H160" t="s">
        <v>15514</v>
      </c>
      <c r="I160" t="s">
        <v>14937</v>
      </c>
      <c r="K160" s="47" t="s">
        <v>16200</v>
      </c>
      <c r="L160" t="s">
        <v>16198</v>
      </c>
      <c r="M160" t="s">
        <v>16225</v>
      </c>
    </row>
    <row r="161" spans="1:13">
      <c r="A161" t="s">
        <v>15525</v>
      </c>
      <c r="B161" t="s">
        <v>15525</v>
      </c>
      <c r="C161" t="s">
        <v>15526</v>
      </c>
      <c r="D161" t="s">
        <v>4310</v>
      </c>
      <c r="F161" t="str">
        <f>Config!$B$7</f>
        <v>SCH/Connector.SchLib</v>
      </c>
      <c r="G161" t="s">
        <v>14932</v>
      </c>
      <c r="H161" t="s">
        <v>15514</v>
      </c>
      <c r="I161" t="s">
        <v>14938</v>
      </c>
      <c r="K161" s="47" t="s">
        <v>16200</v>
      </c>
      <c r="L161" t="s">
        <v>16199</v>
      </c>
      <c r="M161" t="s">
        <v>16225</v>
      </c>
    </row>
    <row r="162" spans="1:13">
      <c r="A162" t="s">
        <v>15527</v>
      </c>
      <c r="B162" t="s">
        <v>15527</v>
      </c>
      <c r="C162" t="s">
        <v>15528</v>
      </c>
      <c r="D162" t="s">
        <v>4310</v>
      </c>
      <c r="F162" t="str">
        <f>Config!$B$7</f>
        <v>SCH/Connector.SchLib</v>
      </c>
      <c r="G162" t="s">
        <v>14932</v>
      </c>
      <c r="H162" t="s">
        <v>15514</v>
      </c>
      <c r="I162" t="s">
        <v>14939</v>
      </c>
      <c r="K162" s="47" t="s">
        <v>16200</v>
      </c>
      <c r="L162" t="s">
        <v>16200</v>
      </c>
      <c r="M162" t="s">
        <v>16225</v>
      </c>
    </row>
    <row r="163" spans="1:13">
      <c r="A163" t="s">
        <v>15529</v>
      </c>
      <c r="B163" t="s">
        <v>15529</v>
      </c>
      <c r="C163" t="s">
        <v>15530</v>
      </c>
      <c r="D163" t="s">
        <v>4310</v>
      </c>
      <c r="F163" t="str">
        <f>Config!$B$7</f>
        <v>SCH/Connector.SchLib</v>
      </c>
      <c r="G163" t="s">
        <v>14932</v>
      </c>
      <c r="H163" t="s">
        <v>15514</v>
      </c>
      <c r="I163" t="s">
        <v>14940</v>
      </c>
      <c r="K163" s="47" t="s">
        <v>16200</v>
      </c>
      <c r="L163" t="s">
        <v>16202</v>
      </c>
      <c r="M163" t="s">
        <v>16225</v>
      </c>
    </row>
    <row r="164" spans="1:13">
      <c r="A164" t="s">
        <v>15531</v>
      </c>
      <c r="B164" t="s">
        <v>15531</v>
      </c>
      <c r="C164" t="s">
        <v>15532</v>
      </c>
      <c r="D164" t="s">
        <v>4310</v>
      </c>
      <c r="F164" t="str">
        <f>Config!$B$7</f>
        <v>SCH/Connector.SchLib</v>
      </c>
      <c r="G164" t="s">
        <v>14932</v>
      </c>
      <c r="H164" t="s">
        <v>15514</v>
      </c>
      <c r="I164" t="s">
        <v>14941</v>
      </c>
      <c r="K164" s="47" t="s">
        <v>16201</v>
      </c>
      <c r="L164" t="s">
        <v>16209</v>
      </c>
      <c r="M164" t="s">
        <v>16225</v>
      </c>
    </row>
    <row r="165" spans="1:13">
      <c r="A165" t="s">
        <v>15533</v>
      </c>
      <c r="B165" t="s">
        <v>15533</v>
      </c>
      <c r="C165" t="s">
        <v>15534</v>
      </c>
      <c r="D165" t="s">
        <v>4310</v>
      </c>
      <c r="F165" t="str">
        <f>Config!$B$7</f>
        <v>SCH/Connector.SchLib</v>
      </c>
      <c r="G165" t="s">
        <v>14932</v>
      </c>
      <c r="H165" t="s">
        <v>15514</v>
      </c>
      <c r="I165" t="s">
        <v>14942</v>
      </c>
      <c r="K165" s="47" t="s">
        <v>16201</v>
      </c>
      <c r="L165" t="s">
        <v>16201</v>
      </c>
      <c r="M165" t="s">
        <v>16225</v>
      </c>
    </row>
    <row r="166" spans="1:13">
      <c r="A166" t="s">
        <v>15535</v>
      </c>
      <c r="B166" t="s">
        <v>15535</v>
      </c>
      <c r="C166" t="s">
        <v>15536</v>
      </c>
      <c r="D166" t="s">
        <v>4310</v>
      </c>
      <c r="F166" t="str">
        <f>Config!$B$7</f>
        <v>SCH/Connector.SchLib</v>
      </c>
      <c r="G166" t="s">
        <v>14932</v>
      </c>
      <c r="H166" t="s">
        <v>15514</v>
      </c>
      <c r="I166" t="s">
        <v>14943</v>
      </c>
      <c r="K166" s="47" t="s">
        <v>16201</v>
      </c>
      <c r="L166" t="s">
        <v>16203</v>
      </c>
      <c r="M166" t="s">
        <v>16225</v>
      </c>
    </row>
    <row r="167" spans="1:13">
      <c r="A167" t="s">
        <v>15537</v>
      </c>
      <c r="B167" t="s">
        <v>15537</v>
      </c>
      <c r="C167" t="s">
        <v>15538</v>
      </c>
      <c r="D167" t="s">
        <v>4310</v>
      </c>
      <c r="F167" t="str">
        <f>Config!$B$7</f>
        <v>SCH/Connector.SchLib</v>
      </c>
      <c r="G167" t="s">
        <v>14932</v>
      </c>
      <c r="H167" t="s">
        <v>15514</v>
      </c>
      <c r="I167" t="s">
        <v>14944</v>
      </c>
      <c r="K167" s="47" t="s">
        <v>16202</v>
      </c>
      <c r="L167" t="s">
        <v>16199</v>
      </c>
      <c r="M167" t="s">
        <v>16225</v>
      </c>
    </row>
    <row r="168" spans="1:13">
      <c r="A168" t="s">
        <v>15539</v>
      </c>
      <c r="B168" t="s">
        <v>15539</v>
      </c>
      <c r="C168" t="s">
        <v>15540</v>
      </c>
      <c r="D168" t="s">
        <v>4310</v>
      </c>
      <c r="F168" t="str">
        <f>Config!$B$7</f>
        <v>SCH/Connector.SchLib</v>
      </c>
      <c r="G168" t="s">
        <v>14932</v>
      </c>
      <c r="H168" t="s">
        <v>15514</v>
      </c>
      <c r="I168" t="s">
        <v>14945</v>
      </c>
      <c r="K168" s="47" t="s">
        <v>16202</v>
      </c>
      <c r="L168" t="s">
        <v>16200</v>
      </c>
      <c r="M168" t="s">
        <v>16225</v>
      </c>
    </row>
    <row r="169" spans="1:13">
      <c r="A169" t="s">
        <v>15541</v>
      </c>
      <c r="B169" t="s">
        <v>15541</v>
      </c>
      <c r="C169" t="s">
        <v>15542</v>
      </c>
      <c r="D169" t="s">
        <v>4310</v>
      </c>
      <c r="F169" t="str">
        <f>Config!$B$7</f>
        <v>SCH/Connector.SchLib</v>
      </c>
      <c r="G169" t="s">
        <v>14932</v>
      </c>
      <c r="H169" t="s">
        <v>15514</v>
      </c>
      <c r="I169" t="s">
        <v>14946</v>
      </c>
      <c r="K169" s="47" t="s">
        <v>16202</v>
      </c>
      <c r="L169" t="s">
        <v>16202</v>
      </c>
      <c r="M169" t="s">
        <v>16225</v>
      </c>
    </row>
    <row r="170" spans="1:13">
      <c r="A170" t="s">
        <v>15543</v>
      </c>
      <c r="B170" t="s">
        <v>15543</v>
      </c>
      <c r="C170" t="s">
        <v>15544</v>
      </c>
      <c r="D170" t="s">
        <v>4310</v>
      </c>
      <c r="F170" t="str">
        <f>Config!$B$7</f>
        <v>SCH/Connector.SchLib</v>
      </c>
      <c r="G170" t="s">
        <v>14932</v>
      </c>
      <c r="H170" t="s">
        <v>15514</v>
      </c>
      <c r="I170" t="s">
        <v>14947</v>
      </c>
      <c r="K170" s="47" t="s">
        <v>16202</v>
      </c>
      <c r="L170" t="s">
        <v>16204</v>
      </c>
      <c r="M170" t="s">
        <v>16225</v>
      </c>
    </row>
    <row r="171" spans="1:13">
      <c r="A171" t="s">
        <v>15545</v>
      </c>
      <c r="B171" t="s">
        <v>15545</v>
      </c>
      <c r="C171" t="s">
        <v>15546</v>
      </c>
      <c r="D171" t="s">
        <v>4310</v>
      </c>
      <c r="F171" t="str">
        <f>Config!$B$7</f>
        <v>SCH/Connector.SchLib</v>
      </c>
      <c r="G171" t="s">
        <v>14932</v>
      </c>
      <c r="H171" t="s">
        <v>15514</v>
      </c>
      <c r="I171" t="s">
        <v>14948</v>
      </c>
      <c r="K171" s="47" t="s">
        <v>16203</v>
      </c>
      <c r="L171" t="s">
        <v>16209</v>
      </c>
      <c r="M171" t="s">
        <v>16225</v>
      </c>
    </row>
    <row r="172" spans="1:13">
      <c r="A172" t="s">
        <v>15547</v>
      </c>
      <c r="B172" t="s">
        <v>15547</v>
      </c>
      <c r="C172" t="s">
        <v>15548</v>
      </c>
      <c r="D172" t="s">
        <v>4310</v>
      </c>
      <c r="F172" t="str">
        <f>Config!$B$7</f>
        <v>SCH/Connector.SchLib</v>
      </c>
      <c r="G172" t="s">
        <v>14932</v>
      </c>
      <c r="H172" t="s">
        <v>15514</v>
      </c>
      <c r="I172" t="s">
        <v>14949</v>
      </c>
      <c r="K172" s="47" t="s">
        <v>16203</v>
      </c>
      <c r="L172" t="s">
        <v>16201</v>
      </c>
      <c r="M172" t="s">
        <v>16225</v>
      </c>
    </row>
    <row r="173" spans="1:13">
      <c r="A173" t="s">
        <v>15549</v>
      </c>
      <c r="B173" t="s">
        <v>15549</v>
      </c>
      <c r="C173" t="s">
        <v>15550</v>
      </c>
      <c r="D173" t="s">
        <v>4310</v>
      </c>
      <c r="F173" t="str">
        <f>Config!$B$7</f>
        <v>SCH/Connector.SchLib</v>
      </c>
      <c r="G173" t="s">
        <v>14932</v>
      </c>
      <c r="H173" t="s">
        <v>15514</v>
      </c>
      <c r="I173" t="s">
        <v>14950</v>
      </c>
      <c r="K173" s="47" t="s">
        <v>16203</v>
      </c>
      <c r="L173" t="s">
        <v>16203</v>
      </c>
      <c r="M173" t="s">
        <v>16225</v>
      </c>
    </row>
    <row r="174" spans="1:13">
      <c r="A174" t="s">
        <v>15551</v>
      </c>
      <c r="B174" t="s">
        <v>15551</v>
      </c>
      <c r="C174" t="s">
        <v>15552</v>
      </c>
      <c r="D174" t="s">
        <v>4310</v>
      </c>
      <c r="F174" t="str">
        <f>Config!$B$7</f>
        <v>SCH/Connector.SchLib</v>
      </c>
      <c r="G174" t="s">
        <v>14932</v>
      </c>
      <c r="H174" t="s">
        <v>15514</v>
      </c>
      <c r="I174" t="s">
        <v>14951</v>
      </c>
      <c r="K174" s="47" t="s">
        <v>16203</v>
      </c>
      <c r="L174" t="s">
        <v>16206</v>
      </c>
      <c r="M174" t="s">
        <v>16225</v>
      </c>
    </row>
    <row r="175" spans="1:13">
      <c r="A175" t="s">
        <v>15553</v>
      </c>
      <c r="B175" t="s">
        <v>15553</v>
      </c>
      <c r="C175" t="s">
        <v>15554</v>
      </c>
      <c r="D175" t="s">
        <v>4310</v>
      </c>
      <c r="F175" t="str">
        <f>Config!$B$7</f>
        <v>SCH/Connector.SchLib</v>
      </c>
      <c r="G175" t="s">
        <v>14932</v>
      </c>
      <c r="H175" t="s">
        <v>15514</v>
      </c>
      <c r="I175" t="s">
        <v>14952</v>
      </c>
      <c r="K175" s="47" t="s">
        <v>16204</v>
      </c>
      <c r="L175" t="s">
        <v>16210</v>
      </c>
      <c r="M175" t="s">
        <v>16225</v>
      </c>
    </row>
    <row r="176" spans="1:13">
      <c r="A176" t="s">
        <v>15555</v>
      </c>
      <c r="B176" t="s">
        <v>15555</v>
      </c>
      <c r="C176" t="s">
        <v>15556</v>
      </c>
      <c r="D176" t="s">
        <v>4310</v>
      </c>
      <c r="F176" t="str">
        <f>Config!$B$7</f>
        <v>SCH/Connector.SchLib</v>
      </c>
      <c r="G176" t="s">
        <v>14932</v>
      </c>
      <c r="H176" t="s">
        <v>15514</v>
      </c>
      <c r="I176" t="s">
        <v>14953</v>
      </c>
      <c r="K176" s="47" t="s">
        <v>16204</v>
      </c>
      <c r="L176" t="s">
        <v>16200</v>
      </c>
      <c r="M176" t="s">
        <v>16225</v>
      </c>
    </row>
    <row r="177" spans="1:13">
      <c r="A177" t="s">
        <v>15557</v>
      </c>
      <c r="B177" t="s">
        <v>15557</v>
      </c>
      <c r="C177" t="s">
        <v>15558</v>
      </c>
      <c r="D177" t="s">
        <v>4310</v>
      </c>
      <c r="F177" t="str">
        <f>Config!$B$7</f>
        <v>SCH/Connector.SchLib</v>
      </c>
      <c r="G177" t="s">
        <v>14932</v>
      </c>
      <c r="H177" t="s">
        <v>15514</v>
      </c>
      <c r="I177" t="s">
        <v>14954</v>
      </c>
      <c r="K177" s="47" t="s">
        <v>16204</v>
      </c>
      <c r="L177" t="s">
        <v>16202</v>
      </c>
      <c r="M177" t="s">
        <v>16225</v>
      </c>
    </row>
    <row r="178" spans="1:13">
      <c r="A178" t="s">
        <v>15559</v>
      </c>
      <c r="B178" t="s">
        <v>15559</v>
      </c>
      <c r="C178" t="s">
        <v>15560</v>
      </c>
      <c r="D178" t="s">
        <v>4310</v>
      </c>
      <c r="F178" t="str">
        <f>Config!$B$7</f>
        <v>SCH/Connector.SchLib</v>
      </c>
      <c r="G178" t="s">
        <v>14932</v>
      </c>
      <c r="H178" t="s">
        <v>15514</v>
      </c>
      <c r="I178" t="s">
        <v>14955</v>
      </c>
      <c r="K178" s="47" t="s">
        <v>16204</v>
      </c>
      <c r="L178" t="s">
        <v>16204</v>
      </c>
      <c r="M178" t="s">
        <v>16225</v>
      </c>
    </row>
    <row r="179" spans="1:13">
      <c r="A179" t="s">
        <v>15561</v>
      </c>
      <c r="B179" t="s">
        <v>15561</v>
      </c>
      <c r="C179" t="s">
        <v>15562</v>
      </c>
      <c r="D179" t="s">
        <v>4310</v>
      </c>
      <c r="F179" t="str">
        <f>Config!$B$7</f>
        <v>SCH/Connector.SchLib</v>
      </c>
      <c r="G179" t="s">
        <v>14932</v>
      </c>
      <c r="H179" t="s">
        <v>15514</v>
      </c>
      <c r="I179" t="s">
        <v>14956</v>
      </c>
      <c r="K179" s="47" t="s">
        <v>16204</v>
      </c>
      <c r="L179" t="s">
        <v>16207</v>
      </c>
      <c r="M179" t="s">
        <v>16225</v>
      </c>
    </row>
    <row r="180" spans="1:13">
      <c r="A180" t="s">
        <v>15563</v>
      </c>
      <c r="B180" t="s">
        <v>15563</v>
      </c>
      <c r="C180" t="s">
        <v>15564</v>
      </c>
      <c r="D180" t="s">
        <v>4310</v>
      </c>
      <c r="F180" t="str">
        <f>Config!$B$7</f>
        <v>SCH/Connector.SchLib</v>
      </c>
      <c r="G180" t="s">
        <v>14932</v>
      </c>
      <c r="H180" t="s">
        <v>15514</v>
      </c>
      <c r="I180" t="s">
        <v>14957</v>
      </c>
      <c r="K180" s="47" t="s">
        <v>16205</v>
      </c>
      <c r="L180" t="s">
        <v>16199</v>
      </c>
      <c r="M180" t="s">
        <v>16225</v>
      </c>
    </row>
    <row r="181" spans="1:13">
      <c r="A181" t="s">
        <v>16075</v>
      </c>
      <c r="B181" t="s">
        <v>16075</v>
      </c>
      <c r="C181" t="s">
        <v>16076</v>
      </c>
      <c r="D181" t="s">
        <v>4310</v>
      </c>
      <c r="F181" t="str">
        <f>Config!$B$7</f>
        <v>SCH/Connector.SchLib</v>
      </c>
      <c r="G181" t="s">
        <v>14932</v>
      </c>
      <c r="H181" t="s">
        <v>15514</v>
      </c>
      <c r="I181" t="s">
        <v>15695</v>
      </c>
      <c r="K181" s="47" t="s">
        <v>16205</v>
      </c>
      <c r="L181" t="s">
        <v>16200</v>
      </c>
      <c r="M181" t="s">
        <v>16225</v>
      </c>
    </row>
    <row r="182" spans="1:13">
      <c r="A182" t="s">
        <v>15565</v>
      </c>
      <c r="B182" t="s">
        <v>15565</v>
      </c>
      <c r="C182" t="s">
        <v>15566</v>
      </c>
      <c r="D182" t="s">
        <v>4310</v>
      </c>
      <c r="F182" t="str">
        <f>Config!$B$7</f>
        <v>SCH/Connector.SchLib</v>
      </c>
      <c r="G182" t="s">
        <v>14932</v>
      </c>
      <c r="H182" t="s">
        <v>15514</v>
      </c>
      <c r="I182" t="s">
        <v>14958</v>
      </c>
      <c r="K182" s="47" t="s">
        <v>16205</v>
      </c>
      <c r="L182" t="s">
        <v>16211</v>
      </c>
      <c r="M182" t="s">
        <v>16225</v>
      </c>
    </row>
    <row r="183" spans="1:13">
      <c r="A183" t="s">
        <v>15567</v>
      </c>
      <c r="B183" t="s">
        <v>15567</v>
      </c>
      <c r="C183" t="s">
        <v>15568</v>
      </c>
      <c r="D183" t="s">
        <v>4310</v>
      </c>
      <c r="F183" t="str">
        <f>Config!$B$7</f>
        <v>SCH/Connector.SchLib</v>
      </c>
      <c r="G183" t="s">
        <v>14932</v>
      </c>
      <c r="H183" t="s">
        <v>15514</v>
      </c>
      <c r="I183" t="s">
        <v>14959</v>
      </c>
      <c r="K183" s="47" t="s">
        <v>16205</v>
      </c>
      <c r="L183" t="s">
        <v>16212</v>
      </c>
      <c r="M183" t="s">
        <v>16225</v>
      </c>
    </row>
    <row r="184" spans="1:13">
      <c r="A184" t="s">
        <v>15569</v>
      </c>
      <c r="B184" t="s">
        <v>15569</v>
      </c>
      <c r="C184" t="s">
        <v>15570</v>
      </c>
      <c r="D184" t="s">
        <v>4310</v>
      </c>
      <c r="F184" t="str">
        <f>Config!$B$7</f>
        <v>SCH/Connector.SchLib</v>
      </c>
      <c r="G184" t="s">
        <v>14932</v>
      </c>
      <c r="H184" t="s">
        <v>15514</v>
      </c>
      <c r="I184" t="s">
        <v>14960</v>
      </c>
      <c r="K184" s="47" t="s">
        <v>16205</v>
      </c>
      <c r="L184" t="s">
        <v>16205</v>
      </c>
      <c r="M184" t="s">
        <v>16225</v>
      </c>
    </row>
    <row r="185" spans="1:13">
      <c r="A185" t="s">
        <v>15571</v>
      </c>
      <c r="B185" t="s">
        <v>15571</v>
      </c>
      <c r="C185" t="s">
        <v>15572</v>
      </c>
      <c r="D185" t="s">
        <v>4310</v>
      </c>
      <c r="F185" t="str">
        <f>Config!$B$7</f>
        <v>SCH/Connector.SchLib</v>
      </c>
      <c r="G185" t="s">
        <v>14932</v>
      </c>
      <c r="H185" t="s">
        <v>15514</v>
      </c>
      <c r="I185" t="s">
        <v>14961</v>
      </c>
      <c r="K185" s="47" t="s">
        <v>16205</v>
      </c>
      <c r="L185" t="s">
        <v>16213</v>
      </c>
      <c r="M185" t="s">
        <v>16225</v>
      </c>
    </row>
    <row r="186" spans="1:13">
      <c r="A186" t="s">
        <v>16077</v>
      </c>
      <c r="B186" t="s">
        <v>16077</v>
      </c>
      <c r="C186" t="s">
        <v>16078</v>
      </c>
      <c r="D186" t="s">
        <v>4310</v>
      </c>
      <c r="F186" t="str">
        <f>Config!$B$7</f>
        <v>SCH/Connector.SchLib</v>
      </c>
      <c r="G186" t="s">
        <v>14932</v>
      </c>
      <c r="H186" t="s">
        <v>15514</v>
      </c>
      <c r="I186" t="s">
        <v>15698</v>
      </c>
      <c r="K186" s="47" t="s">
        <v>16206</v>
      </c>
      <c r="L186" t="s">
        <v>16214</v>
      </c>
      <c r="M186" t="s">
        <v>16225</v>
      </c>
    </row>
    <row r="187" spans="1:13">
      <c r="A187" t="s">
        <v>16079</v>
      </c>
      <c r="B187" t="s">
        <v>16079</v>
      </c>
      <c r="C187" t="s">
        <v>16080</v>
      </c>
      <c r="D187" t="s">
        <v>4310</v>
      </c>
      <c r="F187" t="str">
        <f>Config!$B$7</f>
        <v>SCH/Connector.SchLib</v>
      </c>
      <c r="G187" t="s">
        <v>14932</v>
      </c>
      <c r="H187" t="s">
        <v>15514</v>
      </c>
      <c r="I187" t="s">
        <v>15699</v>
      </c>
      <c r="K187" s="47" t="s">
        <v>16206</v>
      </c>
      <c r="L187" t="s">
        <v>16200</v>
      </c>
      <c r="M187" t="s">
        <v>16225</v>
      </c>
    </row>
    <row r="188" spans="1:13">
      <c r="A188" t="s">
        <v>16081</v>
      </c>
      <c r="B188" t="s">
        <v>16081</v>
      </c>
      <c r="C188" t="s">
        <v>16082</v>
      </c>
      <c r="D188" t="s">
        <v>4310</v>
      </c>
      <c r="F188" t="str">
        <f>Config!$B$7</f>
        <v>SCH/Connector.SchLib</v>
      </c>
      <c r="G188" t="s">
        <v>14932</v>
      </c>
      <c r="H188" t="s">
        <v>15514</v>
      </c>
      <c r="I188" t="s">
        <v>15700</v>
      </c>
      <c r="K188" s="47" t="s">
        <v>16206</v>
      </c>
      <c r="L188" t="s">
        <v>16201</v>
      </c>
      <c r="M188" t="s">
        <v>16225</v>
      </c>
    </row>
    <row r="189" spans="1:13">
      <c r="A189" t="s">
        <v>16083</v>
      </c>
      <c r="B189" t="s">
        <v>16083</v>
      </c>
      <c r="C189" t="s">
        <v>16084</v>
      </c>
      <c r="D189" t="s">
        <v>4310</v>
      </c>
      <c r="F189" t="str">
        <f>Config!$B$7</f>
        <v>SCH/Connector.SchLib</v>
      </c>
      <c r="G189" t="s">
        <v>14932</v>
      </c>
      <c r="H189" t="s">
        <v>15514</v>
      </c>
      <c r="I189" t="s">
        <v>15701</v>
      </c>
      <c r="K189" s="47" t="s">
        <v>16206</v>
      </c>
      <c r="L189" t="s">
        <v>16203</v>
      </c>
      <c r="M189" t="s">
        <v>16225</v>
      </c>
    </row>
    <row r="190" spans="1:13">
      <c r="A190" t="s">
        <v>16085</v>
      </c>
      <c r="B190" t="s">
        <v>16085</v>
      </c>
      <c r="C190" t="s">
        <v>16086</v>
      </c>
      <c r="D190" t="s">
        <v>4310</v>
      </c>
      <c r="F190" t="str">
        <f>Config!$B$7</f>
        <v>SCH/Connector.SchLib</v>
      </c>
      <c r="G190" t="s">
        <v>14932</v>
      </c>
      <c r="H190" t="s">
        <v>15514</v>
      </c>
      <c r="I190" t="s">
        <v>15702</v>
      </c>
      <c r="K190" s="47" t="s">
        <v>16206</v>
      </c>
      <c r="L190" t="s">
        <v>16206</v>
      </c>
      <c r="M190" t="s">
        <v>16225</v>
      </c>
    </row>
    <row r="191" spans="1:13">
      <c r="A191" t="s">
        <v>16087</v>
      </c>
      <c r="B191" t="s">
        <v>16087</v>
      </c>
      <c r="C191" t="s">
        <v>16088</v>
      </c>
      <c r="D191" t="s">
        <v>4310</v>
      </c>
      <c r="F191" t="str">
        <f>Config!$B$7</f>
        <v>SCH/Connector.SchLib</v>
      </c>
      <c r="G191" t="s">
        <v>14932</v>
      </c>
      <c r="H191" t="s">
        <v>15514</v>
      </c>
      <c r="I191" t="s">
        <v>15703</v>
      </c>
      <c r="K191" s="47" t="s">
        <v>16206</v>
      </c>
      <c r="L191" t="s">
        <v>16215</v>
      </c>
      <c r="M191" t="s">
        <v>16225</v>
      </c>
    </row>
    <row r="192" spans="1:13">
      <c r="A192" t="s">
        <v>16089</v>
      </c>
      <c r="B192" t="s">
        <v>16089</v>
      </c>
      <c r="C192" t="s">
        <v>16090</v>
      </c>
      <c r="D192" t="s">
        <v>4310</v>
      </c>
      <c r="F192" t="str">
        <f>Config!$B$7</f>
        <v>SCH/Connector.SchLib</v>
      </c>
      <c r="G192" t="s">
        <v>14932</v>
      </c>
      <c r="H192" t="s">
        <v>15514</v>
      </c>
      <c r="I192" t="s">
        <v>15704</v>
      </c>
      <c r="K192" s="47" t="s">
        <v>16207</v>
      </c>
      <c r="L192" t="s">
        <v>16199</v>
      </c>
      <c r="M192" t="s">
        <v>16225</v>
      </c>
    </row>
    <row r="193" spans="1:13">
      <c r="A193" t="s">
        <v>16091</v>
      </c>
      <c r="B193" t="s">
        <v>16091</v>
      </c>
      <c r="C193" t="s">
        <v>16092</v>
      </c>
      <c r="D193" t="s">
        <v>4310</v>
      </c>
      <c r="F193" t="str">
        <f>Config!$B$7</f>
        <v>SCH/Connector.SchLib</v>
      </c>
      <c r="G193" t="s">
        <v>14932</v>
      </c>
      <c r="H193" t="s">
        <v>15514</v>
      </c>
      <c r="I193" t="s">
        <v>15705</v>
      </c>
      <c r="K193" s="47" t="s">
        <v>16207</v>
      </c>
      <c r="L193" t="s">
        <v>16216</v>
      </c>
      <c r="M193" t="s">
        <v>16225</v>
      </c>
    </row>
    <row r="194" spans="1:13">
      <c r="A194" t="s">
        <v>16093</v>
      </c>
      <c r="B194" t="s">
        <v>16093</v>
      </c>
      <c r="C194" t="s">
        <v>16094</v>
      </c>
      <c r="D194" t="s">
        <v>4310</v>
      </c>
      <c r="F194" t="str">
        <f>Config!$B$7</f>
        <v>SCH/Connector.SchLib</v>
      </c>
      <c r="G194" t="s">
        <v>14932</v>
      </c>
      <c r="H194" t="s">
        <v>15514</v>
      </c>
      <c r="I194" t="s">
        <v>15706</v>
      </c>
      <c r="K194" s="47" t="s">
        <v>16207</v>
      </c>
      <c r="L194" t="s">
        <v>16200</v>
      </c>
      <c r="M194" t="s">
        <v>16225</v>
      </c>
    </row>
    <row r="195" spans="1:13">
      <c r="A195" t="s">
        <v>16095</v>
      </c>
      <c r="B195" t="s">
        <v>16095</v>
      </c>
      <c r="C195" t="s">
        <v>16096</v>
      </c>
      <c r="D195" t="s">
        <v>4310</v>
      </c>
      <c r="F195" t="str">
        <f>Config!$B$7</f>
        <v>SCH/Connector.SchLib</v>
      </c>
      <c r="G195" t="s">
        <v>14932</v>
      </c>
      <c r="H195" t="s">
        <v>15514</v>
      </c>
      <c r="I195" t="s">
        <v>15707</v>
      </c>
      <c r="K195" s="47" t="s">
        <v>16207</v>
      </c>
      <c r="L195" t="s">
        <v>16202</v>
      </c>
      <c r="M195" t="s">
        <v>16225</v>
      </c>
    </row>
    <row r="196" spans="1:13">
      <c r="A196" t="s">
        <v>16097</v>
      </c>
      <c r="B196" t="s">
        <v>16097</v>
      </c>
      <c r="C196" t="s">
        <v>16098</v>
      </c>
      <c r="D196" t="s">
        <v>4310</v>
      </c>
      <c r="F196" t="str">
        <f>Config!$B$7</f>
        <v>SCH/Connector.SchLib</v>
      </c>
      <c r="G196" t="s">
        <v>14932</v>
      </c>
      <c r="H196" t="s">
        <v>15514</v>
      </c>
      <c r="I196" t="s">
        <v>15708</v>
      </c>
      <c r="K196" s="47" t="s">
        <v>16207</v>
      </c>
      <c r="L196" t="s">
        <v>16204</v>
      </c>
      <c r="M196" t="s">
        <v>16225</v>
      </c>
    </row>
    <row r="197" spans="1:13">
      <c r="A197" t="s">
        <v>16099</v>
      </c>
      <c r="B197" t="s">
        <v>16099</v>
      </c>
      <c r="C197" t="s">
        <v>16100</v>
      </c>
      <c r="D197" t="s">
        <v>4310</v>
      </c>
      <c r="F197" t="str">
        <f>Config!$B$7</f>
        <v>SCH/Connector.SchLib</v>
      </c>
      <c r="G197" t="s">
        <v>14932</v>
      </c>
      <c r="H197" t="s">
        <v>15514</v>
      </c>
      <c r="I197" t="s">
        <v>15709</v>
      </c>
      <c r="K197" s="47" t="s">
        <v>16207</v>
      </c>
      <c r="L197" t="s">
        <v>16207</v>
      </c>
      <c r="M197" t="s">
        <v>16225</v>
      </c>
    </row>
    <row r="198" spans="1:13">
      <c r="A198" t="s">
        <v>16101</v>
      </c>
      <c r="B198" t="s">
        <v>16101</v>
      </c>
      <c r="C198" t="s">
        <v>16102</v>
      </c>
      <c r="D198" t="s">
        <v>4310</v>
      </c>
      <c r="F198" t="str">
        <f>Config!$B$7</f>
        <v>SCH/Connector.SchLib</v>
      </c>
      <c r="G198" t="s">
        <v>14932</v>
      </c>
      <c r="H198" t="s">
        <v>15514</v>
      </c>
      <c r="I198" t="s">
        <v>15710</v>
      </c>
      <c r="K198" s="47" t="s">
        <v>16207</v>
      </c>
      <c r="L198" t="s">
        <v>16217</v>
      </c>
      <c r="M198" t="s">
        <v>16225</v>
      </c>
    </row>
    <row r="199" spans="1:13">
      <c r="A199" t="s">
        <v>16103</v>
      </c>
      <c r="B199" t="s">
        <v>16103</v>
      </c>
      <c r="C199" t="s">
        <v>16104</v>
      </c>
      <c r="D199" t="s">
        <v>4310</v>
      </c>
      <c r="F199" t="str">
        <f>Config!$B$7</f>
        <v>SCH/Connector.SchLib</v>
      </c>
      <c r="G199" t="s">
        <v>14932</v>
      </c>
      <c r="H199" t="s">
        <v>15514</v>
      </c>
      <c r="I199" t="s">
        <v>15711</v>
      </c>
      <c r="K199" s="47" t="s">
        <v>16208</v>
      </c>
      <c r="L199" t="s">
        <v>16199</v>
      </c>
      <c r="M199" t="s">
        <v>16225</v>
      </c>
    </row>
    <row r="200" spans="1:13">
      <c r="A200" t="s">
        <v>16105</v>
      </c>
      <c r="B200" t="s">
        <v>16105</v>
      </c>
      <c r="C200" t="s">
        <v>16106</v>
      </c>
      <c r="D200" t="s">
        <v>4310</v>
      </c>
      <c r="F200" t="str">
        <f>Config!$B$7</f>
        <v>SCH/Connector.SchLib</v>
      </c>
      <c r="G200" t="s">
        <v>14932</v>
      </c>
      <c r="H200" t="s">
        <v>15514</v>
      </c>
      <c r="I200" t="s">
        <v>15712</v>
      </c>
      <c r="K200" s="47" t="s">
        <v>16208</v>
      </c>
      <c r="L200" t="s">
        <v>16200</v>
      </c>
      <c r="M200" t="s">
        <v>16225</v>
      </c>
    </row>
    <row r="201" spans="1:13">
      <c r="A201" t="s">
        <v>16107</v>
      </c>
      <c r="B201" t="s">
        <v>16107</v>
      </c>
      <c r="C201" t="s">
        <v>16108</v>
      </c>
      <c r="D201" t="s">
        <v>4310</v>
      </c>
      <c r="F201" t="str">
        <f>Config!$B$7</f>
        <v>SCH/Connector.SchLib</v>
      </c>
      <c r="G201" t="s">
        <v>14932</v>
      </c>
      <c r="H201" t="s">
        <v>15514</v>
      </c>
      <c r="I201" t="s">
        <v>15713</v>
      </c>
      <c r="K201" s="47" t="s">
        <v>16208</v>
      </c>
      <c r="L201" t="s">
        <v>16212</v>
      </c>
      <c r="M201" t="s">
        <v>16225</v>
      </c>
    </row>
    <row r="202" spans="1:13">
      <c r="A202" t="s">
        <v>16109</v>
      </c>
      <c r="B202" t="s">
        <v>16109</v>
      </c>
      <c r="C202" t="s">
        <v>16110</v>
      </c>
      <c r="D202" t="s">
        <v>4310</v>
      </c>
      <c r="F202" t="str">
        <f>Config!$B$7</f>
        <v>SCH/Connector.SchLib</v>
      </c>
      <c r="G202" t="s">
        <v>14932</v>
      </c>
      <c r="H202" t="s">
        <v>15514</v>
      </c>
      <c r="I202" t="s">
        <v>15714</v>
      </c>
      <c r="K202" s="47" t="s">
        <v>16208</v>
      </c>
      <c r="L202" t="s">
        <v>16205</v>
      </c>
      <c r="M202" t="s">
        <v>16225</v>
      </c>
    </row>
    <row r="203" spans="1:13">
      <c r="A203" t="s">
        <v>16111</v>
      </c>
      <c r="B203" t="s">
        <v>16111</v>
      </c>
      <c r="C203" t="s">
        <v>16112</v>
      </c>
      <c r="D203" t="s">
        <v>4310</v>
      </c>
      <c r="F203" t="str">
        <f>Config!$B$7</f>
        <v>SCH/Connector.SchLib</v>
      </c>
      <c r="G203" t="s">
        <v>14932</v>
      </c>
      <c r="H203" t="s">
        <v>15514</v>
      </c>
      <c r="I203" t="s">
        <v>15715</v>
      </c>
      <c r="K203" s="47" t="s">
        <v>16208</v>
      </c>
      <c r="L203" t="s">
        <v>16213</v>
      </c>
      <c r="M203" t="s">
        <v>16225</v>
      </c>
    </row>
    <row r="204" spans="1:13">
      <c r="A204" t="s">
        <v>16113</v>
      </c>
      <c r="B204" t="s">
        <v>16113</v>
      </c>
      <c r="C204" t="s">
        <v>16114</v>
      </c>
      <c r="D204" t="s">
        <v>4310</v>
      </c>
      <c r="F204" t="str">
        <f>Config!$B$7</f>
        <v>SCH/Connector.SchLib</v>
      </c>
      <c r="G204" t="s">
        <v>14932</v>
      </c>
      <c r="H204" t="s">
        <v>15514</v>
      </c>
      <c r="I204" t="s">
        <v>15716</v>
      </c>
      <c r="K204" s="47" t="s">
        <v>16208</v>
      </c>
      <c r="L204" t="s">
        <v>16218</v>
      </c>
      <c r="M204" t="s">
        <v>16225</v>
      </c>
    </row>
    <row r="206" spans="1:13">
      <c r="A206" t="s">
        <v>15451</v>
      </c>
      <c r="B206" t="s">
        <v>15451</v>
      </c>
      <c r="C206" t="s">
        <v>15452</v>
      </c>
      <c r="D206" t="s">
        <v>4310</v>
      </c>
      <c r="F206" t="str">
        <f>Config!$B$7</f>
        <v>SCH/Connector.SchLib</v>
      </c>
      <c r="G206" t="s">
        <v>14932</v>
      </c>
      <c r="H206" t="s">
        <v>15453</v>
      </c>
      <c r="I206" t="s">
        <v>14962</v>
      </c>
      <c r="K206" s="47" t="s">
        <v>16198</v>
      </c>
      <c r="L206" t="s">
        <v>16198</v>
      </c>
      <c r="M206" t="s">
        <v>16226</v>
      </c>
    </row>
    <row r="207" spans="1:13">
      <c r="A207" t="s">
        <v>15454</v>
      </c>
      <c r="B207" t="s">
        <v>15454</v>
      </c>
      <c r="C207" t="s">
        <v>15455</v>
      </c>
      <c r="D207" t="s">
        <v>4310</v>
      </c>
      <c r="F207" t="str">
        <f>Config!$B$7</f>
        <v>SCH/Connector.SchLib</v>
      </c>
      <c r="G207" t="s">
        <v>14932</v>
      </c>
      <c r="H207" t="s">
        <v>15453</v>
      </c>
      <c r="I207" t="s">
        <v>14963</v>
      </c>
      <c r="K207" s="47" t="s">
        <v>16198</v>
      </c>
      <c r="L207" t="s">
        <v>16199</v>
      </c>
      <c r="M207" t="s">
        <v>16226</v>
      </c>
    </row>
    <row r="208" spans="1:13">
      <c r="A208" t="s">
        <v>15456</v>
      </c>
      <c r="B208" t="s">
        <v>15456</v>
      </c>
      <c r="C208" t="s">
        <v>15457</v>
      </c>
      <c r="D208" t="s">
        <v>4310</v>
      </c>
      <c r="F208" t="str">
        <f>Config!$B$7</f>
        <v>SCH/Connector.SchLib</v>
      </c>
      <c r="G208" t="s">
        <v>14932</v>
      </c>
      <c r="H208" t="s">
        <v>15453</v>
      </c>
      <c r="I208" t="s">
        <v>14934</v>
      </c>
      <c r="K208" s="47" t="s">
        <v>16199</v>
      </c>
      <c r="L208" t="s">
        <v>16198</v>
      </c>
      <c r="M208" t="s">
        <v>16226</v>
      </c>
    </row>
    <row r="209" spans="1:13">
      <c r="A209" t="s">
        <v>15458</v>
      </c>
      <c r="B209" t="s">
        <v>15458</v>
      </c>
      <c r="C209" t="s">
        <v>15459</v>
      </c>
      <c r="D209" t="s">
        <v>4310</v>
      </c>
      <c r="F209" t="str">
        <f>Config!$B$7</f>
        <v>SCH/Connector.SchLib</v>
      </c>
      <c r="G209" t="s">
        <v>14932</v>
      </c>
      <c r="H209" t="s">
        <v>15453</v>
      </c>
      <c r="I209" t="s">
        <v>14935</v>
      </c>
      <c r="K209" s="47" t="s">
        <v>16199</v>
      </c>
      <c r="L209" t="s">
        <v>16199</v>
      </c>
      <c r="M209" t="s">
        <v>16226</v>
      </c>
    </row>
    <row r="210" spans="1:13">
      <c r="A210" t="s">
        <v>15460</v>
      </c>
      <c r="B210" t="s">
        <v>15460</v>
      </c>
      <c r="C210" t="s">
        <v>15461</v>
      </c>
      <c r="D210" t="s">
        <v>4310</v>
      </c>
      <c r="F210" t="str">
        <f>Config!$B$7</f>
        <v>SCH/Connector.SchLib</v>
      </c>
      <c r="G210" t="s">
        <v>14932</v>
      </c>
      <c r="H210" t="s">
        <v>15453</v>
      </c>
      <c r="I210" t="s">
        <v>14936</v>
      </c>
      <c r="K210" s="47" t="s">
        <v>16199</v>
      </c>
      <c r="L210" t="s">
        <v>16200</v>
      </c>
      <c r="M210" t="s">
        <v>16226</v>
      </c>
    </row>
    <row r="211" spans="1:13">
      <c r="A211" t="s">
        <v>15462</v>
      </c>
      <c r="B211" t="s">
        <v>15462</v>
      </c>
      <c r="C211" t="s">
        <v>15463</v>
      </c>
      <c r="D211" t="s">
        <v>4310</v>
      </c>
      <c r="F211" t="str">
        <f>Config!$B$7</f>
        <v>SCH/Connector.SchLib</v>
      </c>
      <c r="G211" t="s">
        <v>14932</v>
      </c>
      <c r="H211" t="s">
        <v>15453</v>
      </c>
      <c r="I211" t="s">
        <v>14937</v>
      </c>
      <c r="K211" s="47" t="s">
        <v>16200</v>
      </c>
      <c r="L211" t="s">
        <v>16198</v>
      </c>
      <c r="M211" t="s">
        <v>16226</v>
      </c>
    </row>
    <row r="212" spans="1:13">
      <c r="A212" t="s">
        <v>15464</v>
      </c>
      <c r="B212" t="s">
        <v>15464</v>
      </c>
      <c r="C212" t="s">
        <v>15465</v>
      </c>
      <c r="D212" t="s">
        <v>4310</v>
      </c>
      <c r="F212" t="str">
        <f>Config!$B$7</f>
        <v>SCH/Connector.SchLib</v>
      </c>
      <c r="G212" t="s">
        <v>14932</v>
      </c>
      <c r="H212" t="s">
        <v>15453</v>
      </c>
      <c r="I212" t="s">
        <v>14938</v>
      </c>
      <c r="K212" s="47" t="s">
        <v>16200</v>
      </c>
      <c r="L212" t="s">
        <v>16199</v>
      </c>
      <c r="M212" t="s">
        <v>16226</v>
      </c>
    </row>
    <row r="213" spans="1:13">
      <c r="A213" t="s">
        <v>15466</v>
      </c>
      <c r="B213" t="s">
        <v>15466</v>
      </c>
      <c r="C213" t="s">
        <v>15467</v>
      </c>
      <c r="D213" t="s">
        <v>4310</v>
      </c>
      <c r="F213" t="str">
        <f>Config!$B$7</f>
        <v>SCH/Connector.SchLib</v>
      </c>
      <c r="G213" t="s">
        <v>14932</v>
      </c>
      <c r="H213" t="s">
        <v>15453</v>
      </c>
      <c r="I213" t="s">
        <v>14939</v>
      </c>
      <c r="K213" s="47" t="s">
        <v>16200</v>
      </c>
      <c r="L213" t="s">
        <v>16200</v>
      </c>
      <c r="M213" t="s">
        <v>16226</v>
      </c>
    </row>
    <row r="214" spans="1:13">
      <c r="A214" t="s">
        <v>15468</v>
      </c>
      <c r="B214" t="s">
        <v>15468</v>
      </c>
      <c r="C214" t="s">
        <v>15469</v>
      </c>
      <c r="D214" t="s">
        <v>4310</v>
      </c>
      <c r="F214" t="str">
        <f>Config!$B$7</f>
        <v>SCH/Connector.SchLib</v>
      </c>
      <c r="G214" t="s">
        <v>14932</v>
      </c>
      <c r="H214" t="s">
        <v>15453</v>
      </c>
      <c r="I214" t="s">
        <v>14940</v>
      </c>
      <c r="K214" s="47" t="s">
        <v>16200</v>
      </c>
      <c r="L214" t="s">
        <v>16202</v>
      </c>
      <c r="M214" t="s">
        <v>16226</v>
      </c>
    </row>
    <row r="215" spans="1:13">
      <c r="A215" t="s">
        <v>15470</v>
      </c>
      <c r="B215" t="s">
        <v>15470</v>
      </c>
      <c r="C215" t="s">
        <v>15471</v>
      </c>
      <c r="D215" t="s">
        <v>4310</v>
      </c>
      <c r="F215" t="str">
        <f>Config!$B$7</f>
        <v>SCH/Connector.SchLib</v>
      </c>
      <c r="G215" t="s">
        <v>14932</v>
      </c>
      <c r="H215" t="s">
        <v>15453</v>
      </c>
      <c r="I215" t="s">
        <v>14941</v>
      </c>
      <c r="K215" s="47" t="s">
        <v>16201</v>
      </c>
      <c r="L215" t="s">
        <v>16209</v>
      </c>
      <c r="M215" t="s">
        <v>16226</v>
      </c>
    </row>
    <row r="216" spans="1:13">
      <c r="A216" t="s">
        <v>15472</v>
      </c>
      <c r="B216" t="s">
        <v>15472</v>
      </c>
      <c r="C216" t="s">
        <v>15473</v>
      </c>
      <c r="D216" t="s">
        <v>4310</v>
      </c>
      <c r="F216" t="str">
        <f>Config!$B$7</f>
        <v>SCH/Connector.SchLib</v>
      </c>
      <c r="G216" t="s">
        <v>14932</v>
      </c>
      <c r="H216" t="s">
        <v>15453</v>
      </c>
      <c r="I216" t="s">
        <v>14942</v>
      </c>
      <c r="K216" s="47" t="s">
        <v>16201</v>
      </c>
      <c r="L216" t="s">
        <v>16201</v>
      </c>
      <c r="M216" t="s">
        <v>16226</v>
      </c>
    </row>
    <row r="217" spans="1:13">
      <c r="A217" t="s">
        <v>15474</v>
      </c>
      <c r="B217" t="s">
        <v>15474</v>
      </c>
      <c r="C217" t="s">
        <v>15475</v>
      </c>
      <c r="D217" t="s">
        <v>4310</v>
      </c>
      <c r="F217" t="str">
        <f>Config!$B$7</f>
        <v>SCH/Connector.SchLib</v>
      </c>
      <c r="G217" t="s">
        <v>14932</v>
      </c>
      <c r="H217" t="s">
        <v>15453</v>
      </c>
      <c r="I217" t="s">
        <v>14943</v>
      </c>
      <c r="K217" s="47" t="s">
        <v>16201</v>
      </c>
      <c r="L217" t="s">
        <v>16203</v>
      </c>
      <c r="M217" t="s">
        <v>16226</v>
      </c>
    </row>
    <row r="218" spans="1:13">
      <c r="A218" t="s">
        <v>15476</v>
      </c>
      <c r="B218" t="s">
        <v>15476</v>
      </c>
      <c r="C218" t="s">
        <v>15477</v>
      </c>
      <c r="D218" t="s">
        <v>4310</v>
      </c>
      <c r="F218" t="str">
        <f>Config!$B$7</f>
        <v>SCH/Connector.SchLib</v>
      </c>
      <c r="G218" t="s">
        <v>14932</v>
      </c>
      <c r="H218" t="s">
        <v>15453</v>
      </c>
      <c r="I218" t="s">
        <v>14944</v>
      </c>
      <c r="K218" s="47" t="s">
        <v>16202</v>
      </c>
      <c r="L218" t="s">
        <v>16199</v>
      </c>
      <c r="M218" t="s">
        <v>16226</v>
      </c>
    </row>
    <row r="219" spans="1:13">
      <c r="A219" t="s">
        <v>15478</v>
      </c>
      <c r="B219" t="s">
        <v>15478</v>
      </c>
      <c r="C219" t="s">
        <v>15479</v>
      </c>
      <c r="D219" t="s">
        <v>4310</v>
      </c>
      <c r="F219" t="str">
        <f>Config!$B$7</f>
        <v>SCH/Connector.SchLib</v>
      </c>
      <c r="G219" t="s">
        <v>14932</v>
      </c>
      <c r="H219" t="s">
        <v>15453</v>
      </c>
      <c r="I219" t="s">
        <v>14945</v>
      </c>
      <c r="K219" s="47" t="s">
        <v>16202</v>
      </c>
      <c r="L219" t="s">
        <v>16200</v>
      </c>
      <c r="M219" t="s">
        <v>16226</v>
      </c>
    </row>
    <row r="220" spans="1:13">
      <c r="A220" t="s">
        <v>15480</v>
      </c>
      <c r="B220" t="s">
        <v>15480</v>
      </c>
      <c r="C220" t="s">
        <v>15481</v>
      </c>
      <c r="D220" t="s">
        <v>4310</v>
      </c>
      <c r="F220" t="str">
        <f>Config!$B$7</f>
        <v>SCH/Connector.SchLib</v>
      </c>
      <c r="G220" t="s">
        <v>14932</v>
      </c>
      <c r="H220" t="s">
        <v>15453</v>
      </c>
      <c r="I220" t="s">
        <v>14946</v>
      </c>
      <c r="K220" s="47" t="s">
        <v>16202</v>
      </c>
      <c r="L220" t="s">
        <v>16202</v>
      </c>
      <c r="M220" t="s">
        <v>16226</v>
      </c>
    </row>
    <row r="221" spans="1:13">
      <c r="A221" t="s">
        <v>15482</v>
      </c>
      <c r="B221" t="s">
        <v>15482</v>
      </c>
      <c r="C221" t="s">
        <v>15483</v>
      </c>
      <c r="D221" t="s">
        <v>4310</v>
      </c>
      <c r="F221" t="str">
        <f>Config!$B$7</f>
        <v>SCH/Connector.SchLib</v>
      </c>
      <c r="G221" t="s">
        <v>14932</v>
      </c>
      <c r="H221" t="s">
        <v>15453</v>
      </c>
      <c r="I221" t="s">
        <v>14947</v>
      </c>
      <c r="K221" s="47" t="s">
        <v>16202</v>
      </c>
      <c r="L221" t="s">
        <v>16204</v>
      </c>
      <c r="M221" t="s">
        <v>16226</v>
      </c>
    </row>
    <row r="222" spans="1:13">
      <c r="A222" t="s">
        <v>15484</v>
      </c>
      <c r="B222" t="s">
        <v>15484</v>
      </c>
      <c r="C222" t="s">
        <v>15485</v>
      </c>
      <c r="D222" t="s">
        <v>4310</v>
      </c>
      <c r="F222" t="str">
        <f>Config!$B$7</f>
        <v>SCH/Connector.SchLib</v>
      </c>
      <c r="G222" t="s">
        <v>14932</v>
      </c>
      <c r="H222" t="s">
        <v>15453</v>
      </c>
      <c r="I222" t="s">
        <v>14948</v>
      </c>
      <c r="K222" s="47" t="s">
        <v>16203</v>
      </c>
      <c r="L222" t="s">
        <v>16209</v>
      </c>
      <c r="M222" t="s">
        <v>16226</v>
      </c>
    </row>
    <row r="223" spans="1:13">
      <c r="A223" t="s">
        <v>15486</v>
      </c>
      <c r="B223" t="s">
        <v>15486</v>
      </c>
      <c r="C223" t="s">
        <v>15487</v>
      </c>
      <c r="D223" t="s">
        <v>4310</v>
      </c>
      <c r="F223" t="str">
        <f>Config!$B$7</f>
        <v>SCH/Connector.SchLib</v>
      </c>
      <c r="G223" t="s">
        <v>14932</v>
      </c>
      <c r="H223" t="s">
        <v>15453</v>
      </c>
      <c r="I223" t="s">
        <v>14949</v>
      </c>
      <c r="K223" s="47" t="s">
        <v>16203</v>
      </c>
      <c r="L223" t="s">
        <v>16201</v>
      </c>
      <c r="M223" t="s">
        <v>16226</v>
      </c>
    </row>
    <row r="224" spans="1:13">
      <c r="A224" t="s">
        <v>15488</v>
      </c>
      <c r="B224" t="s">
        <v>15488</v>
      </c>
      <c r="C224" t="s">
        <v>15489</v>
      </c>
      <c r="D224" t="s">
        <v>4310</v>
      </c>
      <c r="F224" t="str">
        <f>Config!$B$7</f>
        <v>SCH/Connector.SchLib</v>
      </c>
      <c r="G224" t="s">
        <v>14932</v>
      </c>
      <c r="H224" t="s">
        <v>15453</v>
      </c>
      <c r="I224" t="s">
        <v>14950</v>
      </c>
      <c r="K224" s="47" t="s">
        <v>16203</v>
      </c>
      <c r="L224" t="s">
        <v>16203</v>
      </c>
      <c r="M224" t="s">
        <v>16226</v>
      </c>
    </row>
    <row r="225" spans="1:13">
      <c r="A225" t="s">
        <v>15490</v>
      </c>
      <c r="B225" t="s">
        <v>15490</v>
      </c>
      <c r="C225" t="s">
        <v>15491</v>
      </c>
      <c r="D225" t="s">
        <v>4310</v>
      </c>
      <c r="F225" t="str">
        <f>Config!$B$7</f>
        <v>SCH/Connector.SchLib</v>
      </c>
      <c r="G225" t="s">
        <v>14932</v>
      </c>
      <c r="H225" t="s">
        <v>15453</v>
      </c>
      <c r="I225" t="s">
        <v>14951</v>
      </c>
      <c r="K225" s="47" t="s">
        <v>16203</v>
      </c>
      <c r="L225" t="s">
        <v>16206</v>
      </c>
      <c r="M225" t="s">
        <v>16226</v>
      </c>
    </row>
    <row r="226" spans="1:13">
      <c r="A226" t="s">
        <v>15492</v>
      </c>
      <c r="B226" t="s">
        <v>15492</v>
      </c>
      <c r="C226" t="s">
        <v>15493</v>
      </c>
      <c r="D226" t="s">
        <v>4310</v>
      </c>
      <c r="F226" t="str">
        <f>Config!$B$7</f>
        <v>SCH/Connector.SchLib</v>
      </c>
      <c r="G226" t="s">
        <v>14932</v>
      </c>
      <c r="H226" t="s">
        <v>15453</v>
      </c>
      <c r="I226" t="s">
        <v>14952</v>
      </c>
      <c r="K226" s="47" t="s">
        <v>16204</v>
      </c>
      <c r="L226" t="s">
        <v>16210</v>
      </c>
      <c r="M226" t="s">
        <v>16226</v>
      </c>
    </row>
    <row r="227" spans="1:13">
      <c r="A227" t="s">
        <v>15494</v>
      </c>
      <c r="B227" t="s">
        <v>15494</v>
      </c>
      <c r="C227" t="s">
        <v>15495</v>
      </c>
      <c r="D227" t="s">
        <v>4310</v>
      </c>
      <c r="F227" t="str">
        <f>Config!$B$7</f>
        <v>SCH/Connector.SchLib</v>
      </c>
      <c r="G227" t="s">
        <v>14932</v>
      </c>
      <c r="H227" t="s">
        <v>15453</v>
      </c>
      <c r="I227" t="s">
        <v>14953</v>
      </c>
      <c r="K227" s="47" t="s">
        <v>16204</v>
      </c>
      <c r="L227" t="s">
        <v>16200</v>
      </c>
      <c r="M227" t="s">
        <v>16226</v>
      </c>
    </row>
    <row r="228" spans="1:13">
      <c r="A228" t="s">
        <v>15496</v>
      </c>
      <c r="B228" t="s">
        <v>15496</v>
      </c>
      <c r="C228" t="s">
        <v>15497</v>
      </c>
      <c r="D228" t="s">
        <v>4310</v>
      </c>
      <c r="F228" t="str">
        <f>Config!$B$7</f>
        <v>SCH/Connector.SchLib</v>
      </c>
      <c r="G228" t="s">
        <v>14932</v>
      </c>
      <c r="H228" t="s">
        <v>15453</v>
      </c>
      <c r="I228" t="s">
        <v>14954</v>
      </c>
      <c r="K228" s="47" t="s">
        <v>16204</v>
      </c>
      <c r="L228" t="s">
        <v>16202</v>
      </c>
      <c r="M228" t="s">
        <v>16226</v>
      </c>
    </row>
    <row r="229" spans="1:13">
      <c r="A229" t="s">
        <v>15498</v>
      </c>
      <c r="B229" t="s">
        <v>15498</v>
      </c>
      <c r="C229" t="s">
        <v>15499</v>
      </c>
      <c r="D229" t="s">
        <v>4310</v>
      </c>
      <c r="F229" t="str">
        <f>Config!$B$7</f>
        <v>SCH/Connector.SchLib</v>
      </c>
      <c r="G229" t="s">
        <v>14932</v>
      </c>
      <c r="H229" t="s">
        <v>15453</v>
      </c>
      <c r="I229" t="s">
        <v>14955</v>
      </c>
      <c r="K229" s="47" t="s">
        <v>16204</v>
      </c>
      <c r="L229" t="s">
        <v>16204</v>
      </c>
      <c r="M229" t="s">
        <v>16226</v>
      </c>
    </row>
    <row r="230" spans="1:13">
      <c r="A230" t="s">
        <v>15500</v>
      </c>
      <c r="B230" t="s">
        <v>15500</v>
      </c>
      <c r="C230" t="s">
        <v>15501</v>
      </c>
      <c r="D230" t="s">
        <v>4310</v>
      </c>
      <c r="F230" t="str">
        <f>Config!$B$7</f>
        <v>SCH/Connector.SchLib</v>
      </c>
      <c r="G230" t="s">
        <v>14932</v>
      </c>
      <c r="H230" t="s">
        <v>15453</v>
      </c>
      <c r="I230" t="s">
        <v>14956</v>
      </c>
      <c r="K230" s="47" t="s">
        <v>16204</v>
      </c>
      <c r="L230" t="s">
        <v>16207</v>
      </c>
      <c r="M230" t="s">
        <v>16226</v>
      </c>
    </row>
    <row r="231" spans="1:13">
      <c r="A231" t="s">
        <v>15502</v>
      </c>
      <c r="B231" t="s">
        <v>15502</v>
      </c>
      <c r="C231" t="s">
        <v>15503</v>
      </c>
      <c r="D231" t="s">
        <v>4310</v>
      </c>
      <c r="F231" t="str">
        <f>Config!$B$7</f>
        <v>SCH/Connector.SchLib</v>
      </c>
      <c r="G231" t="s">
        <v>14932</v>
      </c>
      <c r="H231" t="s">
        <v>15453</v>
      </c>
      <c r="I231" t="s">
        <v>14957</v>
      </c>
      <c r="K231" s="47" t="s">
        <v>16205</v>
      </c>
      <c r="L231" t="s">
        <v>16199</v>
      </c>
      <c r="M231" t="s">
        <v>16226</v>
      </c>
    </row>
    <row r="232" spans="1:13">
      <c r="A232" t="s">
        <v>16035</v>
      </c>
      <c r="B232" t="s">
        <v>16035</v>
      </c>
      <c r="C232" t="s">
        <v>16036</v>
      </c>
      <c r="D232" t="s">
        <v>4310</v>
      </c>
      <c r="F232" t="str">
        <f>Config!$B$7</f>
        <v>SCH/Connector.SchLib</v>
      </c>
      <c r="G232" t="s">
        <v>14932</v>
      </c>
      <c r="H232" t="s">
        <v>15453</v>
      </c>
      <c r="I232" t="s">
        <v>15695</v>
      </c>
      <c r="K232" s="47" t="s">
        <v>16205</v>
      </c>
      <c r="L232" t="s">
        <v>16200</v>
      </c>
      <c r="M232" t="s">
        <v>16226</v>
      </c>
    </row>
    <row r="233" spans="1:13">
      <c r="A233" t="s">
        <v>15504</v>
      </c>
      <c r="B233" t="s">
        <v>15504</v>
      </c>
      <c r="C233" t="s">
        <v>15505</v>
      </c>
      <c r="D233" t="s">
        <v>4310</v>
      </c>
      <c r="F233" t="str">
        <f>Config!$B$7</f>
        <v>SCH/Connector.SchLib</v>
      </c>
      <c r="G233" t="s">
        <v>14932</v>
      </c>
      <c r="H233" t="s">
        <v>15453</v>
      </c>
      <c r="I233" t="s">
        <v>14958</v>
      </c>
      <c r="K233" s="47" t="s">
        <v>16205</v>
      </c>
      <c r="L233" t="s">
        <v>16211</v>
      </c>
      <c r="M233" t="s">
        <v>16226</v>
      </c>
    </row>
    <row r="234" spans="1:13">
      <c r="A234" t="s">
        <v>15506</v>
      </c>
      <c r="B234" t="s">
        <v>15506</v>
      </c>
      <c r="C234" t="s">
        <v>15507</v>
      </c>
      <c r="D234" t="s">
        <v>4310</v>
      </c>
      <c r="F234" t="str">
        <f>Config!$B$7</f>
        <v>SCH/Connector.SchLib</v>
      </c>
      <c r="G234" t="s">
        <v>14932</v>
      </c>
      <c r="H234" t="s">
        <v>15453</v>
      </c>
      <c r="I234" t="s">
        <v>14959</v>
      </c>
      <c r="K234" s="47" t="s">
        <v>16205</v>
      </c>
      <c r="L234" t="s">
        <v>16212</v>
      </c>
      <c r="M234" t="s">
        <v>16226</v>
      </c>
    </row>
    <row r="235" spans="1:13">
      <c r="A235" t="s">
        <v>15508</v>
      </c>
      <c r="B235" t="s">
        <v>15508</v>
      </c>
      <c r="C235" t="s">
        <v>15509</v>
      </c>
      <c r="D235" t="s">
        <v>4310</v>
      </c>
      <c r="F235" t="str">
        <f>Config!$B$7</f>
        <v>SCH/Connector.SchLib</v>
      </c>
      <c r="G235" t="s">
        <v>14932</v>
      </c>
      <c r="H235" t="s">
        <v>15453</v>
      </c>
      <c r="I235" t="s">
        <v>14960</v>
      </c>
      <c r="K235" s="47" t="s">
        <v>16205</v>
      </c>
      <c r="L235" t="s">
        <v>16205</v>
      </c>
      <c r="M235" t="s">
        <v>16226</v>
      </c>
    </row>
    <row r="236" spans="1:13">
      <c r="A236" t="s">
        <v>15510</v>
      </c>
      <c r="B236" t="s">
        <v>15510</v>
      </c>
      <c r="C236" t="s">
        <v>15511</v>
      </c>
      <c r="D236" t="s">
        <v>4310</v>
      </c>
      <c r="F236" t="str">
        <f>Config!$B$7</f>
        <v>SCH/Connector.SchLib</v>
      </c>
      <c r="G236" t="s">
        <v>14932</v>
      </c>
      <c r="H236" t="s">
        <v>15453</v>
      </c>
      <c r="I236" t="s">
        <v>14961</v>
      </c>
      <c r="K236" s="47" t="s">
        <v>16205</v>
      </c>
      <c r="L236" t="s">
        <v>16213</v>
      </c>
      <c r="M236" t="s">
        <v>16226</v>
      </c>
    </row>
    <row r="237" spans="1:13">
      <c r="A237" t="s">
        <v>16037</v>
      </c>
      <c r="B237" t="s">
        <v>16037</v>
      </c>
      <c r="C237" t="s">
        <v>16038</v>
      </c>
      <c r="D237" t="s">
        <v>4310</v>
      </c>
      <c r="F237" t="str">
        <f>Config!$B$7</f>
        <v>SCH/Connector.SchLib</v>
      </c>
      <c r="G237" t="s">
        <v>14932</v>
      </c>
      <c r="H237" t="s">
        <v>15453</v>
      </c>
      <c r="I237" t="s">
        <v>15698</v>
      </c>
      <c r="K237" s="47" t="s">
        <v>16206</v>
      </c>
      <c r="L237" t="s">
        <v>16214</v>
      </c>
      <c r="M237" t="s">
        <v>16226</v>
      </c>
    </row>
    <row r="238" spans="1:13">
      <c r="A238" t="s">
        <v>16039</v>
      </c>
      <c r="B238" t="s">
        <v>16039</v>
      </c>
      <c r="C238" t="s">
        <v>16040</v>
      </c>
      <c r="D238" t="s">
        <v>4310</v>
      </c>
      <c r="F238" t="str">
        <f>Config!$B$7</f>
        <v>SCH/Connector.SchLib</v>
      </c>
      <c r="G238" t="s">
        <v>14932</v>
      </c>
      <c r="H238" t="s">
        <v>15453</v>
      </c>
      <c r="I238" t="s">
        <v>15699</v>
      </c>
      <c r="K238" s="47" t="s">
        <v>16206</v>
      </c>
      <c r="L238" t="s">
        <v>16200</v>
      </c>
      <c r="M238" t="s">
        <v>16226</v>
      </c>
    </row>
    <row r="239" spans="1:13">
      <c r="A239" t="s">
        <v>16041</v>
      </c>
      <c r="B239" t="s">
        <v>16041</v>
      </c>
      <c r="C239" t="s">
        <v>16042</v>
      </c>
      <c r="D239" t="s">
        <v>4310</v>
      </c>
      <c r="F239" t="str">
        <f>Config!$B$7</f>
        <v>SCH/Connector.SchLib</v>
      </c>
      <c r="G239" t="s">
        <v>14932</v>
      </c>
      <c r="H239" t="s">
        <v>15453</v>
      </c>
      <c r="I239" t="s">
        <v>15700</v>
      </c>
      <c r="K239" s="47" t="s">
        <v>16206</v>
      </c>
      <c r="L239" t="s">
        <v>16201</v>
      </c>
      <c r="M239" t="s">
        <v>16226</v>
      </c>
    </row>
    <row r="240" spans="1:13">
      <c r="A240" t="s">
        <v>16043</v>
      </c>
      <c r="B240" t="s">
        <v>16043</v>
      </c>
      <c r="C240" t="s">
        <v>16044</v>
      </c>
      <c r="D240" t="s">
        <v>4310</v>
      </c>
      <c r="F240" t="str">
        <f>Config!$B$7</f>
        <v>SCH/Connector.SchLib</v>
      </c>
      <c r="G240" t="s">
        <v>14932</v>
      </c>
      <c r="H240" t="s">
        <v>15453</v>
      </c>
      <c r="I240" t="s">
        <v>15701</v>
      </c>
      <c r="K240" s="47" t="s">
        <v>16206</v>
      </c>
      <c r="L240" t="s">
        <v>16203</v>
      </c>
      <c r="M240" t="s">
        <v>16226</v>
      </c>
    </row>
    <row r="241" spans="1:13">
      <c r="A241" t="s">
        <v>16045</v>
      </c>
      <c r="B241" t="s">
        <v>16045</v>
      </c>
      <c r="C241" t="s">
        <v>16046</v>
      </c>
      <c r="D241" t="s">
        <v>4310</v>
      </c>
      <c r="F241" t="str">
        <f>Config!$B$7</f>
        <v>SCH/Connector.SchLib</v>
      </c>
      <c r="G241" t="s">
        <v>14932</v>
      </c>
      <c r="H241" t="s">
        <v>15453</v>
      </c>
      <c r="I241" t="s">
        <v>15702</v>
      </c>
      <c r="K241" s="47" t="s">
        <v>16206</v>
      </c>
      <c r="L241" t="s">
        <v>16206</v>
      </c>
      <c r="M241" t="s">
        <v>16226</v>
      </c>
    </row>
    <row r="242" spans="1:13">
      <c r="A242" t="s">
        <v>16047</v>
      </c>
      <c r="B242" t="s">
        <v>16047</v>
      </c>
      <c r="C242" t="s">
        <v>16048</v>
      </c>
      <c r="D242" t="s">
        <v>4310</v>
      </c>
      <c r="F242" t="str">
        <f>Config!$B$7</f>
        <v>SCH/Connector.SchLib</v>
      </c>
      <c r="G242" t="s">
        <v>14932</v>
      </c>
      <c r="H242" t="s">
        <v>15453</v>
      </c>
      <c r="I242" t="s">
        <v>15703</v>
      </c>
      <c r="K242" s="47" t="s">
        <v>16206</v>
      </c>
      <c r="L242" t="s">
        <v>16215</v>
      </c>
      <c r="M242" t="s">
        <v>16226</v>
      </c>
    </row>
    <row r="243" spans="1:13">
      <c r="A243" t="s">
        <v>16049</v>
      </c>
      <c r="B243" t="s">
        <v>16049</v>
      </c>
      <c r="C243" t="s">
        <v>16050</v>
      </c>
      <c r="D243" t="s">
        <v>4310</v>
      </c>
      <c r="F243" t="str">
        <f>Config!$B$7</f>
        <v>SCH/Connector.SchLib</v>
      </c>
      <c r="G243" t="s">
        <v>14932</v>
      </c>
      <c r="H243" t="s">
        <v>15453</v>
      </c>
      <c r="I243" t="s">
        <v>15704</v>
      </c>
      <c r="K243" s="47" t="s">
        <v>16207</v>
      </c>
      <c r="L243" t="s">
        <v>16199</v>
      </c>
      <c r="M243" t="s">
        <v>16226</v>
      </c>
    </row>
    <row r="244" spans="1:13">
      <c r="A244" t="s">
        <v>16051</v>
      </c>
      <c r="B244" t="s">
        <v>16051</v>
      </c>
      <c r="C244" t="s">
        <v>16052</v>
      </c>
      <c r="D244" t="s">
        <v>4310</v>
      </c>
      <c r="F244" t="str">
        <f>Config!$B$7</f>
        <v>SCH/Connector.SchLib</v>
      </c>
      <c r="G244" t="s">
        <v>14932</v>
      </c>
      <c r="H244" t="s">
        <v>15453</v>
      </c>
      <c r="I244" t="s">
        <v>15705</v>
      </c>
      <c r="K244" s="47" t="s">
        <v>16207</v>
      </c>
      <c r="L244" t="s">
        <v>16216</v>
      </c>
      <c r="M244" t="s">
        <v>16226</v>
      </c>
    </row>
    <row r="245" spans="1:13">
      <c r="A245" t="s">
        <v>16053</v>
      </c>
      <c r="B245" t="s">
        <v>16053</v>
      </c>
      <c r="C245" t="s">
        <v>16054</v>
      </c>
      <c r="D245" t="s">
        <v>4310</v>
      </c>
      <c r="F245" t="str">
        <f>Config!$B$7</f>
        <v>SCH/Connector.SchLib</v>
      </c>
      <c r="G245" t="s">
        <v>14932</v>
      </c>
      <c r="H245" t="s">
        <v>15453</v>
      </c>
      <c r="I245" t="s">
        <v>15706</v>
      </c>
      <c r="K245" s="47" t="s">
        <v>16207</v>
      </c>
      <c r="L245" t="s">
        <v>16200</v>
      </c>
      <c r="M245" t="s">
        <v>16226</v>
      </c>
    </row>
    <row r="246" spans="1:13">
      <c r="A246" t="s">
        <v>16055</v>
      </c>
      <c r="B246" t="s">
        <v>16055</v>
      </c>
      <c r="C246" t="s">
        <v>16056</v>
      </c>
      <c r="D246" t="s">
        <v>4310</v>
      </c>
      <c r="F246" t="str">
        <f>Config!$B$7</f>
        <v>SCH/Connector.SchLib</v>
      </c>
      <c r="G246" t="s">
        <v>14932</v>
      </c>
      <c r="H246" t="s">
        <v>15453</v>
      </c>
      <c r="I246" t="s">
        <v>15707</v>
      </c>
      <c r="K246" s="47" t="s">
        <v>16207</v>
      </c>
      <c r="L246" t="s">
        <v>16202</v>
      </c>
      <c r="M246" t="s">
        <v>16226</v>
      </c>
    </row>
    <row r="247" spans="1:13">
      <c r="A247" t="s">
        <v>16057</v>
      </c>
      <c r="B247" t="s">
        <v>16057</v>
      </c>
      <c r="C247" t="s">
        <v>16058</v>
      </c>
      <c r="D247" t="s">
        <v>4310</v>
      </c>
      <c r="F247" t="str">
        <f>Config!$B$7</f>
        <v>SCH/Connector.SchLib</v>
      </c>
      <c r="G247" t="s">
        <v>14932</v>
      </c>
      <c r="H247" t="s">
        <v>15453</v>
      </c>
      <c r="I247" t="s">
        <v>15708</v>
      </c>
      <c r="K247" s="47" t="s">
        <v>16207</v>
      </c>
      <c r="L247" t="s">
        <v>16204</v>
      </c>
      <c r="M247" t="s">
        <v>16226</v>
      </c>
    </row>
    <row r="248" spans="1:13">
      <c r="A248" t="s">
        <v>16059</v>
      </c>
      <c r="B248" t="s">
        <v>16059</v>
      </c>
      <c r="C248" t="s">
        <v>16060</v>
      </c>
      <c r="D248" t="s">
        <v>4310</v>
      </c>
      <c r="F248" t="str">
        <f>Config!$B$7</f>
        <v>SCH/Connector.SchLib</v>
      </c>
      <c r="G248" t="s">
        <v>14932</v>
      </c>
      <c r="H248" t="s">
        <v>15453</v>
      </c>
      <c r="I248" t="s">
        <v>15709</v>
      </c>
      <c r="K248" s="47" t="s">
        <v>16207</v>
      </c>
      <c r="L248" t="s">
        <v>16207</v>
      </c>
      <c r="M248" t="s">
        <v>16226</v>
      </c>
    </row>
    <row r="249" spans="1:13">
      <c r="A249" t="s">
        <v>16061</v>
      </c>
      <c r="B249" t="s">
        <v>16061</v>
      </c>
      <c r="C249" t="s">
        <v>16062</v>
      </c>
      <c r="D249" t="s">
        <v>4310</v>
      </c>
      <c r="F249" t="str">
        <f>Config!$B$7</f>
        <v>SCH/Connector.SchLib</v>
      </c>
      <c r="G249" t="s">
        <v>14932</v>
      </c>
      <c r="H249" t="s">
        <v>15453</v>
      </c>
      <c r="I249" t="s">
        <v>15710</v>
      </c>
      <c r="K249" s="47" t="s">
        <v>16207</v>
      </c>
      <c r="L249" t="s">
        <v>16217</v>
      </c>
      <c r="M249" t="s">
        <v>16226</v>
      </c>
    </row>
    <row r="250" spans="1:13">
      <c r="A250" t="s">
        <v>16063</v>
      </c>
      <c r="B250" t="s">
        <v>16063</v>
      </c>
      <c r="C250" t="s">
        <v>16064</v>
      </c>
      <c r="D250" t="s">
        <v>4310</v>
      </c>
      <c r="F250" t="str">
        <f>Config!$B$7</f>
        <v>SCH/Connector.SchLib</v>
      </c>
      <c r="G250" t="s">
        <v>14932</v>
      </c>
      <c r="H250" t="s">
        <v>15453</v>
      </c>
      <c r="I250" t="s">
        <v>15711</v>
      </c>
      <c r="K250" s="47" t="s">
        <v>16208</v>
      </c>
      <c r="L250" t="s">
        <v>16199</v>
      </c>
      <c r="M250" t="s">
        <v>16226</v>
      </c>
    </row>
    <row r="251" spans="1:13">
      <c r="A251" t="s">
        <v>16065</v>
      </c>
      <c r="B251" t="s">
        <v>16065</v>
      </c>
      <c r="C251" t="s">
        <v>16066</v>
      </c>
      <c r="D251" t="s">
        <v>4310</v>
      </c>
      <c r="F251" t="str">
        <f>Config!$B$7</f>
        <v>SCH/Connector.SchLib</v>
      </c>
      <c r="G251" t="s">
        <v>14932</v>
      </c>
      <c r="H251" t="s">
        <v>15453</v>
      </c>
      <c r="I251" t="s">
        <v>15712</v>
      </c>
      <c r="K251" s="47" t="s">
        <v>16208</v>
      </c>
      <c r="L251" t="s">
        <v>16200</v>
      </c>
      <c r="M251" t="s">
        <v>16226</v>
      </c>
    </row>
    <row r="252" spans="1:13">
      <c r="A252" t="s">
        <v>16067</v>
      </c>
      <c r="B252" t="s">
        <v>16067</v>
      </c>
      <c r="C252" t="s">
        <v>16068</v>
      </c>
      <c r="D252" t="s">
        <v>4310</v>
      </c>
      <c r="F252" t="str">
        <f>Config!$B$7</f>
        <v>SCH/Connector.SchLib</v>
      </c>
      <c r="G252" t="s">
        <v>14932</v>
      </c>
      <c r="H252" t="s">
        <v>15453</v>
      </c>
      <c r="I252" t="s">
        <v>15713</v>
      </c>
      <c r="K252" s="47" t="s">
        <v>16208</v>
      </c>
      <c r="L252" t="s">
        <v>16212</v>
      </c>
      <c r="M252" t="s">
        <v>16226</v>
      </c>
    </row>
    <row r="253" spans="1:13">
      <c r="A253" t="s">
        <v>16069</v>
      </c>
      <c r="B253" t="s">
        <v>16069</v>
      </c>
      <c r="C253" t="s">
        <v>16070</v>
      </c>
      <c r="D253" t="s">
        <v>4310</v>
      </c>
      <c r="F253" t="str">
        <f>Config!$B$7</f>
        <v>SCH/Connector.SchLib</v>
      </c>
      <c r="G253" t="s">
        <v>14932</v>
      </c>
      <c r="H253" t="s">
        <v>15453</v>
      </c>
      <c r="I253" t="s">
        <v>15714</v>
      </c>
      <c r="K253" s="47" t="s">
        <v>16208</v>
      </c>
      <c r="L253" t="s">
        <v>16205</v>
      </c>
      <c r="M253" t="s">
        <v>16226</v>
      </c>
    </row>
    <row r="254" spans="1:13">
      <c r="A254" t="s">
        <v>16071</v>
      </c>
      <c r="B254" t="s">
        <v>16071</v>
      </c>
      <c r="C254" t="s">
        <v>16072</v>
      </c>
      <c r="D254" t="s">
        <v>4310</v>
      </c>
      <c r="F254" t="str">
        <f>Config!$B$7</f>
        <v>SCH/Connector.SchLib</v>
      </c>
      <c r="G254" t="s">
        <v>14932</v>
      </c>
      <c r="H254" t="s">
        <v>15453</v>
      </c>
      <c r="I254" t="s">
        <v>15715</v>
      </c>
      <c r="K254" s="47" t="s">
        <v>16208</v>
      </c>
      <c r="L254" t="s">
        <v>16213</v>
      </c>
      <c r="M254" t="s">
        <v>16226</v>
      </c>
    </row>
    <row r="255" spans="1:13">
      <c r="A255" t="s">
        <v>16073</v>
      </c>
      <c r="B255" t="s">
        <v>16073</v>
      </c>
      <c r="C255" t="s">
        <v>16074</v>
      </c>
      <c r="D255" t="s">
        <v>4310</v>
      </c>
      <c r="F255" t="str">
        <f>Config!$B$7</f>
        <v>SCH/Connector.SchLib</v>
      </c>
      <c r="G255" t="s">
        <v>14932</v>
      </c>
      <c r="H255" t="s">
        <v>15453</v>
      </c>
      <c r="I255" t="s">
        <v>15716</v>
      </c>
      <c r="K255" s="47" t="s">
        <v>16208</v>
      </c>
      <c r="L255" t="s">
        <v>16218</v>
      </c>
      <c r="M255" t="s">
        <v>16226</v>
      </c>
    </row>
    <row r="257" spans="1:13">
      <c r="A257" t="s">
        <v>15390</v>
      </c>
      <c r="B257" t="s">
        <v>15390</v>
      </c>
      <c r="C257" t="s">
        <v>15391</v>
      </c>
      <c r="D257" t="s">
        <v>4310</v>
      </c>
      <c r="F257" t="str">
        <f>Config!$B$7</f>
        <v>SCH/Connector.SchLib</v>
      </c>
      <c r="G257" t="s">
        <v>14932</v>
      </c>
      <c r="H257" t="s">
        <v>15392</v>
      </c>
      <c r="I257" t="s">
        <v>14962</v>
      </c>
      <c r="K257" s="47" t="s">
        <v>16198</v>
      </c>
      <c r="L257" t="s">
        <v>16198</v>
      </c>
      <c r="M257" t="s">
        <v>16227</v>
      </c>
    </row>
    <row r="258" spans="1:13">
      <c r="A258" t="s">
        <v>15393</v>
      </c>
      <c r="B258" t="s">
        <v>15393</v>
      </c>
      <c r="C258" t="s">
        <v>15394</v>
      </c>
      <c r="D258" t="s">
        <v>4310</v>
      </c>
      <c r="F258" t="str">
        <f>Config!$B$7</f>
        <v>SCH/Connector.SchLib</v>
      </c>
      <c r="G258" t="s">
        <v>14932</v>
      </c>
      <c r="H258" t="s">
        <v>15392</v>
      </c>
      <c r="I258" t="s">
        <v>14963</v>
      </c>
      <c r="K258" s="47" t="s">
        <v>16198</v>
      </c>
      <c r="L258" t="s">
        <v>16199</v>
      </c>
      <c r="M258" t="s">
        <v>16227</v>
      </c>
    </row>
    <row r="259" spans="1:13">
      <c r="A259" t="s">
        <v>15395</v>
      </c>
      <c r="B259" t="s">
        <v>15395</v>
      </c>
      <c r="C259" t="s">
        <v>15396</v>
      </c>
      <c r="D259" t="s">
        <v>4310</v>
      </c>
      <c r="F259" t="str">
        <f>Config!$B$7</f>
        <v>SCH/Connector.SchLib</v>
      </c>
      <c r="G259" t="s">
        <v>14932</v>
      </c>
      <c r="H259" t="s">
        <v>15392</v>
      </c>
      <c r="I259" t="s">
        <v>14934</v>
      </c>
      <c r="K259" s="47" t="s">
        <v>16199</v>
      </c>
      <c r="L259" t="s">
        <v>16198</v>
      </c>
      <c r="M259" t="s">
        <v>16227</v>
      </c>
    </row>
    <row r="260" spans="1:13">
      <c r="A260" t="s">
        <v>15397</v>
      </c>
      <c r="B260" t="s">
        <v>15397</v>
      </c>
      <c r="C260" t="s">
        <v>15398</v>
      </c>
      <c r="D260" t="s">
        <v>4310</v>
      </c>
      <c r="F260" t="str">
        <f>Config!$B$7</f>
        <v>SCH/Connector.SchLib</v>
      </c>
      <c r="G260" t="s">
        <v>14932</v>
      </c>
      <c r="H260" t="s">
        <v>15392</v>
      </c>
      <c r="I260" t="s">
        <v>14935</v>
      </c>
      <c r="K260" s="47" t="s">
        <v>16199</v>
      </c>
      <c r="L260" t="s">
        <v>16199</v>
      </c>
      <c r="M260" t="s">
        <v>16227</v>
      </c>
    </row>
    <row r="261" spans="1:13">
      <c r="A261" t="s">
        <v>15399</v>
      </c>
      <c r="B261" t="s">
        <v>15399</v>
      </c>
      <c r="C261" t="s">
        <v>15400</v>
      </c>
      <c r="D261" t="s">
        <v>4310</v>
      </c>
      <c r="F261" t="str">
        <f>Config!$B$7</f>
        <v>SCH/Connector.SchLib</v>
      </c>
      <c r="G261" t="s">
        <v>14932</v>
      </c>
      <c r="H261" t="s">
        <v>15392</v>
      </c>
      <c r="I261" t="s">
        <v>14936</v>
      </c>
      <c r="K261" s="47" t="s">
        <v>16199</v>
      </c>
      <c r="L261" t="s">
        <v>16200</v>
      </c>
      <c r="M261" t="s">
        <v>16227</v>
      </c>
    </row>
    <row r="262" spans="1:13">
      <c r="A262" t="s">
        <v>15401</v>
      </c>
      <c r="B262" t="s">
        <v>15401</v>
      </c>
      <c r="C262" t="s">
        <v>15402</v>
      </c>
      <c r="D262" t="s">
        <v>4310</v>
      </c>
      <c r="F262" t="str">
        <f>Config!$B$7</f>
        <v>SCH/Connector.SchLib</v>
      </c>
      <c r="G262" t="s">
        <v>14932</v>
      </c>
      <c r="H262" t="s">
        <v>15392</v>
      </c>
      <c r="I262" t="s">
        <v>14937</v>
      </c>
      <c r="K262" s="47" t="s">
        <v>16200</v>
      </c>
      <c r="L262" t="s">
        <v>16198</v>
      </c>
      <c r="M262" t="s">
        <v>16227</v>
      </c>
    </row>
    <row r="263" spans="1:13">
      <c r="A263" t="s">
        <v>15403</v>
      </c>
      <c r="B263" t="s">
        <v>15403</v>
      </c>
      <c r="C263" t="s">
        <v>15404</v>
      </c>
      <c r="D263" t="s">
        <v>4310</v>
      </c>
      <c r="F263" t="str">
        <f>Config!$B$7</f>
        <v>SCH/Connector.SchLib</v>
      </c>
      <c r="G263" t="s">
        <v>14932</v>
      </c>
      <c r="H263" t="s">
        <v>15392</v>
      </c>
      <c r="I263" t="s">
        <v>14938</v>
      </c>
      <c r="K263" s="47" t="s">
        <v>16200</v>
      </c>
      <c r="L263" t="s">
        <v>16199</v>
      </c>
      <c r="M263" t="s">
        <v>16227</v>
      </c>
    </row>
    <row r="264" spans="1:13">
      <c r="A264" t="s">
        <v>15405</v>
      </c>
      <c r="B264" t="s">
        <v>15405</v>
      </c>
      <c r="C264" t="s">
        <v>15406</v>
      </c>
      <c r="D264" t="s">
        <v>4310</v>
      </c>
      <c r="F264" t="str">
        <f>Config!$B$7</f>
        <v>SCH/Connector.SchLib</v>
      </c>
      <c r="G264" t="s">
        <v>14932</v>
      </c>
      <c r="H264" t="s">
        <v>15392</v>
      </c>
      <c r="I264" t="s">
        <v>14939</v>
      </c>
      <c r="K264" s="47" t="s">
        <v>16200</v>
      </c>
      <c r="L264" t="s">
        <v>16200</v>
      </c>
      <c r="M264" t="s">
        <v>16227</v>
      </c>
    </row>
    <row r="265" spans="1:13">
      <c r="A265" t="s">
        <v>15407</v>
      </c>
      <c r="B265" t="s">
        <v>15407</v>
      </c>
      <c r="C265" t="s">
        <v>15408</v>
      </c>
      <c r="D265" t="s">
        <v>4310</v>
      </c>
      <c r="F265" t="str">
        <f>Config!$B$7</f>
        <v>SCH/Connector.SchLib</v>
      </c>
      <c r="G265" t="s">
        <v>14932</v>
      </c>
      <c r="H265" t="s">
        <v>15392</v>
      </c>
      <c r="I265" t="s">
        <v>14940</v>
      </c>
      <c r="K265" s="47" t="s">
        <v>16200</v>
      </c>
      <c r="L265" t="s">
        <v>16202</v>
      </c>
      <c r="M265" t="s">
        <v>16227</v>
      </c>
    </row>
    <row r="266" spans="1:13">
      <c r="A266" t="s">
        <v>15409</v>
      </c>
      <c r="B266" t="s">
        <v>15409</v>
      </c>
      <c r="C266" t="s">
        <v>15410</v>
      </c>
      <c r="D266" t="s">
        <v>4310</v>
      </c>
      <c r="F266" t="str">
        <f>Config!$B$7</f>
        <v>SCH/Connector.SchLib</v>
      </c>
      <c r="G266" t="s">
        <v>14932</v>
      </c>
      <c r="H266" t="s">
        <v>15392</v>
      </c>
      <c r="I266" t="s">
        <v>14941</v>
      </c>
      <c r="K266" s="47" t="s">
        <v>16201</v>
      </c>
      <c r="L266" t="s">
        <v>16209</v>
      </c>
      <c r="M266" t="s">
        <v>16227</v>
      </c>
    </row>
    <row r="267" spans="1:13">
      <c r="A267" t="s">
        <v>15411</v>
      </c>
      <c r="B267" t="s">
        <v>15411</v>
      </c>
      <c r="C267" t="s">
        <v>15412</v>
      </c>
      <c r="D267" t="s">
        <v>4310</v>
      </c>
      <c r="F267" t="str">
        <f>Config!$B$7</f>
        <v>SCH/Connector.SchLib</v>
      </c>
      <c r="G267" t="s">
        <v>14932</v>
      </c>
      <c r="H267" t="s">
        <v>15392</v>
      </c>
      <c r="I267" t="s">
        <v>14942</v>
      </c>
      <c r="K267" s="47" t="s">
        <v>16201</v>
      </c>
      <c r="L267" t="s">
        <v>16201</v>
      </c>
      <c r="M267" t="s">
        <v>16227</v>
      </c>
    </row>
    <row r="268" spans="1:13">
      <c r="A268" t="s">
        <v>15413</v>
      </c>
      <c r="B268" t="s">
        <v>15413</v>
      </c>
      <c r="C268" t="s">
        <v>15414</v>
      </c>
      <c r="D268" t="s">
        <v>4310</v>
      </c>
      <c r="F268" t="str">
        <f>Config!$B$7</f>
        <v>SCH/Connector.SchLib</v>
      </c>
      <c r="G268" t="s">
        <v>14932</v>
      </c>
      <c r="H268" t="s">
        <v>15392</v>
      </c>
      <c r="I268" t="s">
        <v>14943</v>
      </c>
      <c r="K268" s="47" t="s">
        <v>16201</v>
      </c>
      <c r="L268" t="s">
        <v>16203</v>
      </c>
      <c r="M268" t="s">
        <v>16227</v>
      </c>
    </row>
    <row r="269" spans="1:13">
      <c r="A269" t="s">
        <v>15415</v>
      </c>
      <c r="B269" t="s">
        <v>15415</v>
      </c>
      <c r="C269" t="s">
        <v>15416</v>
      </c>
      <c r="D269" t="s">
        <v>4310</v>
      </c>
      <c r="F269" t="str">
        <f>Config!$B$7</f>
        <v>SCH/Connector.SchLib</v>
      </c>
      <c r="G269" t="s">
        <v>14932</v>
      </c>
      <c r="H269" t="s">
        <v>15392</v>
      </c>
      <c r="I269" t="s">
        <v>14944</v>
      </c>
      <c r="K269" s="47" t="s">
        <v>16202</v>
      </c>
      <c r="L269" t="s">
        <v>16199</v>
      </c>
      <c r="M269" t="s">
        <v>16227</v>
      </c>
    </row>
    <row r="270" spans="1:13">
      <c r="A270" t="s">
        <v>15417</v>
      </c>
      <c r="B270" t="s">
        <v>15417</v>
      </c>
      <c r="C270" t="s">
        <v>15418</v>
      </c>
      <c r="D270" t="s">
        <v>4310</v>
      </c>
      <c r="F270" t="str">
        <f>Config!$B$7</f>
        <v>SCH/Connector.SchLib</v>
      </c>
      <c r="G270" t="s">
        <v>14932</v>
      </c>
      <c r="H270" t="s">
        <v>15392</v>
      </c>
      <c r="I270" t="s">
        <v>14945</v>
      </c>
      <c r="K270" s="47" t="s">
        <v>16202</v>
      </c>
      <c r="L270" t="s">
        <v>16200</v>
      </c>
      <c r="M270" t="s">
        <v>16227</v>
      </c>
    </row>
    <row r="271" spans="1:13">
      <c r="A271" t="s">
        <v>15419</v>
      </c>
      <c r="B271" t="s">
        <v>15419</v>
      </c>
      <c r="C271" t="s">
        <v>15420</v>
      </c>
      <c r="D271" t="s">
        <v>4310</v>
      </c>
      <c r="F271" t="str">
        <f>Config!$B$7</f>
        <v>SCH/Connector.SchLib</v>
      </c>
      <c r="G271" t="s">
        <v>14932</v>
      </c>
      <c r="H271" t="s">
        <v>15392</v>
      </c>
      <c r="I271" t="s">
        <v>14946</v>
      </c>
      <c r="K271" s="47" t="s">
        <v>16202</v>
      </c>
      <c r="L271" t="s">
        <v>16202</v>
      </c>
      <c r="M271" t="s">
        <v>16227</v>
      </c>
    </row>
    <row r="272" spans="1:13">
      <c r="A272" t="s">
        <v>15421</v>
      </c>
      <c r="B272" t="s">
        <v>15421</v>
      </c>
      <c r="C272" t="s">
        <v>15422</v>
      </c>
      <c r="D272" t="s">
        <v>4310</v>
      </c>
      <c r="F272" t="str">
        <f>Config!$B$7</f>
        <v>SCH/Connector.SchLib</v>
      </c>
      <c r="G272" t="s">
        <v>14932</v>
      </c>
      <c r="H272" t="s">
        <v>15392</v>
      </c>
      <c r="I272" t="s">
        <v>14947</v>
      </c>
      <c r="K272" s="47" t="s">
        <v>16202</v>
      </c>
      <c r="L272" t="s">
        <v>16204</v>
      </c>
      <c r="M272" t="s">
        <v>16227</v>
      </c>
    </row>
    <row r="273" spans="1:13">
      <c r="A273" t="s">
        <v>15423</v>
      </c>
      <c r="B273" t="s">
        <v>15423</v>
      </c>
      <c r="C273" t="s">
        <v>15424</v>
      </c>
      <c r="D273" t="s">
        <v>4310</v>
      </c>
      <c r="F273" t="str">
        <f>Config!$B$7</f>
        <v>SCH/Connector.SchLib</v>
      </c>
      <c r="G273" t="s">
        <v>14932</v>
      </c>
      <c r="H273" t="s">
        <v>15392</v>
      </c>
      <c r="I273" t="s">
        <v>14948</v>
      </c>
      <c r="K273" s="47" t="s">
        <v>16203</v>
      </c>
      <c r="L273" t="s">
        <v>16209</v>
      </c>
      <c r="M273" t="s">
        <v>16227</v>
      </c>
    </row>
    <row r="274" spans="1:13">
      <c r="A274" t="s">
        <v>15425</v>
      </c>
      <c r="B274" t="s">
        <v>15425</v>
      </c>
      <c r="C274" t="s">
        <v>15426</v>
      </c>
      <c r="D274" t="s">
        <v>4310</v>
      </c>
      <c r="F274" t="str">
        <f>Config!$B$7</f>
        <v>SCH/Connector.SchLib</v>
      </c>
      <c r="G274" t="s">
        <v>14932</v>
      </c>
      <c r="H274" t="s">
        <v>15392</v>
      </c>
      <c r="I274" t="s">
        <v>14949</v>
      </c>
      <c r="K274" s="47" t="s">
        <v>16203</v>
      </c>
      <c r="L274" t="s">
        <v>16201</v>
      </c>
      <c r="M274" t="s">
        <v>16227</v>
      </c>
    </row>
    <row r="275" spans="1:13">
      <c r="A275" t="s">
        <v>15427</v>
      </c>
      <c r="B275" t="s">
        <v>15427</v>
      </c>
      <c r="C275" t="s">
        <v>15428</v>
      </c>
      <c r="D275" t="s">
        <v>4310</v>
      </c>
      <c r="F275" t="str">
        <f>Config!$B$7</f>
        <v>SCH/Connector.SchLib</v>
      </c>
      <c r="G275" t="s">
        <v>14932</v>
      </c>
      <c r="H275" t="s">
        <v>15392</v>
      </c>
      <c r="I275" t="s">
        <v>14950</v>
      </c>
      <c r="K275" s="47" t="s">
        <v>16203</v>
      </c>
      <c r="L275" t="s">
        <v>16203</v>
      </c>
      <c r="M275" t="s">
        <v>16227</v>
      </c>
    </row>
    <row r="276" spans="1:13">
      <c r="A276" t="s">
        <v>15429</v>
      </c>
      <c r="B276" t="s">
        <v>15429</v>
      </c>
      <c r="C276" t="s">
        <v>15430</v>
      </c>
      <c r="D276" t="s">
        <v>4310</v>
      </c>
      <c r="F276" t="str">
        <f>Config!$B$7</f>
        <v>SCH/Connector.SchLib</v>
      </c>
      <c r="G276" t="s">
        <v>14932</v>
      </c>
      <c r="H276" t="s">
        <v>15392</v>
      </c>
      <c r="I276" t="s">
        <v>14951</v>
      </c>
      <c r="K276" s="47" t="s">
        <v>16203</v>
      </c>
      <c r="L276" t="s">
        <v>16206</v>
      </c>
      <c r="M276" t="s">
        <v>16227</v>
      </c>
    </row>
    <row r="277" spans="1:13">
      <c r="A277" t="s">
        <v>15431</v>
      </c>
      <c r="B277" t="s">
        <v>15431</v>
      </c>
      <c r="C277" t="s">
        <v>15432</v>
      </c>
      <c r="D277" t="s">
        <v>4310</v>
      </c>
      <c r="F277" t="str">
        <f>Config!$B$7</f>
        <v>SCH/Connector.SchLib</v>
      </c>
      <c r="G277" t="s">
        <v>14932</v>
      </c>
      <c r="H277" t="s">
        <v>15392</v>
      </c>
      <c r="I277" t="s">
        <v>14952</v>
      </c>
      <c r="K277" s="47" t="s">
        <v>16204</v>
      </c>
      <c r="L277" t="s">
        <v>16210</v>
      </c>
      <c r="M277" t="s">
        <v>16227</v>
      </c>
    </row>
    <row r="278" spans="1:13">
      <c r="A278" t="s">
        <v>15433</v>
      </c>
      <c r="B278" t="s">
        <v>15433</v>
      </c>
      <c r="C278" t="s">
        <v>15434</v>
      </c>
      <c r="D278" t="s">
        <v>4310</v>
      </c>
      <c r="F278" t="str">
        <f>Config!$B$7</f>
        <v>SCH/Connector.SchLib</v>
      </c>
      <c r="G278" t="s">
        <v>14932</v>
      </c>
      <c r="H278" t="s">
        <v>15392</v>
      </c>
      <c r="I278" t="s">
        <v>14953</v>
      </c>
      <c r="K278" s="47" t="s">
        <v>16204</v>
      </c>
      <c r="L278" t="s">
        <v>16200</v>
      </c>
      <c r="M278" t="s">
        <v>16227</v>
      </c>
    </row>
    <row r="279" spans="1:13">
      <c r="A279" t="s">
        <v>15435</v>
      </c>
      <c r="B279" t="s">
        <v>15435</v>
      </c>
      <c r="C279" t="s">
        <v>15436</v>
      </c>
      <c r="D279" t="s">
        <v>4310</v>
      </c>
      <c r="F279" t="str">
        <f>Config!$B$7</f>
        <v>SCH/Connector.SchLib</v>
      </c>
      <c r="G279" t="s">
        <v>14932</v>
      </c>
      <c r="H279" t="s">
        <v>15392</v>
      </c>
      <c r="I279" t="s">
        <v>14954</v>
      </c>
      <c r="K279" s="47" t="s">
        <v>16204</v>
      </c>
      <c r="L279" t="s">
        <v>16202</v>
      </c>
      <c r="M279" t="s">
        <v>16227</v>
      </c>
    </row>
    <row r="280" spans="1:13">
      <c r="A280" t="s">
        <v>15437</v>
      </c>
      <c r="B280" t="s">
        <v>15437</v>
      </c>
      <c r="C280" t="s">
        <v>15438</v>
      </c>
      <c r="D280" t="s">
        <v>4310</v>
      </c>
      <c r="F280" t="str">
        <f>Config!$B$7</f>
        <v>SCH/Connector.SchLib</v>
      </c>
      <c r="G280" t="s">
        <v>14932</v>
      </c>
      <c r="H280" t="s">
        <v>15392</v>
      </c>
      <c r="I280" t="s">
        <v>14955</v>
      </c>
      <c r="K280" s="47" t="s">
        <v>16204</v>
      </c>
      <c r="L280" t="s">
        <v>16204</v>
      </c>
      <c r="M280" t="s">
        <v>16227</v>
      </c>
    </row>
    <row r="281" spans="1:13">
      <c r="A281" t="s">
        <v>15439</v>
      </c>
      <c r="B281" t="s">
        <v>15439</v>
      </c>
      <c r="C281" t="s">
        <v>15440</v>
      </c>
      <c r="D281" t="s">
        <v>4310</v>
      </c>
      <c r="F281" t="str">
        <f>Config!$B$7</f>
        <v>SCH/Connector.SchLib</v>
      </c>
      <c r="G281" t="s">
        <v>14932</v>
      </c>
      <c r="H281" t="s">
        <v>15392</v>
      </c>
      <c r="I281" t="s">
        <v>14956</v>
      </c>
      <c r="K281" s="47" t="s">
        <v>16204</v>
      </c>
      <c r="L281" t="s">
        <v>16207</v>
      </c>
      <c r="M281" t="s">
        <v>16227</v>
      </c>
    </row>
    <row r="282" spans="1:13">
      <c r="A282" t="s">
        <v>15441</v>
      </c>
      <c r="B282" t="s">
        <v>15441</v>
      </c>
      <c r="C282" t="s">
        <v>15442</v>
      </c>
      <c r="D282" t="s">
        <v>4310</v>
      </c>
      <c r="F282" t="str">
        <f>Config!$B$7</f>
        <v>SCH/Connector.SchLib</v>
      </c>
      <c r="G282" t="s">
        <v>14932</v>
      </c>
      <c r="H282" t="s">
        <v>15392</v>
      </c>
      <c r="I282" t="s">
        <v>14957</v>
      </c>
      <c r="K282" s="47" t="s">
        <v>16205</v>
      </c>
      <c r="L282" t="s">
        <v>16199</v>
      </c>
      <c r="M282" t="s">
        <v>16227</v>
      </c>
    </row>
    <row r="283" spans="1:13">
      <c r="A283" t="s">
        <v>15995</v>
      </c>
      <c r="B283" t="s">
        <v>15995</v>
      </c>
      <c r="C283" t="s">
        <v>15996</v>
      </c>
      <c r="D283" t="s">
        <v>4310</v>
      </c>
      <c r="F283" t="str">
        <f>Config!$B$7</f>
        <v>SCH/Connector.SchLib</v>
      </c>
      <c r="G283" t="s">
        <v>14932</v>
      </c>
      <c r="H283" t="s">
        <v>15392</v>
      </c>
      <c r="I283" t="s">
        <v>15695</v>
      </c>
      <c r="K283" s="47" t="s">
        <v>16205</v>
      </c>
      <c r="L283" t="s">
        <v>16200</v>
      </c>
      <c r="M283" t="s">
        <v>16227</v>
      </c>
    </row>
    <row r="284" spans="1:13">
      <c r="A284" t="s">
        <v>15443</v>
      </c>
      <c r="B284" t="s">
        <v>15443</v>
      </c>
      <c r="C284" t="s">
        <v>15444</v>
      </c>
      <c r="D284" t="s">
        <v>4310</v>
      </c>
      <c r="F284" t="str">
        <f>Config!$B$7</f>
        <v>SCH/Connector.SchLib</v>
      </c>
      <c r="G284" t="s">
        <v>14932</v>
      </c>
      <c r="H284" t="s">
        <v>15392</v>
      </c>
      <c r="I284" t="s">
        <v>14958</v>
      </c>
      <c r="K284" s="47" t="s">
        <v>16205</v>
      </c>
      <c r="L284" t="s">
        <v>16211</v>
      </c>
      <c r="M284" t="s">
        <v>16227</v>
      </c>
    </row>
    <row r="285" spans="1:13">
      <c r="A285" t="s">
        <v>15445</v>
      </c>
      <c r="B285" t="s">
        <v>15445</v>
      </c>
      <c r="C285" t="s">
        <v>15446</v>
      </c>
      <c r="D285" t="s">
        <v>4310</v>
      </c>
      <c r="F285" t="str">
        <f>Config!$B$7</f>
        <v>SCH/Connector.SchLib</v>
      </c>
      <c r="G285" t="s">
        <v>14932</v>
      </c>
      <c r="H285" t="s">
        <v>15392</v>
      </c>
      <c r="I285" t="s">
        <v>14959</v>
      </c>
      <c r="K285" s="47" t="s">
        <v>16205</v>
      </c>
      <c r="L285" t="s">
        <v>16212</v>
      </c>
      <c r="M285" t="s">
        <v>16227</v>
      </c>
    </row>
    <row r="286" spans="1:13">
      <c r="A286" t="s">
        <v>15447</v>
      </c>
      <c r="B286" t="s">
        <v>15447</v>
      </c>
      <c r="C286" t="s">
        <v>15448</v>
      </c>
      <c r="D286" t="s">
        <v>4310</v>
      </c>
      <c r="F286" t="str">
        <f>Config!$B$7</f>
        <v>SCH/Connector.SchLib</v>
      </c>
      <c r="G286" t="s">
        <v>14932</v>
      </c>
      <c r="H286" t="s">
        <v>15392</v>
      </c>
      <c r="I286" t="s">
        <v>14960</v>
      </c>
      <c r="K286" s="47" t="s">
        <v>16205</v>
      </c>
      <c r="L286" t="s">
        <v>16205</v>
      </c>
      <c r="M286" t="s">
        <v>16227</v>
      </c>
    </row>
    <row r="287" spans="1:13">
      <c r="A287" t="s">
        <v>15449</v>
      </c>
      <c r="B287" t="s">
        <v>15449</v>
      </c>
      <c r="C287" t="s">
        <v>15450</v>
      </c>
      <c r="D287" t="s">
        <v>4310</v>
      </c>
      <c r="F287" t="str">
        <f>Config!$B$7</f>
        <v>SCH/Connector.SchLib</v>
      </c>
      <c r="G287" t="s">
        <v>14932</v>
      </c>
      <c r="H287" t="s">
        <v>15392</v>
      </c>
      <c r="I287" t="s">
        <v>14961</v>
      </c>
      <c r="K287" s="47" t="s">
        <v>16205</v>
      </c>
      <c r="L287" t="s">
        <v>16213</v>
      </c>
      <c r="M287" t="s">
        <v>16227</v>
      </c>
    </row>
    <row r="288" spans="1:13">
      <c r="A288" t="s">
        <v>15997</v>
      </c>
      <c r="B288" t="s">
        <v>15997</v>
      </c>
      <c r="C288" t="s">
        <v>15998</v>
      </c>
      <c r="D288" t="s">
        <v>4310</v>
      </c>
      <c r="F288" t="str">
        <f>Config!$B$7</f>
        <v>SCH/Connector.SchLib</v>
      </c>
      <c r="G288" t="s">
        <v>14932</v>
      </c>
      <c r="H288" t="s">
        <v>15392</v>
      </c>
      <c r="I288" t="s">
        <v>15698</v>
      </c>
      <c r="K288" s="47" t="s">
        <v>16206</v>
      </c>
      <c r="L288" t="s">
        <v>16214</v>
      </c>
      <c r="M288" t="s">
        <v>16227</v>
      </c>
    </row>
    <row r="289" spans="1:13">
      <c r="A289" t="s">
        <v>15999</v>
      </c>
      <c r="B289" t="s">
        <v>15999</v>
      </c>
      <c r="C289" t="s">
        <v>16000</v>
      </c>
      <c r="D289" t="s">
        <v>4310</v>
      </c>
      <c r="F289" t="str">
        <f>Config!$B$7</f>
        <v>SCH/Connector.SchLib</v>
      </c>
      <c r="G289" t="s">
        <v>14932</v>
      </c>
      <c r="H289" t="s">
        <v>15392</v>
      </c>
      <c r="I289" t="s">
        <v>15699</v>
      </c>
      <c r="K289" s="47" t="s">
        <v>16206</v>
      </c>
      <c r="L289" t="s">
        <v>16200</v>
      </c>
      <c r="M289" t="s">
        <v>16227</v>
      </c>
    </row>
    <row r="290" spans="1:13">
      <c r="A290" t="s">
        <v>16001</v>
      </c>
      <c r="B290" t="s">
        <v>16001</v>
      </c>
      <c r="C290" t="s">
        <v>16002</v>
      </c>
      <c r="D290" t="s">
        <v>4310</v>
      </c>
      <c r="F290" t="str">
        <f>Config!$B$7</f>
        <v>SCH/Connector.SchLib</v>
      </c>
      <c r="G290" t="s">
        <v>14932</v>
      </c>
      <c r="H290" t="s">
        <v>15392</v>
      </c>
      <c r="I290" t="s">
        <v>15700</v>
      </c>
      <c r="K290" s="47" t="s">
        <v>16206</v>
      </c>
      <c r="L290" t="s">
        <v>16201</v>
      </c>
      <c r="M290" t="s">
        <v>16227</v>
      </c>
    </row>
    <row r="291" spans="1:13">
      <c r="A291" t="s">
        <v>16003</v>
      </c>
      <c r="B291" t="s">
        <v>16003</v>
      </c>
      <c r="C291" t="s">
        <v>16004</v>
      </c>
      <c r="D291" t="s">
        <v>4310</v>
      </c>
      <c r="F291" t="str">
        <f>Config!$B$7</f>
        <v>SCH/Connector.SchLib</v>
      </c>
      <c r="G291" t="s">
        <v>14932</v>
      </c>
      <c r="H291" t="s">
        <v>15392</v>
      </c>
      <c r="I291" t="s">
        <v>15701</v>
      </c>
      <c r="K291" s="47" t="s">
        <v>16206</v>
      </c>
      <c r="L291" t="s">
        <v>16203</v>
      </c>
      <c r="M291" t="s">
        <v>16227</v>
      </c>
    </row>
    <row r="292" spans="1:13">
      <c r="A292" t="s">
        <v>16005</v>
      </c>
      <c r="B292" t="s">
        <v>16005</v>
      </c>
      <c r="C292" t="s">
        <v>16006</v>
      </c>
      <c r="D292" t="s">
        <v>4310</v>
      </c>
      <c r="F292" t="str">
        <f>Config!$B$7</f>
        <v>SCH/Connector.SchLib</v>
      </c>
      <c r="G292" t="s">
        <v>14932</v>
      </c>
      <c r="H292" t="s">
        <v>15392</v>
      </c>
      <c r="I292" t="s">
        <v>15702</v>
      </c>
      <c r="K292" s="47" t="s">
        <v>16206</v>
      </c>
      <c r="L292" t="s">
        <v>16206</v>
      </c>
      <c r="M292" t="s">
        <v>16227</v>
      </c>
    </row>
    <row r="293" spans="1:13">
      <c r="A293" t="s">
        <v>16007</v>
      </c>
      <c r="B293" t="s">
        <v>16007</v>
      </c>
      <c r="C293" t="s">
        <v>16008</v>
      </c>
      <c r="D293" t="s">
        <v>4310</v>
      </c>
      <c r="F293" t="str">
        <f>Config!$B$7</f>
        <v>SCH/Connector.SchLib</v>
      </c>
      <c r="G293" t="s">
        <v>14932</v>
      </c>
      <c r="H293" t="s">
        <v>15392</v>
      </c>
      <c r="I293" t="s">
        <v>15703</v>
      </c>
      <c r="K293" s="47" t="s">
        <v>16206</v>
      </c>
      <c r="L293" t="s">
        <v>16215</v>
      </c>
      <c r="M293" t="s">
        <v>16227</v>
      </c>
    </row>
    <row r="294" spans="1:13">
      <c r="A294" t="s">
        <v>16009</v>
      </c>
      <c r="B294" t="s">
        <v>16009</v>
      </c>
      <c r="C294" t="s">
        <v>16010</v>
      </c>
      <c r="D294" t="s">
        <v>4310</v>
      </c>
      <c r="F294" t="str">
        <f>Config!$B$7</f>
        <v>SCH/Connector.SchLib</v>
      </c>
      <c r="G294" t="s">
        <v>14932</v>
      </c>
      <c r="H294" t="s">
        <v>15392</v>
      </c>
      <c r="I294" t="s">
        <v>15704</v>
      </c>
      <c r="K294" s="47" t="s">
        <v>16207</v>
      </c>
      <c r="L294" t="s">
        <v>16199</v>
      </c>
      <c r="M294" t="s">
        <v>16227</v>
      </c>
    </row>
    <row r="295" spans="1:13">
      <c r="A295" t="s">
        <v>16011</v>
      </c>
      <c r="B295" t="s">
        <v>16011</v>
      </c>
      <c r="C295" t="s">
        <v>16012</v>
      </c>
      <c r="D295" t="s">
        <v>4310</v>
      </c>
      <c r="F295" t="str">
        <f>Config!$B$7</f>
        <v>SCH/Connector.SchLib</v>
      </c>
      <c r="G295" t="s">
        <v>14932</v>
      </c>
      <c r="H295" t="s">
        <v>15392</v>
      </c>
      <c r="I295" t="s">
        <v>15705</v>
      </c>
      <c r="K295" s="47" t="s">
        <v>16207</v>
      </c>
      <c r="L295" t="s">
        <v>16216</v>
      </c>
      <c r="M295" t="s">
        <v>16227</v>
      </c>
    </row>
    <row r="296" spans="1:13">
      <c r="A296" t="s">
        <v>16013</v>
      </c>
      <c r="B296" t="s">
        <v>16013</v>
      </c>
      <c r="C296" t="s">
        <v>16014</v>
      </c>
      <c r="D296" t="s">
        <v>4310</v>
      </c>
      <c r="F296" t="str">
        <f>Config!$B$7</f>
        <v>SCH/Connector.SchLib</v>
      </c>
      <c r="G296" t="s">
        <v>14932</v>
      </c>
      <c r="H296" t="s">
        <v>15392</v>
      </c>
      <c r="I296" t="s">
        <v>15706</v>
      </c>
      <c r="K296" s="47" t="s">
        <v>16207</v>
      </c>
      <c r="L296" t="s">
        <v>16200</v>
      </c>
      <c r="M296" t="s">
        <v>16227</v>
      </c>
    </row>
    <row r="297" spans="1:13">
      <c r="A297" t="s">
        <v>16015</v>
      </c>
      <c r="B297" t="s">
        <v>16015</v>
      </c>
      <c r="C297" t="s">
        <v>16016</v>
      </c>
      <c r="D297" t="s">
        <v>4310</v>
      </c>
      <c r="F297" t="str">
        <f>Config!$B$7</f>
        <v>SCH/Connector.SchLib</v>
      </c>
      <c r="G297" t="s">
        <v>14932</v>
      </c>
      <c r="H297" t="s">
        <v>15392</v>
      </c>
      <c r="I297" t="s">
        <v>15707</v>
      </c>
      <c r="K297" s="47" t="s">
        <v>16207</v>
      </c>
      <c r="L297" t="s">
        <v>16202</v>
      </c>
      <c r="M297" t="s">
        <v>16227</v>
      </c>
    </row>
    <row r="298" spans="1:13">
      <c r="A298" t="s">
        <v>16017</v>
      </c>
      <c r="B298" t="s">
        <v>16017</v>
      </c>
      <c r="C298" t="s">
        <v>16018</v>
      </c>
      <c r="D298" t="s">
        <v>4310</v>
      </c>
      <c r="F298" t="str">
        <f>Config!$B$7</f>
        <v>SCH/Connector.SchLib</v>
      </c>
      <c r="G298" t="s">
        <v>14932</v>
      </c>
      <c r="H298" t="s">
        <v>15392</v>
      </c>
      <c r="I298" t="s">
        <v>15708</v>
      </c>
      <c r="K298" s="47" t="s">
        <v>16207</v>
      </c>
      <c r="L298" t="s">
        <v>16204</v>
      </c>
      <c r="M298" t="s">
        <v>16227</v>
      </c>
    </row>
    <row r="299" spans="1:13">
      <c r="A299" t="s">
        <v>16019</v>
      </c>
      <c r="B299" t="s">
        <v>16019</v>
      </c>
      <c r="C299" t="s">
        <v>16020</v>
      </c>
      <c r="D299" t="s">
        <v>4310</v>
      </c>
      <c r="F299" t="str">
        <f>Config!$B$7</f>
        <v>SCH/Connector.SchLib</v>
      </c>
      <c r="G299" t="s">
        <v>14932</v>
      </c>
      <c r="H299" t="s">
        <v>15392</v>
      </c>
      <c r="I299" t="s">
        <v>15709</v>
      </c>
      <c r="K299" s="47" t="s">
        <v>16207</v>
      </c>
      <c r="L299" t="s">
        <v>16207</v>
      </c>
      <c r="M299" t="s">
        <v>16227</v>
      </c>
    </row>
    <row r="300" spans="1:13">
      <c r="A300" t="s">
        <v>16021</v>
      </c>
      <c r="B300" t="s">
        <v>16021</v>
      </c>
      <c r="C300" t="s">
        <v>16022</v>
      </c>
      <c r="D300" t="s">
        <v>4310</v>
      </c>
      <c r="F300" t="str">
        <f>Config!$B$7</f>
        <v>SCH/Connector.SchLib</v>
      </c>
      <c r="G300" t="s">
        <v>14932</v>
      </c>
      <c r="H300" t="s">
        <v>15392</v>
      </c>
      <c r="I300" t="s">
        <v>15710</v>
      </c>
      <c r="K300" s="47" t="s">
        <v>16207</v>
      </c>
      <c r="L300" t="s">
        <v>16217</v>
      </c>
      <c r="M300" t="s">
        <v>16227</v>
      </c>
    </row>
    <row r="301" spans="1:13">
      <c r="A301" t="s">
        <v>16023</v>
      </c>
      <c r="B301" t="s">
        <v>16023</v>
      </c>
      <c r="C301" t="s">
        <v>16024</v>
      </c>
      <c r="D301" t="s">
        <v>4310</v>
      </c>
      <c r="F301" t="str">
        <f>Config!$B$7</f>
        <v>SCH/Connector.SchLib</v>
      </c>
      <c r="G301" t="s">
        <v>14932</v>
      </c>
      <c r="H301" t="s">
        <v>15392</v>
      </c>
      <c r="I301" t="s">
        <v>15711</v>
      </c>
      <c r="K301" s="47" t="s">
        <v>16208</v>
      </c>
      <c r="L301" t="s">
        <v>16199</v>
      </c>
      <c r="M301" t="s">
        <v>16227</v>
      </c>
    </row>
    <row r="302" spans="1:13">
      <c r="A302" t="s">
        <v>16025</v>
      </c>
      <c r="B302" t="s">
        <v>16025</v>
      </c>
      <c r="C302" t="s">
        <v>16026</v>
      </c>
      <c r="D302" t="s">
        <v>4310</v>
      </c>
      <c r="F302" t="str">
        <f>Config!$B$7</f>
        <v>SCH/Connector.SchLib</v>
      </c>
      <c r="G302" t="s">
        <v>14932</v>
      </c>
      <c r="H302" t="s">
        <v>15392</v>
      </c>
      <c r="I302" t="s">
        <v>15712</v>
      </c>
      <c r="K302" s="47" t="s">
        <v>16208</v>
      </c>
      <c r="L302" t="s">
        <v>16200</v>
      </c>
      <c r="M302" t="s">
        <v>16227</v>
      </c>
    </row>
    <row r="303" spans="1:13">
      <c r="A303" t="s">
        <v>16027</v>
      </c>
      <c r="B303" t="s">
        <v>16027</v>
      </c>
      <c r="C303" t="s">
        <v>16028</v>
      </c>
      <c r="D303" t="s">
        <v>4310</v>
      </c>
      <c r="F303" t="str">
        <f>Config!$B$7</f>
        <v>SCH/Connector.SchLib</v>
      </c>
      <c r="G303" t="s">
        <v>14932</v>
      </c>
      <c r="H303" t="s">
        <v>15392</v>
      </c>
      <c r="I303" t="s">
        <v>15713</v>
      </c>
      <c r="K303" s="47" t="s">
        <v>16208</v>
      </c>
      <c r="L303" t="s">
        <v>16212</v>
      </c>
      <c r="M303" t="s">
        <v>16227</v>
      </c>
    </row>
    <row r="304" spans="1:13">
      <c r="A304" t="s">
        <v>16029</v>
      </c>
      <c r="B304" t="s">
        <v>16029</v>
      </c>
      <c r="C304" t="s">
        <v>16030</v>
      </c>
      <c r="D304" t="s">
        <v>4310</v>
      </c>
      <c r="F304" t="str">
        <f>Config!$B$7</f>
        <v>SCH/Connector.SchLib</v>
      </c>
      <c r="G304" t="s">
        <v>14932</v>
      </c>
      <c r="H304" t="s">
        <v>15392</v>
      </c>
      <c r="I304" t="s">
        <v>15714</v>
      </c>
      <c r="K304" s="47" t="s">
        <v>16208</v>
      </c>
      <c r="L304" t="s">
        <v>16205</v>
      </c>
      <c r="M304" t="s">
        <v>16227</v>
      </c>
    </row>
    <row r="305" spans="1:13">
      <c r="A305" t="s">
        <v>16031</v>
      </c>
      <c r="B305" t="s">
        <v>16031</v>
      </c>
      <c r="C305" t="s">
        <v>16032</v>
      </c>
      <c r="D305" t="s">
        <v>4310</v>
      </c>
      <c r="F305" t="str">
        <f>Config!$B$7</f>
        <v>SCH/Connector.SchLib</v>
      </c>
      <c r="G305" t="s">
        <v>14932</v>
      </c>
      <c r="H305" t="s">
        <v>15392</v>
      </c>
      <c r="I305" t="s">
        <v>15715</v>
      </c>
      <c r="K305" s="47" t="s">
        <v>16208</v>
      </c>
      <c r="L305" t="s">
        <v>16213</v>
      </c>
      <c r="M305" t="s">
        <v>16227</v>
      </c>
    </row>
    <row r="306" spans="1:13">
      <c r="A306" t="s">
        <v>16033</v>
      </c>
      <c r="B306" t="s">
        <v>16033</v>
      </c>
      <c r="C306" t="s">
        <v>16034</v>
      </c>
      <c r="D306" t="s">
        <v>4310</v>
      </c>
      <c r="F306" t="str">
        <f>Config!$B$7</f>
        <v>SCH/Connector.SchLib</v>
      </c>
      <c r="G306" t="s">
        <v>14932</v>
      </c>
      <c r="H306" t="s">
        <v>15392</v>
      </c>
      <c r="I306" t="s">
        <v>15716</v>
      </c>
      <c r="K306" s="47" t="s">
        <v>16208</v>
      </c>
      <c r="L306" t="s">
        <v>16218</v>
      </c>
      <c r="M306" t="s">
        <v>16227</v>
      </c>
    </row>
    <row r="308" spans="1:13">
      <c r="A308" t="s">
        <v>15329</v>
      </c>
      <c r="B308" t="s">
        <v>15329</v>
      </c>
      <c r="C308" t="s">
        <v>15330</v>
      </c>
      <c r="D308" t="s">
        <v>4310</v>
      </c>
      <c r="F308" t="str">
        <f>Config!$B$7</f>
        <v>SCH/Connector.SchLib</v>
      </c>
      <c r="G308" t="s">
        <v>14932</v>
      </c>
      <c r="H308" t="s">
        <v>15331</v>
      </c>
      <c r="I308" t="s">
        <v>14962</v>
      </c>
      <c r="K308" s="47" t="s">
        <v>16198</v>
      </c>
      <c r="L308" t="s">
        <v>16198</v>
      </c>
      <c r="M308" t="s">
        <v>16228</v>
      </c>
    </row>
    <row r="309" spans="1:13">
      <c r="A309" t="s">
        <v>15332</v>
      </c>
      <c r="B309" t="s">
        <v>15332</v>
      </c>
      <c r="C309" t="s">
        <v>15333</v>
      </c>
      <c r="D309" t="s">
        <v>4310</v>
      </c>
      <c r="F309" t="str">
        <f>Config!$B$7</f>
        <v>SCH/Connector.SchLib</v>
      </c>
      <c r="G309" t="s">
        <v>14932</v>
      </c>
      <c r="H309" t="s">
        <v>15331</v>
      </c>
      <c r="I309" t="s">
        <v>14963</v>
      </c>
      <c r="K309" s="47" t="s">
        <v>16198</v>
      </c>
      <c r="L309" t="s">
        <v>16199</v>
      </c>
      <c r="M309" t="s">
        <v>16228</v>
      </c>
    </row>
    <row r="310" spans="1:13">
      <c r="A310" t="s">
        <v>15334</v>
      </c>
      <c r="B310" t="s">
        <v>15334</v>
      </c>
      <c r="C310" t="s">
        <v>15335</v>
      </c>
      <c r="D310" t="s">
        <v>4310</v>
      </c>
      <c r="F310" t="str">
        <f>Config!$B$7</f>
        <v>SCH/Connector.SchLib</v>
      </c>
      <c r="G310" t="s">
        <v>14932</v>
      </c>
      <c r="H310" t="s">
        <v>15331</v>
      </c>
      <c r="I310" t="s">
        <v>14934</v>
      </c>
      <c r="K310" s="47" t="s">
        <v>16199</v>
      </c>
      <c r="L310" t="s">
        <v>16198</v>
      </c>
      <c r="M310" t="s">
        <v>16228</v>
      </c>
    </row>
    <row r="311" spans="1:13">
      <c r="A311" t="s">
        <v>15336</v>
      </c>
      <c r="B311" t="s">
        <v>15336</v>
      </c>
      <c r="C311" t="s">
        <v>15337</v>
      </c>
      <c r="D311" t="s">
        <v>4310</v>
      </c>
      <c r="F311" t="str">
        <f>Config!$B$7</f>
        <v>SCH/Connector.SchLib</v>
      </c>
      <c r="G311" t="s">
        <v>14932</v>
      </c>
      <c r="H311" t="s">
        <v>15331</v>
      </c>
      <c r="I311" t="s">
        <v>14935</v>
      </c>
      <c r="K311" s="47" t="s">
        <v>16199</v>
      </c>
      <c r="L311" t="s">
        <v>16199</v>
      </c>
      <c r="M311" t="s">
        <v>16228</v>
      </c>
    </row>
    <row r="312" spans="1:13">
      <c r="A312" t="s">
        <v>15338</v>
      </c>
      <c r="B312" t="s">
        <v>15338</v>
      </c>
      <c r="C312" t="s">
        <v>15339</v>
      </c>
      <c r="D312" t="s">
        <v>4310</v>
      </c>
      <c r="F312" t="str">
        <f>Config!$B$7</f>
        <v>SCH/Connector.SchLib</v>
      </c>
      <c r="G312" t="s">
        <v>14932</v>
      </c>
      <c r="H312" t="s">
        <v>15331</v>
      </c>
      <c r="I312" t="s">
        <v>14936</v>
      </c>
      <c r="K312" s="47" t="s">
        <v>16199</v>
      </c>
      <c r="L312" t="s">
        <v>16200</v>
      </c>
      <c r="M312" t="s">
        <v>16228</v>
      </c>
    </row>
    <row r="313" spans="1:13">
      <c r="A313" t="s">
        <v>15340</v>
      </c>
      <c r="B313" t="s">
        <v>15340</v>
      </c>
      <c r="C313" t="s">
        <v>15341</v>
      </c>
      <c r="D313" t="s">
        <v>4310</v>
      </c>
      <c r="F313" t="str">
        <f>Config!$B$7</f>
        <v>SCH/Connector.SchLib</v>
      </c>
      <c r="G313" t="s">
        <v>14932</v>
      </c>
      <c r="H313" t="s">
        <v>15331</v>
      </c>
      <c r="I313" t="s">
        <v>14937</v>
      </c>
      <c r="K313" s="47" t="s">
        <v>16200</v>
      </c>
      <c r="L313" t="s">
        <v>16198</v>
      </c>
      <c r="M313" t="s">
        <v>16228</v>
      </c>
    </row>
    <row r="314" spans="1:13">
      <c r="A314" t="s">
        <v>15342</v>
      </c>
      <c r="B314" t="s">
        <v>15342</v>
      </c>
      <c r="C314" t="s">
        <v>15343</v>
      </c>
      <c r="D314" t="s">
        <v>4310</v>
      </c>
      <c r="F314" t="str">
        <f>Config!$B$7</f>
        <v>SCH/Connector.SchLib</v>
      </c>
      <c r="G314" t="s">
        <v>14932</v>
      </c>
      <c r="H314" t="s">
        <v>15331</v>
      </c>
      <c r="I314" t="s">
        <v>14938</v>
      </c>
      <c r="K314" s="47" t="s">
        <v>16200</v>
      </c>
      <c r="L314" t="s">
        <v>16199</v>
      </c>
      <c r="M314" t="s">
        <v>16228</v>
      </c>
    </row>
    <row r="315" spans="1:13">
      <c r="A315" t="s">
        <v>15344</v>
      </c>
      <c r="B315" t="s">
        <v>15344</v>
      </c>
      <c r="C315" t="s">
        <v>15345</v>
      </c>
      <c r="D315" t="s">
        <v>4310</v>
      </c>
      <c r="F315" t="str">
        <f>Config!$B$7</f>
        <v>SCH/Connector.SchLib</v>
      </c>
      <c r="G315" t="s">
        <v>14932</v>
      </c>
      <c r="H315" t="s">
        <v>15331</v>
      </c>
      <c r="I315" t="s">
        <v>14939</v>
      </c>
      <c r="K315" s="47" t="s">
        <v>16200</v>
      </c>
      <c r="L315" t="s">
        <v>16200</v>
      </c>
      <c r="M315" t="s">
        <v>16228</v>
      </c>
    </row>
    <row r="316" spans="1:13">
      <c r="A316" t="s">
        <v>15346</v>
      </c>
      <c r="B316" t="s">
        <v>15346</v>
      </c>
      <c r="C316" t="s">
        <v>15347</v>
      </c>
      <c r="D316" t="s">
        <v>4310</v>
      </c>
      <c r="F316" t="str">
        <f>Config!$B$7</f>
        <v>SCH/Connector.SchLib</v>
      </c>
      <c r="G316" t="s">
        <v>14932</v>
      </c>
      <c r="H316" t="s">
        <v>15331</v>
      </c>
      <c r="I316" t="s">
        <v>14940</v>
      </c>
      <c r="K316" s="47" t="s">
        <v>16200</v>
      </c>
      <c r="L316" t="s">
        <v>16202</v>
      </c>
      <c r="M316" t="s">
        <v>16228</v>
      </c>
    </row>
    <row r="317" spans="1:13">
      <c r="A317" t="s">
        <v>15348</v>
      </c>
      <c r="B317" t="s">
        <v>15348</v>
      </c>
      <c r="C317" t="s">
        <v>15349</v>
      </c>
      <c r="D317" t="s">
        <v>4310</v>
      </c>
      <c r="F317" t="str">
        <f>Config!$B$7</f>
        <v>SCH/Connector.SchLib</v>
      </c>
      <c r="G317" t="s">
        <v>14932</v>
      </c>
      <c r="H317" t="s">
        <v>15331</v>
      </c>
      <c r="I317" t="s">
        <v>14941</v>
      </c>
      <c r="K317" s="47" t="s">
        <v>16201</v>
      </c>
      <c r="L317" t="s">
        <v>16209</v>
      </c>
      <c r="M317" t="s">
        <v>16228</v>
      </c>
    </row>
    <row r="318" spans="1:13">
      <c r="A318" t="s">
        <v>15350</v>
      </c>
      <c r="B318" t="s">
        <v>15350</v>
      </c>
      <c r="C318" t="s">
        <v>15351</v>
      </c>
      <c r="D318" t="s">
        <v>4310</v>
      </c>
      <c r="F318" t="str">
        <f>Config!$B$7</f>
        <v>SCH/Connector.SchLib</v>
      </c>
      <c r="G318" t="s">
        <v>14932</v>
      </c>
      <c r="H318" t="s">
        <v>15331</v>
      </c>
      <c r="I318" t="s">
        <v>14942</v>
      </c>
      <c r="K318" s="47" t="s">
        <v>16201</v>
      </c>
      <c r="L318" t="s">
        <v>16201</v>
      </c>
      <c r="M318" t="s">
        <v>16228</v>
      </c>
    </row>
    <row r="319" spans="1:13">
      <c r="A319" t="s">
        <v>15352</v>
      </c>
      <c r="B319" t="s">
        <v>15352</v>
      </c>
      <c r="C319" t="s">
        <v>15353</v>
      </c>
      <c r="D319" t="s">
        <v>4310</v>
      </c>
      <c r="F319" t="str">
        <f>Config!$B$7</f>
        <v>SCH/Connector.SchLib</v>
      </c>
      <c r="G319" t="s">
        <v>14932</v>
      </c>
      <c r="H319" t="s">
        <v>15331</v>
      </c>
      <c r="I319" t="s">
        <v>14943</v>
      </c>
      <c r="K319" s="47" t="s">
        <v>16201</v>
      </c>
      <c r="L319" t="s">
        <v>16203</v>
      </c>
      <c r="M319" t="s">
        <v>16228</v>
      </c>
    </row>
    <row r="320" spans="1:13">
      <c r="A320" t="s">
        <v>15354</v>
      </c>
      <c r="B320" t="s">
        <v>15354</v>
      </c>
      <c r="C320" t="s">
        <v>15355</v>
      </c>
      <c r="D320" t="s">
        <v>4310</v>
      </c>
      <c r="F320" t="str">
        <f>Config!$B$7</f>
        <v>SCH/Connector.SchLib</v>
      </c>
      <c r="G320" t="s">
        <v>14932</v>
      </c>
      <c r="H320" t="s">
        <v>15331</v>
      </c>
      <c r="I320" t="s">
        <v>14944</v>
      </c>
      <c r="K320" s="47" t="s">
        <v>16202</v>
      </c>
      <c r="L320" t="s">
        <v>16199</v>
      </c>
      <c r="M320" t="s">
        <v>16228</v>
      </c>
    </row>
    <row r="321" spans="1:13">
      <c r="A321" t="s">
        <v>15356</v>
      </c>
      <c r="B321" t="s">
        <v>15356</v>
      </c>
      <c r="C321" t="s">
        <v>15357</v>
      </c>
      <c r="D321" t="s">
        <v>4310</v>
      </c>
      <c r="F321" t="str">
        <f>Config!$B$7</f>
        <v>SCH/Connector.SchLib</v>
      </c>
      <c r="G321" t="s">
        <v>14932</v>
      </c>
      <c r="H321" t="s">
        <v>15331</v>
      </c>
      <c r="I321" t="s">
        <v>14945</v>
      </c>
      <c r="K321" s="47" t="s">
        <v>16202</v>
      </c>
      <c r="L321" t="s">
        <v>16200</v>
      </c>
      <c r="M321" t="s">
        <v>16228</v>
      </c>
    </row>
    <row r="322" spans="1:13">
      <c r="A322" t="s">
        <v>15358</v>
      </c>
      <c r="B322" t="s">
        <v>15358</v>
      </c>
      <c r="C322" t="s">
        <v>15359</v>
      </c>
      <c r="D322" t="s">
        <v>4310</v>
      </c>
      <c r="F322" t="str">
        <f>Config!$B$7</f>
        <v>SCH/Connector.SchLib</v>
      </c>
      <c r="G322" t="s">
        <v>14932</v>
      </c>
      <c r="H322" t="s">
        <v>15331</v>
      </c>
      <c r="I322" t="s">
        <v>14946</v>
      </c>
      <c r="K322" s="47" t="s">
        <v>16202</v>
      </c>
      <c r="L322" t="s">
        <v>16202</v>
      </c>
      <c r="M322" t="s">
        <v>16228</v>
      </c>
    </row>
    <row r="323" spans="1:13">
      <c r="A323" t="s">
        <v>15360</v>
      </c>
      <c r="B323" t="s">
        <v>15360</v>
      </c>
      <c r="C323" t="s">
        <v>15361</v>
      </c>
      <c r="D323" t="s">
        <v>4310</v>
      </c>
      <c r="F323" t="str">
        <f>Config!$B$7</f>
        <v>SCH/Connector.SchLib</v>
      </c>
      <c r="G323" t="s">
        <v>14932</v>
      </c>
      <c r="H323" t="s">
        <v>15331</v>
      </c>
      <c r="I323" t="s">
        <v>14947</v>
      </c>
      <c r="K323" s="47" t="s">
        <v>16202</v>
      </c>
      <c r="L323" t="s">
        <v>16204</v>
      </c>
      <c r="M323" t="s">
        <v>16228</v>
      </c>
    </row>
    <row r="324" spans="1:13">
      <c r="A324" t="s">
        <v>15362</v>
      </c>
      <c r="B324" t="s">
        <v>15362</v>
      </c>
      <c r="C324" t="s">
        <v>15363</v>
      </c>
      <c r="D324" t="s">
        <v>4310</v>
      </c>
      <c r="F324" t="str">
        <f>Config!$B$7</f>
        <v>SCH/Connector.SchLib</v>
      </c>
      <c r="G324" t="s">
        <v>14932</v>
      </c>
      <c r="H324" t="s">
        <v>15331</v>
      </c>
      <c r="I324" t="s">
        <v>14948</v>
      </c>
      <c r="K324" s="47" t="s">
        <v>16203</v>
      </c>
      <c r="L324" t="s">
        <v>16209</v>
      </c>
      <c r="M324" t="s">
        <v>16228</v>
      </c>
    </row>
    <row r="325" spans="1:13">
      <c r="A325" t="s">
        <v>15364</v>
      </c>
      <c r="B325" t="s">
        <v>15364</v>
      </c>
      <c r="C325" t="s">
        <v>15365</v>
      </c>
      <c r="D325" t="s">
        <v>4310</v>
      </c>
      <c r="F325" t="str">
        <f>Config!$B$7</f>
        <v>SCH/Connector.SchLib</v>
      </c>
      <c r="G325" t="s">
        <v>14932</v>
      </c>
      <c r="H325" t="s">
        <v>15331</v>
      </c>
      <c r="I325" t="s">
        <v>14949</v>
      </c>
      <c r="K325" s="47" t="s">
        <v>16203</v>
      </c>
      <c r="L325" t="s">
        <v>16201</v>
      </c>
      <c r="M325" t="s">
        <v>16228</v>
      </c>
    </row>
    <row r="326" spans="1:13">
      <c r="A326" t="s">
        <v>15366</v>
      </c>
      <c r="B326" t="s">
        <v>15366</v>
      </c>
      <c r="C326" t="s">
        <v>15367</v>
      </c>
      <c r="D326" t="s">
        <v>4310</v>
      </c>
      <c r="F326" t="str">
        <f>Config!$B$7</f>
        <v>SCH/Connector.SchLib</v>
      </c>
      <c r="G326" t="s">
        <v>14932</v>
      </c>
      <c r="H326" t="s">
        <v>15331</v>
      </c>
      <c r="I326" t="s">
        <v>14950</v>
      </c>
      <c r="K326" s="47" t="s">
        <v>16203</v>
      </c>
      <c r="L326" t="s">
        <v>16203</v>
      </c>
      <c r="M326" t="s">
        <v>16228</v>
      </c>
    </row>
    <row r="327" spans="1:13">
      <c r="A327" t="s">
        <v>15368</v>
      </c>
      <c r="B327" t="s">
        <v>15368</v>
      </c>
      <c r="C327" t="s">
        <v>15369</v>
      </c>
      <c r="D327" t="s">
        <v>4310</v>
      </c>
      <c r="F327" t="str">
        <f>Config!$B$7</f>
        <v>SCH/Connector.SchLib</v>
      </c>
      <c r="G327" t="s">
        <v>14932</v>
      </c>
      <c r="H327" t="s">
        <v>15331</v>
      </c>
      <c r="I327" t="s">
        <v>14951</v>
      </c>
      <c r="K327" s="47" t="s">
        <v>16203</v>
      </c>
      <c r="L327" t="s">
        <v>16206</v>
      </c>
      <c r="M327" t="s">
        <v>16228</v>
      </c>
    </row>
    <row r="328" spans="1:13">
      <c r="A328" t="s">
        <v>15370</v>
      </c>
      <c r="B328" t="s">
        <v>15370</v>
      </c>
      <c r="C328" t="s">
        <v>15371</v>
      </c>
      <c r="D328" t="s">
        <v>4310</v>
      </c>
      <c r="F328" t="str">
        <f>Config!$B$7</f>
        <v>SCH/Connector.SchLib</v>
      </c>
      <c r="G328" t="s">
        <v>14932</v>
      </c>
      <c r="H328" t="s">
        <v>15331</v>
      </c>
      <c r="I328" t="s">
        <v>14952</v>
      </c>
      <c r="K328" s="47" t="s">
        <v>16204</v>
      </c>
      <c r="L328" t="s">
        <v>16210</v>
      </c>
      <c r="M328" t="s">
        <v>16228</v>
      </c>
    </row>
    <row r="329" spans="1:13">
      <c r="A329" t="s">
        <v>15372</v>
      </c>
      <c r="B329" t="s">
        <v>15372</v>
      </c>
      <c r="C329" t="s">
        <v>15373</v>
      </c>
      <c r="D329" t="s">
        <v>4310</v>
      </c>
      <c r="F329" t="str">
        <f>Config!$B$7</f>
        <v>SCH/Connector.SchLib</v>
      </c>
      <c r="G329" t="s">
        <v>14932</v>
      </c>
      <c r="H329" t="s">
        <v>15331</v>
      </c>
      <c r="I329" t="s">
        <v>14953</v>
      </c>
      <c r="K329" s="47" t="s">
        <v>16204</v>
      </c>
      <c r="L329" t="s">
        <v>16200</v>
      </c>
      <c r="M329" t="s">
        <v>16228</v>
      </c>
    </row>
    <row r="330" spans="1:13">
      <c r="A330" t="s">
        <v>15374</v>
      </c>
      <c r="B330" t="s">
        <v>15374</v>
      </c>
      <c r="C330" t="s">
        <v>15375</v>
      </c>
      <c r="D330" t="s">
        <v>4310</v>
      </c>
      <c r="F330" t="str">
        <f>Config!$B$7</f>
        <v>SCH/Connector.SchLib</v>
      </c>
      <c r="G330" t="s">
        <v>14932</v>
      </c>
      <c r="H330" t="s">
        <v>15331</v>
      </c>
      <c r="I330" t="s">
        <v>14954</v>
      </c>
      <c r="K330" s="47" t="s">
        <v>16204</v>
      </c>
      <c r="L330" t="s">
        <v>16202</v>
      </c>
      <c r="M330" t="s">
        <v>16228</v>
      </c>
    </row>
    <row r="331" spans="1:13">
      <c r="A331" t="s">
        <v>15376</v>
      </c>
      <c r="B331" t="s">
        <v>15376</v>
      </c>
      <c r="C331" t="s">
        <v>15377</v>
      </c>
      <c r="D331" t="s">
        <v>4310</v>
      </c>
      <c r="F331" t="str">
        <f>Config!$B$7</f>
        <v>SCH/Connector.SchLib</v>
      </c>
      <c r="G331" t="s">
        <v>14932</v>
      </c>
      <c r="H331" t="s">
        <v>15331</v>
      </c>
      <c r="I331" t="s">
        <v>14955</v>
      </c>
      <c r="K331" s="47" t="s">
        <v>16204</v>
      </c>
      <c r="L331" t="s">
        <v>16204</v>
      </c>
      <c r="M331" t="s">
        <v>16228</v>
      </c>
    </row>
    <row r="332" spans="1:13">
      <c r="A332" t="s">
        <v>15378</v>
      </c>
      <c r="B332" t="s">
        <v>15378</v>
      </c>
      <c r="C332" t="s">
        <v>15379</v>
      </c>
      <c r="D332" t="s">
        <v>4310</v>
      </c>
      <c r="F332" t="str">
        <f>Config!$B$7</f>
        <v>SCH/Connector.SchLib</v>
      </c>
      <c r="G332" t="s">
        <v>14932</v>
      </c>
      <c r="H332" t="s">
        <v>15331</v>
      </c>
      <c r="I332" t="s">
        <v>14956</v>
      </c>
      <c r="K332" s="47" t="s">
        <v>16204</v>
      </c>
      <c r="L332" t="s">
        <v>16207</v>
      </c>
      <c r="M332" t="s">
        <v>16228</v>
      </c>
    </row>
    <row r="333" spans="1:13">
      <c r="A333" t="s">
        <v>15380</v>
      </c>
      <c r="B333" t="s">
        <v>15380</v>
      </c>
      <c r="C333" t="s">
        <v>15381</v>
      </c>
      <c r="D333" t="s">
        <v>4310</v>
      </c>
      <c r="F333" t="str">
        <f>Config!$B$7</f>
        <v>SCH/Connector.SchLib</v>
      </c>
      <c r="G333" t="s">
        <v>14932</v>
      </c>
      <c r="H333" t="s">
        <v>15331</v>
      </c>
      <c r="I333" t="s">
        <v>14957</v>
      </c>
      <c r="K333" s="47" t="s">
        <v>16205</v>
      </c>
      <c r="L333" t="s">
        <v>16199</v>
      </c>
      <c r="M333" t="s">
        <v>16228</v>
      </c>
    </row>
    <row r="334" spans="1:13">
      <c r="A334" t="s">
        <v>15955</v>
      </c>
      <c r="B334" t="s">
        <v>15955</v>
      </c>
      <c r="C334" t="s">
        <v>15956</v>
      </c>
      <c r="D334" t="s">
        <v>4310</v>
      </c>
      <c r="F334" t="str">
        <f>Config!$B$7</f>
        <v>SCH/Connector.SchLib</v>
      </c>
      <c r="G334" t="s">
        <v>14932</v>
      </c>
      <c r="H334" t="s">
        <v>15331</v>
      </c>
      <c r="I334" t="s">
        <v>15695</v>
      </c>
      <c r="K334" s="47" t="s">
        <v>16205</v>
      </c>
      <c r="L334" t="s">
        <v>16200</v>
      </c>
      <c r="M334" t="s">
        <v>16228</v>
      </c>
    </row>
    <row r="335" spans="1:13">
      <c r="A335" t="s">
        <v>15382</v>
      </c>
      <c r="B335" t="s">
        <v>15382</v>
      </c>
      <c r="C335" t="s">
        <v>15383</v>
      </c>
      <c r="D335" t="s">
        <v>4310</v>
      </c>
      <c r="F335" t="str">
        <f>Config!$B$7</f>
        <v>SCH/Connector.SchLib</v>
      </c>
      <c r="G335" t="s">
        <v>14932</v>
      </c>
      <c r="H335" t="s">
        <v>15331</v>
      </c>
      <c r="I335" t="s">
        <v>14958</v>
      </c>
      <c r="K335" s="47" t="s">
        <v>16205</v>
      </c>
      <c r="L335" t="s">
        <v>16211</v>
      </c>
      <c r="M335" t="s">
        <v>16228</v>
      </c>
    </row>
    <row r="336" spans="1:13">
      <c r="A336" t="s">
        <v>15384</v>
      </c>
      <c r="B336" t="s">
        <v>15384</v>
      </c>
      <c r="C336" t="s">
        <v>15385</v>
      </c>
      <c r="D336" t="s">
        <v>4310</v>
      </c>
      <c r="F336" t="str">
        <f>Config!$B$7</f>
        <v>SCH/Connector.SchLib</v>
      </c>
      <c r="G336" t="s">
        <v>14932</v>
      </c>
      <c r="H336" t="s">
        <v>15331</v>
      </c>
      <c r="I336" t="s">
        <v>14959</v>
      </c>
      <c r="K336" s="47" t="s">
        <v>16205</v>
      </c>
      <c r="L336" t="s">
        <v>16212</v>
      </c>
      <c r="M336" t="s">
        <v>16228</v>
      </c>
    </row>
    <row r="337" spans="1:13">
      <c r="A337" t="s">
        <v>15386</v>
      </c>
      <c r="B337" t="s">
        <v>15386</v>
      </c>
      <c r="C337" t="s">
        <v>15387</v>
      </c>
      <c r="D337" t="s">
        <v>4310</v>
      </c>
      <c r="F337" t="str">
        <f>Config!$B$7</f>
        <v>SCH/Connector.SchLib</v>
      </c>
      <c r="G337" t="s">
        <v>14932</v>
      </c>
      <c r="H337" t="s">
        <v>15331</v>
      </c>
      <c r="I337" t="s">
        <v>14960</v>
      </c>
      <c r="K337" s="47" t="s">
        <v>16205</v>
      </c>
      <c r="L337" t="s">
        <v>16205</v>
      </c>
      <c r="M337" t="s">
        <v>16228</v>
      </c>
    </row>
    <row r="338" spans="1:13">
      <c r="A338" t="s">
        <v>15388</v>
      </c>
      <c r="B338" t="s">
        <v>15388</v>
      </c>
      <c r="C338" t="s">
        <v>15389</v>
      </c>
      <c r="D338" t="s">
        <v>4310</v>
      </c>
      <c r="F338" t="str">
        <f>Config!$B$7</f>
        <v>SCH/Connector.SchLib</v>
      </c>
      <c r="G338" t="s">
        <v>14932</v>
      </c>
      <c r="H338" t="s">
        <v>15331</v>
      </c>
      <c r="I338" t="s">
        <v>14961</v>
      </c>
      <c r="K338" s="47" t="s">
        <v>16205</v>
      </c>
      <c r="L338" t="s">
        <v>16213</v>
      </c>
      <c r="M338" t="s">
        <v>16228</v>
      </c>
    </row>
    <row r="339" spans="1:13">
      <c r="A339" t="s">
        <v>15957</v>
      </c>
      <c r="B339" t="s">
        <v>15957</v>
      </c>
      <c r="C339" t="s">
        <v>15958</v>
      </c>
      <c r="D339" t="s">
        <v>4310</v>
      </c>
      <c r="F339" t="str">
        <f>Config!$B$7</f>
        <v>SCH/Connector.SchLib</v>
      </c>
      <c r="G339" t="s">
        <v>14932</v>
      </c>
      <c r="H339" t="s">
        <v>15331</v>
      </c>
      <c r="I339" t="s">
        <v>15698</v>
      </c>
      <c r="K339" s="47" t="s">
        <v>16206</v>
      </c>
      <c r="L339" t="s">
        <v>16214</v>
      </c>
      <c r="M339" t="s">
        <v>16228</v>
      </c>
    </row>
    <row r="340" spans="1:13">
      <c r="A340" t="s">
        <v>15959</v>
      </c>
      <c r="B340" t="s">
        <v>15959</v>
      </c>
      <c r="C340" t="s">
        <v>15960</v>
      </c>
      <c r="D340" t="s">
        <v>4310</v>
      </c>
      <c r="F340" t="str">
        <f>Config!$B$7</f>
        <v>SCH/Connector.SchLib</v>
      </c>
      <c r="G340" t="s">
        <v>14932</v>
      </c>
      <c r="H340" t="s">
        <v>15331</v>
      </c>
      <c r="I340" t="s">
        <v>15699</v>
      </c>
      <c r="K340" s="47" t="s">
        <v>16206</v>
      </c>
      <c r="L340" t="s">
        <v>16200</v>
      </c>
      <c r="M340" t="s">
        <v>16228</v>
      </c>
    </row>
    <row r="341" spans="1:13">
      <c r="A341" t="s">
        <v>15961</v>
      </c>
      <c r="B341" t="s">
        <v>15961</v>
      </c>
      <c r="C341" t="s">
        <v>15962</v>
      </c>
      <c r="D341" t="s">
        <v>4310</v>
      </c>
      <c r="F341" t="str">
        <f>Config!$B$7</f>
        <v>SCH/Connector.SchLib</v>
      </c>
      <c r="G341" t="s">
        <v>14932</v>
      </c>
      <c r="H341" t="s">
        <v>15331</v>
      </c>
      <c r="I341" t="s">
        <v>15700</v>
      </c>
      <c r="K341" s="47" t="s">
        <v>16206</v>
      </c>
      <c r="L341" t="s">
        <v>16201</v>
      </c>
      <c r="M341" t="s">
        <v>16228</v>
      </c>
    </row>
    <row r="342" spans="1:13">
      <c r="A342" t="s">
        <v>15963</v>
      </c>
      <c r="B342" t="s">
        <v>15963</v>
      </c>
      <c r="C342" t="s">
        <v>15964</v>
      </c>
      <c r="D342" t="s">
        <v>4310</v>
      </c>
      <c r="F342" t="str">
        <f>Config!$B$7</f>
        <v>SCH/Connector.SchLib</v>
      </c>
      <c r="G342" t="s">
        <v>14932</v>
      </c>
      <c r="H342" t="s">
        <v>15331</v>
      </c>
      <c r="I342" t="s">
        <v>15701</v>
      </c>
      <c r="K342" s="47" t="s">
        <v>16206</v>
      </c>
      <c r="L342" t="s">
        <v>16203</v>
      </c>
      <c r="M342" t="s">
        <v>16228</v>
      </c>
    </row>
    <row r="343" spans="1:13">
      <c r="A343" t="s">
        <v>15965</v>
      </c>
      <c r="B343" t="s">
        <v>15965</v>
      </c>
      <c r="C343" t="s">
        <v>15966</v>
      </c>
      <c r="D343" t="s">
        <v>4310</v>
      </c>
      <c r="F343" t="str">
        <f>Config!$B$7</f>
        <v>SCH/Connector.SchLib</v>
      </c>
      <c r="G343" t="s">
        <v>14932</v>
      </c>
      <c r="H343" t="s">
        <v>15331</v>
      </c>
      <c r="I343" t="s">
        <v>15702</v>
      </c>
      <c r="K343" s="47" t="s">
        <v>16206</v>
      </c>
      <c r="L343" t="s">
        <v>16206</v>
      </c>
      <c r="M343" t="s">
        <v>16228</v>
      </c>
    </row>
    <row r="344" spans="1:13">
      <c r="A344" t="s">
        <v>15967</v>
      </c>
      <c r="B344" t="s">
        <v>15967</v>
      </c>
      <c r="C344" t="s">
        <v>15968</v>
      </c>
      <c r="D344" t="s">
        <v>4310</v>
      </c>
      <c r="F344" t="str">
        <f>Config!$B$7</f>
        <v>SCH/Connector.SchLib</v>
      </c>
      <c r="G344" t="s">
        <v>14932</v>
      </c>
      <c r="H344" t="s">
        <v>15331</v>
      </c>
      <c r="I344" t="s">
        <v>15703</v>
      </c>
      <c r="K344" s="47" t="s">
        <v>16206</v>
      </c>
      <c r="L344" t="s">
        <v>16215</v>
      </c>
      <c r="M344" t="s">
        <v>16228</v>
      </c>
    </row>
    <row r="345" spans="1:13">
      <c r="A345" t="s">
        <v>15969</v>
      </c>
      <c r="B345" t="s">
        <v>15969</v>
      </c>
      <c r="C345" t="s">
        <v>15970</v>
      </c>
      <c r="D345" t="s">
        <v>4310</v>
      </c>
      <c r="F345" t="str">
        <f>Config!$B$7</f>
        <v>SCH/Connector.SchLib</v>
      </c>
      <c r="G345" t="s">
        <v>14932</v>
      </c>
      <c r="H345" t="s">
        <v>15331</v>
      </c>
      <c r="I345" t="s">
        <v>15704</v>
      </c>
      <c r="K345" s="47" t="s">
        <v>16207</v>
      </c>
      <c r="L345" t="s">
        <v>16199</v>
      </c>
      <c r="M345" t="s">
        <v>16228</v>
      </c>
    </row>
    <row r="346" spans="1:13">
      <c r="A346" t="s">
        <v>15971</v>
      </c>
      <c r="B346" t="s">
        <v>15971</v>
      </c>
      <c r="C346" t="s">
        <v>15972</v>
      </c>
      <c r="D346" t="s">
        <v>4310</v>
      </c>
      <c r="F346" t="str">
        <f>Config!$B$7</f>
        <v>SCH/Connector.SchLib</v>
      </c>
      <c r="G346" t="s">
        <v>14932</v>
      </c>
      <c r="H346" t="s">
        <v>15331</v>
      </c>
      <c r="I346" t="s">
        <v>15705</v>
      </c>
      <c r="K346" s="47" t="s">
        <v>16207</v>
      </c>
      <c r="L346" t="s">
        <v>16216</v>
      </c>
      <c r="M346" t="s">
        <v>16228</v>
      </c>
    </row>
    <row r="347" spans="1:13">
      <c r="A347" t="s">
        <v>15973</v>
      </c>
      <c r="B347" t="s">
        <v>15973</v>
      </c>
      <c r="C347" t="s">
        <v>15974</v>
      </c>
      <c r="D347" t="s">
        <v>4310</v>
      </c>
      <c r="F347" t="str">
        <f>Config!$B$7</f>
        <v>SCH/Connector.SchLib</v>
      </c>
      <c r="G347" t="s">
        <v>14932</v>
      </c>
      <c r="H347" t="s">
        <v>15331</v>
      </c>
      <c r="I347" t="s">
        <v>15706</v>
      </c>
      <c r="K347" s="47" t="s">
        <v>16207</v>
      </c>
      <c r="L347" t="s">
        <v>16200</v>
      </c>
      <c r="M347" t="s">
        <v>16228</v>
      </c>
    </row>
    <row r="348" spans="1:13">
      <c r="A348" t="s">
        <v>15975</v>
      </c>
      <c r="B348" t="s">
        <v>15975</v>
      </c>
      <c r="C348" t="s">
        <v>15976</v>
      </c>
      <c r="D348" t="s">
        <v>4310</v>
      </c>
      <c r="F348" t="str">
        <f>Config!$B$7</f>
        <v>SCH/Connector.SchLib</v>
      </c>
      <c r="G348" t="s">
        <v>14932</v>
      </c>
      <c r="H348" t="s">
        <v>15331</v>
      </c>
      <c r="I348" t="s">
        <v>15707</v>
      </c>
      <c r="K348" s="47" t="s">
        <v>16207</v>
      </c>
      <c r="L348" t="s">
        <v>16202</v>
      </c>
      <c r="M348" t="s">
        <v>16228</v>
      </c>
    </row>
    <row r="349" spans="1:13">
      <c r="A349" t="s">
        <v>15977</v>
      </c>
      <c r="B349" t="s">
        <v>15977</v>
      </c>
      <c r="C349" t="s">
        <v>15978</v>
      </c>
      <c r="D349" t="s">
        <v>4310</v>
      </c>
      <c r="F349" t="str">
        <f>Config!$B$7</f>
        <v>SCH/Connector.SchLib</v>
      </c>
      <c r="G349" t="s">
        <v>14932</v>
      </c>
      <c r="H349" t="s">
        <v>15331</v>
      </c>
      <c r="I349" t="s">
        <v>15708</v>
      </c>
      <c r="K349" s="47" t="s">
        <v>16207</v>
      </c>
      <c r="L349" t="s">
        <v>16204</v>
      </c>
      <c r="M349" t="s">
        <v>16228</v>
      </c>
    </row>
    <row r="350" spans="1:13">
      <c r="A350" t="s">
        <v>15979</v>
      </c>
      <c r="B350" t="s">
        <v>15979</v>
      </c>
      <c r="C350" t="s">
        <v>15980</v>
      </c>
      <c r="D350" t="s">
        <v>4310</v>
      </c>
      <c r="F350" t="str">
        <f>Config!$B$7</f>
        <v>SCH/Connector.SchLib</v>
      </c>
      <c r="G350" t="s">
        <v>14932</v>
      </c>
      <c r="H350" t="s">
        <v>15331</v>
      </c>
      <c r="I350" t="s">
        <v>15709</v>
      </c>
      <c r="K350" s="47" t="s">
        <v>16207</v>
      </c>
      <c r="L350" t="s">
        <v>16207</v>
      </c>
      <c r="M350" t="s">
        <v>16228</v>
      </c>
    </row>
    <row r="351" spans="1:13">
      <c r="A351" t="s">
        <v>15981</v>
      </c>
      <c r="B351" t="s">
        <v>15981</v>
      </c>
      <c r="C351" t="s">
        <v>15982</v>
      </c>
      <c r="D351" t="s">
        <v>4310</v>
      </c>
      <c r="F351" t="str">
        <f>Config!$B$7</f>
        <v>SCH/Connector.SchLib</v>
      </c>
      <c r="G351" t="s">
        <v>14932</v>
      </c>
      <c r="H351" t="s">
        <v>15331</v>
      </c>
      <c r="I351" t="s">
        <v>15710</v>
      </c>
      <c r="K351" s="47" t="s">
        <v>16207</v>
      </c>
      <c r="L351" t="s">
        <v>16217</v>
      </c>
      <c r="M351" t="s">
        <v>16228</v>
      </c>
    </row>
    <row r="352" spans="1:13">
      <c r="A352" t="s">
        <v>15983</v>
      </c>
      <c r="B352" t="s">
        <v>15983</v>
      </c>
      <c r="C352" t="s">
        <v>15984</v>
      </c>
      <c r="D352" t="s">
        <v>4310</v>
      </c>
      <c r="F352" t="str">
        <f>Config!$B$7</f>
        <v>SCH/Connector.SchLib</v>
      </c>
      <c r="G352" t="s">
        <v>14932</v>
      </c>
      <c r="H352" t="s">
        <v>15331</v>
      </c>
      <c r="I352" t="s">
        <v>15711</v>
      </c>
      <c r="K352" s="47" t="s">
        <v>16208</v>
      </c>
      <c r="L352" t="s">
        <v>16199</v>
      </c>
      <c r="M352" t="s">
        <v>16228</v>
      </c>
    </row>
    <row r="353" spans="1:13">
      <c r="A353" t="s">
        <v>15985</v>
      </c>
      <c r="B353" t="s">
        <v>15985</v>
      </c>
      <c r="C353" t="s">
        <v>15986</v>
      </c>
      <c r="D353" t="s">
        <v>4310</v>
      </c>
      <c r="F353" t="str">
        <f>Config!$B$7</f>
        <v>SCH/Connector.SchLib</v>
      </c>
      <c r="G353" t="s">
        <v>14932</v>
      </c>
      <c r="H353" t="s">
        <v>15331</v>
      </c>
      <c r="I353" t="s">
        <v>15712</v>
      </c>
      <c r="K353" s="47" t="s">
        <v>16208</v>
      </c>
      <c r="L353" t="s">
        <v>16200</v>
      </c>
      <c r="M353" t="s">
        <v>16228</v>
      </c>
    </row>
    <row r="354" spans="1:13">
      <c r="A354" t="s">
        <v>15987</v>
      </c>
      <c r="B354" t="s">
        <v>15987</v>
      </c>
      <c r="C354" t="s">
        <v>15988</v>
      </c>
      <c r="D354" t="s">
        <v>4310</v>
      </c>
      <c r="F354" t="str">
        <f>Config!$B$7</f>
        <v>SCH/Connector.SchLib</v>
      </c>
      <c r="G354" t="s">
        <v>14932</v>
      </c>
      <c r="H354" t="s">
        <v>15331</v>
      </c>
      <c r="I354" t="s">
        <v>15713</v>
      </c>
      <c r="K354" s="47" t="s">
        <v>16208</v>
      </c>
      <c r="L354" t="s">
        <v>16212</v>
      </c>
      <c r="M354" t="s">
        <v>16228</v>
      </c>
    </row>
    <row r="355" spans="1:13">
      <c r="A355" t="s">
        <v>15989</v>
      </c>
      <c r="B355" t="s">
        <v>15989</v>
      </c>
      <c r="C355" t="s">
        <v>15990</v>
      </c>
      <c r="D355" t="s">
        <v>4310</v>
      </c>
      <c r="F355" t="str">
        <f>Config!$B$7</f>
        <v>SCH/Connector.SchLib</v>
      </c>
      <c r="G355" t="s">
        <v>14932</v>
      </c>
      <c r="H355" t="s">
        <v>15331</v>
      </c>
      <c r="I355" t="s">
        <v>15714</v>
      </c>
      <c r="K355" s="47" t="s">
        <v>16208</v>
      </c>
      <c r="L355" t="s">
        <v>16205</v>
      </c>
      <c r="M355" t="s">
        <v>16228</v>
      </c>
    </row>
    <row r="356" spans="1:13">
      <c r="A356" t="s">
        <v>15991</v>
      </c>
      <c r="B356" t="s">
        <v>15991</v>
      </c>
      <c r="C356" t="s">
        <v>15992</v>
      </c>
      <c r="D356" t="s">
        <v>4310</v>
      </c>
      <c r="F356" t="str">
        <f>Config!$B$7</f>
        <v>SCH/Connector.SchLib</v>
      </c>
      <c r="G356" t="s">
        <v>14932</v>
      </c>
      <c r="H356" t="s">
        <v>15331</v>
      </c>
      <c r="I356" t="s">
        <v>15715</v>
      </c>
      <c r="K356" s="47" t="s">
        <v>16208</v>
      </c>
      <c r="L356" t="s">
        <v>16213</v>
      </c>
      <c r="M356" t="s">
        <v>16228</v>
      </c>
    </row>
    <row r="357" spans="1:13">
      <c r="A357" t="s">
        <v>15993</v>
      </c>
      <c r="B357" t="s">
        <v>15993</v>
      </c>
      <c r="C357" t="s">
        <v>15994</v>
      </c>
      <c r="D357" t="s">
        <v>4310</v>
      </c>
      <c r="F357" t="str">
        <f>Config!$B$7</f>
        <v>SCH/Connector.SchLib</v>
      </c>
      <c r="G357" t="s">
        <v>14932</v>
      </c>
      <c r="H357" t="s">
        <v>15331</v>
      </c>
      <c r="I357" t="s">
        <v>15716</v>
      </c>
      <c r="K357" s="47" t="s">
        <v>16208</v>
      </c>
      <c r="L357" t="s">
        <v>16218</v>
      </c>
      <c r="M357" t="s">
        <v>16228</v>
      </c>
    </row>
    <row r="359" spans="1:13">
      <c r="A359" t="s">
        <v>15268</v>
      </c>
      <c r="B359" t="s">
        <v>15268</v>
      </c>
      <c r="C359" t="s">
        <v>15269</v>
      </c>
      <c r="D359" t="s">
        <v>4310</v>
      </c>
      <c r="F359" t="str">
        <f>Config!$B$7</f>
        <v>SCH/Connector.SchLib</v>
      </c>
      <c r="G359" t="s">
        <v>14932</v>
      </c>
      <c r="H359" t="s">
        <v>15270</v>
      </c>
      <c r="I359" t="s">
        <v>14962</v>
      </c>
      <c r="K359" s="47" t="s">
        <v>16198</v>
      </c>
      <c r="L359" t="s">
        <v>16198</v>
      </c>
      <c r="M359" t="s">
        <v>16229</v>
      </c>
    </row>
    <row r="360" spans="1:13">
      <c r="A360" t="s">
        <v>15271</v>
      </c>
      <c r="B360" t="s">
        <v>15271</v>
      </c>
      <c r="C360" t="s">
        <v>15272</v>
      </c>
      <c r="D360" t="s">
        <v>4310</v>
      </c>
      <c r="F360" t="str">
        <f>Config!$B$7</f>
        <v>SCH/Connector.SchLib</v>
      </c>
      <c r="G360" t="s">
        <v>14932</v>
      </c>
      <c r="H360" t="s">
        <v>15270</v>
      </c>
      <c r="I360" t="s">
        <v>14963</v>
      </c>
      <c r="K360" s="47" t="s">
        <v>16198</v>
      </c>
      <c r="L360" t="s">
        <v>16199</v>
      </c>
      <c r="M360" t="s">
        <v>16229</v>
      </c>
    </row>
    <row r="361" spans="1:13">
      <c r="A361" t="s">
        <v>15273</v>
      </c>
      <c r="B361" t="s">
        <v>15273</v>
      </c>
      <c r="C361" t="s">
        <v>15274</v>
      </c>
      <c r="D361" t="s">
        <v>4310</v>
      </c>
      <c r="F361" t="str">
        <f>Config!$B$7</f>
        <v>SCH/Connector.SchLib</v>
      </c>
      <c r="G361" t="s">
        <v>14932</v>
      </c>
      <c r="H361" t="s">
        <v>15270</v>
      </c>
      <c r="I361" t="s">
        <v>14934</v>
      </c>
      <c r="K361" s="47" t="s">
        <v>16199</v>
      </c>
      <c r="L361" t="s">
        <v>16198</v>
      </c>
      <c r="M361" t="s">
        <v>16229</v>
      </c>
    </row>
    <row r="362" spans="1:13">
      <c r="A362" t="s">
        <v>15275</v>
      </c>
      <c r="B362" t="s">
        <v>15275</v>
      </c>
      <c r="C362" t="s">
        <v>15276</v>
      </c>
      <c r="D362" t="s">
        <v>4310</v>
      </c>
      <c r="F362" t="str">
        <f>Config!$B$7</f>
        <v>SCH/Connector.SchLib</v>
      </c>
      <c r="G362" t="s">
        <v>14932</v>
      </c>
      <c r="H362" t="s">
        <v>15270</v>
      </c>
      <c r="I362" t="s">
        <v>14935</v>
      </c>
      <c r="K362" s="47" t="s">
        <v>16199</v>
      </c>
      <c r="L362" t="s">
        <v>16199</v>
      </c>
      <c r="M362" t="s">
        <v>16229</v>
      </c>
    </row>
    <row r="363" spans="1:13">
      <c r="A363" t="s">
        <v>15277</v>
      </c>
      <c r="B363" t="s">
        <v>15277</v>
      </c>
      <c r="C363" t="s">
        <v>15278</v>
      </c>
      <c r="D363" t="s">
        <v>4310</v>
      </c>
      <c r="F363" t="str">
        <f>Config!$B$7</f>
        <v>SCH/Connector.SchLib</v>
      </c>
      <c r="G363" t="s">
        <v>14932</v>
      </c>
      <c r="H363" t="s">
        <v>15270</v>
      </c>
      <c r="I363" t="s">
        <v>14936</v>
      </c>
      <c r="K363" s="47" t="s">
        <v>16199</v>
      </c>
      <c r="L363" t="s">
        <v>16200</v>
      </c>
      <c r="M363" t="s">
        <v>16229</v>
      </c>
    </row>
    <row r="364" spans="1:13">
      <c r="A364" t="s">
        <v>15279</v>
      </c>
      <c r="B364" t="s">
        <v>15279</v>
      </c>
      <c r="C364" t="s">
        <v>15280</v>
      </c>
      <c r="D364" t="s">
        <v>4310</v>
      </c>
      <c r="F364" t="str">
        <f>Config!$B$7</f>
        <v>SCH/Connector.SchLib</v>
      </c>
      <c r="G364" t="s">
        <v>14932</v>
      </c>
      <c r="H364" t="s">
        <v>15270</v>
      </c>
      <c r="I364" t="s">
        <v>14937</v>
      </c>
      <c r="K364" s="47" t="s">
        <v>16200</v>
      </c>
      <c r="L364" t="s">
        <v>16198</v>
      </c>
      <c r="M364" t="s">
        <v>16229</v>
      </c>
    </row>
    <row r="365" spans="1:13">
      <c r="A365" t="s">
        <v>15281</v>
      </c>
      <c r="B365" t="s">
        <v>15281</v>
      </c>
      <c r="C365" t="s">
        <v>15282</v>
      </c>
      <c r="D365" t="s">
        <v>4310</v>
      </c>
      <c r="F365" t="str">
        <f>Config!$B$7</f>
        <v>SCH/Connector.SchLib</v>
      </c>
      <c r="G365" t="s">
        <v>14932</v>
      </c>
      <c r="H365" t="s">
        <v>15270</v>
      </c>
      <c r="I365" t="s">
        <v>14938</v>
      </c>
      <c r="K365" s="47" t="s">
        <v>16200</v>
      </c>
      <c r="L365" t="s">
        <v>16199</v>
      </c>
      <c r="M365" t="s">
        <v>16229</v>
      </c>
    </row>
    <row r="366" spans="1:13">
      <c r="A366" t="s">
        <v>15283</v>
      </c>
      <c r="B366" t="s">
        <v>15283</v>
      </c>
      <c r="C366" t="s">
        <v>15284</v>
      </c>
      <c r="D366" t="s">
        <v>4310</v>
      </c>
      <c r="F366" t="str">
        <f>Config!$B$7</f>
        <v>SCH/Connector.SchLib</v>
      </c>
      <c r="G366" t="s">
        <v>14932</v>
      </c>
      <c r="H366" t="s">
        <v>15270</v>
      </c>
      <c r="I366" t="s">
        <v>14939</v>
      </c>
      <c r="K366" s="47" t="s">
        <v>16200</v>
      </c>
      <c r="L366" t="s">
        <v>16200</v>
      </c>
      <c r="M366" t="s">
        <v>16229</v>
      </c>
    </row>
    <row r="367" spans="1:13">
      <c r="A367" t="s">
        <v>15285</v>
      </c>
      <c r="B367" t="s">
        <v>15285</v>
      </c>
      <c r="C367" t="s">
        <v>15286</v>
      </c>
      <c r="D367" t="s">
        <v>4310</v>
      </c>
      <c r="F367" t="str">
        <f>Config!$B$7</f>
        <v>SCH/Connector.SchLib</v>
      </c>
      <c r="G367" t="s">
        <v>14932</v>
      </c>
      <c r="H367" t="s">
        <v>15270</v>
      </c>
      <c r="I367" t="s">
        <v>14940</v>
      </c>
      <c r="K367" s="47" t="s">
        <v>16200</v>
      </c>
      <c r="L367" t="s">
        <v>16202</v>
      </c>
      <c r="M367" t="s">
        <v>16229</v>
      </c>
    </row>
    <row r="368" spans="1:13">
      <c r="A368" t="s">
        <v>15287</v>
      </c>
      <c r="B368" t="s">
        <v>15287</v>
      </c>
      <c r="C368" t="s">
        <v>15288</v>
      </c>
      <c r="D368" t="s">
        <v>4310</v>
      </c>
      <c r="F368" t="str">
        <f>Config!$B$7</f>
        <v>SCH/Connector.SchLib</v>
      </c>
      <c r="G368" t="s">
        <v>14932</v>
      </c>
      <c r="H368" t="s">
        <v>15270</v>
      </c>
      <c r="I368" t="s">
        <v>14941</v>
      </c>
      <c r="K368" s="47" t="s">
        <v>16201</v>
      </c>
      <c r="L368" t="s">
        <v>16209</v>
      </c>
      <c r="M368" t="s">
        <v>16229</v>
      </c>
    </row>
    <row r="369" spans="1:13">
      <c r="A369" t="s">
        <v>15289</v>
      </c>
      <c r="B369" t="s">
        <v>15289</v>
      </c>
      <c r="C369" t="s">
        <v>15290</v>
      </c>
      <c r="D369" t="s">
        <v>4310</v>
      </c>
      <c r="F369" t="str">
        <f>Config!$B$7</f>
        <v>SCH/Connector.SchLib</v>
      </c>
      <c r="G369" t="s">
        <v>14932</v>
      </c>
      <c r="H369" t="s">
        <v>15270</v>
      </c>
      <c r="I369" t="s">
        <v>14942</v>
      </c>
      <c r="K369" s="47" t="s">
        <v>16201</v>
      </c>
      <c r="L369" t="s">
        <v>16201</v>
      </c>
      <c r="M369" t="s">
        <v>16229</v>
      </c>
    </row>
    <row r="370" spans="1:13">
      <c r="A370" t="s">
        <v>15291</v>
      </c>
      <c r="B370" t="s">
        <v>15291</v>
      </c>
      <c r="C370" t="s">
        <v>15292</v>
      </c>
      <c r="D370" t="s">
        <v>4310</v>
      </c>
      <c r="F370" t="str">
        <f>Config!$B$7</f>
        <v>SCH/Connector.SchLib</v>
      </c>
      <c r="G370" t="s">
        <v>14932</v>
      </c>
      <c r="H370" t="s">
        <v>15270</v>
      </c>
      <c r="I370" t="s">
        <v>14943</v>
      </c>
      <c r="K370" s="47" t="s">
        <v>16201</v>
      </c>
      <c r="L370" t="s">
        <v>16203</v>
      </c>
      <c r="M370" t="s">
        <v>16229</v>
      </c>
    </row>
    <row r="371" spans="1:13">
      <c r="A371" t="s">
        <v>15293</v>
      </c>
      <c r="B371" t="s">
        <v>15293</v>
      </c>
      <c r="C371" t="s">
        <v>15294</v>
      </c>
      <c r="D371" t="s">
        <v>4310</v>
      </c>
      <c r="F371" t="str">
        <f>Config!$B$7</f>
        <v>SCH/Connector.SchLib</v>
      </c>
      <c r="G371" t="s">
        <v>14932</v>
      </c>
      <c r="H371" t="s">
        <v>15270</v>
      </c>
      <c r="I371" t="s">
        <v>14944</v>
      </c>
      <c r="K371" s="47" t="s">
        <v>16202</v>
      </c>
      <c r="L371" t="s">
        <v>16199</v>
      </c>
      <c r="M371" t="s">
        <v>16229</v>
      </c>
    </row>
    <row r="372" spans="1:13">
      <c r="A372" t="s">
        <v>15295</v>
      </c>
      <c r="B372" t="s">
        <v>15295</v>
      </c>
      <c r="C372" t="s">
        <v>15296</v>
      </c>
      <c r="D372" t="s">
        <v>4310</v>
      </c>
      <c r="F372" t="str">
        <f>Config!$B$7</f>
        <v>SCH/Connector.SchLib</v>
      </c>
      <c r="G372" t="s">
        <v>14932</v>
      </c>
      <c r="H372" t="s">
        <v>15270</v>
      </c>
      <c r="I372" t="s">
        <v>14945</v>
      </c>
      <c r="K372" s="47" t="s">
        <v>16202</v>
      </c>
      <c r="L372" t="s">
        <v>16200</v>
      </c>
      <c r="M372" t="s">
        <v>16229</v>
      </c>
    </row>
    <row r="373" spans="1:13">
      <c r="A373" t="s">
        <v>15297</v>
      </c>
      <c r="B373" t="s">
        <v>15297</v>
      </c>
      <c r="C373" t="s">
        <v>15298</v>
      </c>
      <c r="D373" t="s">
        <v>4310</v>
      </c>
      <c r="F373" t="str">
        <f>Config!$B$7</f>
        <v>SCH/Connector.SchLib</v>
      </c>
      <c r="G373" t="s">
        <v>14932</v>
      </c>
      <c r="H373" t="s">
        <v>15270</v>
      </c>
      <c r="I373" t="s">
        <v>14946</v>
      </c>
      <c r="K373" s="47" t="s">
        <v>16202</v>
      </c>
      <c r="L373" t="s">
        <v>16202</v>
      </c>
      <c r="M373" t="s">
        <v>16229</v>
      </c>
    </row>
    <row r="374" spans="1:13">
      <c r="A374" t="s">
        <v>15299</v>
      </c>
      <c r="B374" t="s">
        <v>15299</v>
      </c>
      <c r="C374" t="s">
        <v>15300</v>
      </c>
      <c r="D374" t="s">
        <v>4310</v>
      </c>
      <c r="F374" t="str">
        <f>Config!$B$7</f>
        <v>SCH/Connector.SchLib</v>
      </c>
      <c r="G374" t="s">
        <v>14932</v>
      </c>
      <c r="H374" t="s">
        <v>15270</v>
      </c>
      <c r="I374" t="s">
        <v>14947</v>
      </c>
      <c r="K374" s="47" t="s">
        <v>16202</v>
      </c>
      <c r="L374" t="s">
        <v>16204</v>
      </c>
      <c r="M374" t="s">
        <v>16229</v>
      </c>
    </row>
    <row r="375" spans="1:13">
      <c r="A375" t="s">
        <v>15301</v>
      </c>
      <c r="B375" t="s">
        <v>15301</v>
      </c>
      <c r="C375" t="s">
        <v>15302</v>
      </c>
      <c r="D375" t="s">
        <v>4310</v>
      </c>
      <c r="F375" t="str">
        <f>Config!$B$7</f>
        <v>SCH/Connector.SchLib</v>
      </c>
      <c r="G375" t="s">
        <v>14932</v>
      </c>
      <c r="H375" t="s">
        <v>15270</v>
      </c>
      <c r="I375" t="s">
        <v>14948</v>
      </c>
      <c r="K375" s="47" t="s">
        <v>16203</v>
      </c>
      <c r="L375" t="s">
        <v>16209</v>
      </c>
      <c r="M375" t="s">
        <v>16229</v>
      </c>
    </row>
    <row r="376" spans="1:13">
      <c r="A376" t="s">
        <v>15303</v>
      </c>
      <c r="B376" t="s">
        <v>15303</v>
      </c>
      <c r="C376" t="s">
        <v>15304</v>
      </c>
      <c r="D376" t="s">
        <v>4310</v>
      </c>
      <c r="F376" t="str">
        <f>Config!$B$7</f>
        <v>SCH/Connector.SchLib</v>
      </c>
      <c r="G376" t="s">
        <v>14932</v>
      </c>
      <c r="H376" t="s">
        <v>15270</v>
      </c>
      <c r="I376" t="s">
        <v>14949</v>
      </c>
      <c r="K376" s="47" t="s">
        <v>16203</v>
      </c>
      <c r="L376" t="s">
        <v>16201</v>
      </c>
      <c r="M376" t="s">
        <v>16229</v>
      </c>
    </row>
    <row r="377" spans="1:13">
      <c r="A377" t="s">
        <v>15305</v>
      </c>
      <c r="B377" t="s">
        <v>15305</v>
      </c>
      <c r="C377" t="s">
        <v>15306</v>
      </c>
      <c r="D377" t="s">
        <v>4310</v>
      </c>
      <c r="F377" t="str">
        <f>Config!$B$7</f>
        <v>SCH/Connector.SchLib</v>
      </c>
      <c r="G377" t="s">
        <v>14932</v>
      </c>
      <c r="H377" t="s">
        <v>15270</v>
      </c>
      <c r="I377" t="s">
        <v>14950</v>
      </c>
      <c r="K377" s="47" t="s">
        <v>16203</v>
      </c>
      <c r="L377" t="s">
        <v>16203</v>
      </c>
      <c r="M377" t="s">
        <v>16229</v>
      </c>
    </row>
    <row r="378" spans="1:13">
      <c r="A378" t="s">
        <v>15307</v>
      </c>
      <c r="B378" t="s">
        <v>15307</v>
      </c>
      <c r="C378" t="s">
        <v>15308</v>
      </c>
      <c r="D378" t="s">
        <v>4310</v>
      </c>
      <c r="F378" t="str">
        <f>Config!$B$7</f>
        <v>SCH/Connector.SchLib</v>
      </c>
      <c r="G378" t="s">
        <v>14932</v>
      </c>
      <c r="H378" t="s">
        <v>15270</v>
      </c>
      <c r="I378" t="s">
        <v>14951</v>
      </c>
      <c r="K378" s="47" t="s">
        <v>16203</v>
      </c>
      <c r="L378" t="s">
        <v>16206</v>
      </c>
      <c r="M378" t="s">
        <v>16229</v>
      </c>
    </row>
    <row r="379" spans="1:13">
      <c r="A379" t="s">
        <v>15309</v>
      </c>
      <c r="B379" t="s">
        <v>15309</v>
      </c>
      <c r="C379" t="s">
        <v>15310</v>
      </c>
      <c r="D379" t="s">
        <v>4310</v>
      </c>
      <c r="F379" t="str">
        <f>Config!$B$7</f>
        <v>SCH/Connector.SchLib</v>
      </c>
      <c r="G379" t="s">
        <v>14932</v>
      </c>
      <c r="H379" t="s">
        <v>15270</v>
      </c>
      <c r="I379" t="s">
        <v>14952</v>
      </c>
      <c r="K379" s="47" t="s">
        <v>16204</v>
      </c>
      <c r="L379" t="s">
        <v>16210</v>
      </c>
      <c r="M379" t="s">
        <v>16229</v>
      </c>
    </row>
    <row r="380" spans="1:13">
      <c r="A380" t="s">
        <v>15311</v>
      </c>
      <c r="B380" t="s">
        <v>15311</v>
      </c>
      <c r="C380" t="s">
        <v>15312</v>
      </c>
      <c r="D380" t="s">
        <v>4310</v>
      </c>
      <c r="F380" t="str">
        <f>Config!$B$7</f>
        <v>SCH/Connector.SchLib</v>
      </c>
      <c r="G380" t="s">
        <v>14932</v>
      </c>
      <c r="H380" t="s">
        <v>15270</v>
      </c>
      <c r="I380" t="s">
        <v>14953</v>
      </c>
      <c r="K380" s="47" t="s">
        <v>16204</v>
      </c>
      <c r="L380" t="s">
        <v>16200</v>
      </c>
      <c r="M380" t="s">
        <v>16229</v>
      </c>
    </row>
    <row r="381" spans="1:13">
      <c r="A381" t="s">
        <v>15313</v>
      </c>
      <c r="B381" t="s">
        <v>15313</v>
      </c>
      <c r="C381" t="s">
        <v>15314</v>
      </c>
      <c r="D381" t="s">
        <v>4310</v>
      </c>
      <c r="F381" t="str">
        <f>Config!$B$7</f>
        <v>SCH/Connector.SchLib</v>
      </c>
      <c r="G381" t="s">
        <v>14932</v>
      </c>
      <c r="H381" t="s">
        <v>15270</v>
      </c>
      <c r="I381" t="s">
        <v>14954</v>
      </c>
      <c r="K381" s="47" t="s">
        <v>16204</v>
      </c>
      <c r="L381" t="s">
        <v>16202</v>
      </c>
      <c r="M381" t="s">
        <v>16229</v>
      </c>
    </row>
    <row r="382" spans="1:13">
      <c r="A382" t="s">
        <v>15315</v>
      </c>
      <c r="B382" t="s">
        <v>15315</v>
      </c>
      <c r="C382" t="s">
        <v>15316</v>
      </c>
      <c r="D382" t="s">
        <v>4310</v>
      </c>
      <c r="F382" t="str">
        <f>Config!$B$7</f>
        <v>SCH/Connector.SchLib</v>
      </c>
      <c r="G382" t="s">
        <v>14932</v>
      </c>
      <c r="H382" t="s">
        <v>15270</v>
      </c>
      <c r="I382" t="s">
        <v>14955</v>
      </c>
      <c r="K382" s="47" t="s">
        <v>16204</v>
      </c>
      <c r="L382" t="s">
        <v>16204</v>
      </c>
      <c r="M382" t="s">
        <v>16229</v>
      </c>
    </row>
    <row r="383" spans="1:13">
      <c r="A383" t="s">
        <v>15317</v>
      </c>
      <c r="B383" t="s">
        <v>15317</v>
      </c>
      <c r="C383" t="s">
        <v>15318</v>
      </c>
      <c r="D383" t="s">
        <v>4310</v>
      </c>
      <c r="F383" t="str">
        <f>Config!$B$7</f>
        <v>SCH/Connector.SchLib</v>
      </c>
      <c r="G383" t="s">
        <v>14932</v>
      </c>
      <c r="H383" t="s">
        <v>15270</v>
      </c>
      <c r="I383" t="s">
        <v>14956</v>
      </c>
      <c r="K383" s="47" t="s">
        <v>16204</v>
      </c>
      <c r="L383" t="s">
        <v>16207</v>
      </c>
      <c r="M383" t="s">
        <v>16229</v>
      </c>
    </row>
    <row r="384" spans="1:13">
      <c r="A384" t="s">
        <v>15319</v>
      </c>
      <c r="B384" t="s">
        <v>15319</v>
      </c>
      <c r="C384" t="s">
        <v>15320</v>
      </c>
      <c r="D384" t="s">
        <v>4310</v>
      </c>
      <c r="F384" t="str">
        <f>Config!$B$7</f>
        <v>SCH/Connector.SchLib</v>
      </c>
      <c r="G384" t="s">
        <v>14932</v>
      </c>
      <c r="H384" t="s">
        <v>15270</v>
      </c>
      <c r="I384" t="s">
        <v>14957</v>
      </c>
      <c r="K384" s="47" t="s">
        <v>16205</v>
      </c>
      <c r="L384" t="s">
        <v>16199</v>
      </c>
      <c r="M384" t="s">
        <v>16229</v>
      </c>
    </row>
    <row r="385" spans="1:13">
      <c r="A385" t="s">
        <v>15915</v>
      </c>
      <c r="B385" t="s">
        <v>15915</v>
      </c>
      <c r="C385" t="s">
        <v>15916</v>
      </c>
      <c r="D385" t="s">
        <v>4310</v>
      </c>
      <c r="F385" t="str">
        <f>Config!$B$7</f>
        <v>SCH/Connector.SchLib</v>
      </c>
      <c r="G385" t="s">
        <v>14932</v>
      </c>
      <c r="H385" t="s">
        <v>15270</v>
      </c>
      <c r="I385" t="s">
        <v>15695</v>
      </c>
      <c r="K385" s="47" t="s">
        <v>16205</v>
      </c>
      <c r="L385" t="s">
        <v>16200</v>
      </c>
      <c r="M385" t="s">
        <v>16229</v>
      </c>
    </row>
    <row r="386" spans="1:13">
      <c r="A386" t="s">
        <v>15321</v>
      </c>
      <c r="B386" t="s">
        <v>15321</v>
      </c>
      <c r="C386" t="s">
        <v>15322</v>
      </c>
      <c r="D386" t="s">
        <v>4310</v>
      </c>
      <c r="F386" t="str">
        <f>Config!$B$7</f>
        <v>SCH/Connector.SchLib</v>
      </c>
      <c r="G386" t="s">
        <v>14932</v>
      </c>
      <c r="H386" t="s">
        <v>15270</v>
      </c>
      <c r="I386" t="s">
        <v>14958</v>
      </c>
      <c r="K386" s="47" t="s">
        <v>16205</v>
      </c>
      <c r="L386" t="s">
        <v>16211</v>
      </c>
      <c r="M386" t="s">
        <v>16229</v>
      </c>
    </row>
    <row r="387" spans="1:13">
      <c r="A387" t="s">
        <v>15323</v>
      </c>
      <c r="B387" t="s">
        <v>15323</v>
      </c>
      <c r="C387" t="s">
        <v>15324</v>
      </c>
      <c r="D387" t="s">
        <v>4310</v>
      </c>
      <c r="F387" t="str">
        <f>Config!$B$7</f>
        <v>SCH/Connector.SchLib</v>
      </c>
      <c r="G387" t="s">
        <v>14932</v>
      </c>
      <c r="H387" t="s">
        <v>15270</v>
      </c>
      <c r="I387" t="s">
        <v>14959</v>
      </c>
      <c r="K387" s="47" t="s">
        <v>16205</v>
      </c>
      <c r="L387" t="s">
        <v>16212</v>
      </c>
      <c r="M387" t="s">
        <v>16229</v>
      </c>
    </row>
    <row r="388" spans="1:13">
      <c r="A388" t="s">
        <v>15325</v>
      </c>
      <c r="B388" t="s">
        <v>15325</v>
      </c>
      <c r="C388" t="s">
        <v>15326</v>
      </c>
      <c r="D388" t="s">
        <v>4310</v>
      </c>
      <c r="F388" t="str">
        <f>Config!$B$7</f>
        <v>SCH/Connector.SchLib</v>
      </c>
      <c r="G388" t="s">
        <v>14932</v>
      </c>
      <c r="H388" t="s">
        <v>15270</v>
      </c>
      <c r="I388" t="s">
        <v>14960</v>
      </c>
      <c r="K388" s="47" t="s">
        <v>16205</v>
      </c>
      <c r="L388" t="s">
        <v>16205</v>
      </c>
      <c r="M388" t="s">
        <v>16229</v>
      </c>
    </row>
    <row r="389" spans="1:13">
      <c r="A389" t="s">
        <v>15327</v>
      </c>
      <c r="B389" t="s">
        <v>15327</v>
      </c>
      <c r="C389" t="s">
        <v>15328</v>
      </c>
      <c r="D389" t="s">
        <v>4310</v>
      </c>
      <c r="F389" t="str">
        <f>Config!$B$7</f>
        <v>SCH/Connector.SchLib</v>
      </c>
      <c r="G389" t="s">
        <v>14932</v>
      </c>
      <c r="H389" t="s">
        <v>15270</v>
      </c>
      <c r="I389" t="s">
        <v>14961</v>
      </c>
      <c r="K389" s="47" t="s">
        <v>16205</v>
      </c>
      <c r="L389" t="s">
        <v>16213</v>
      </c>
      <c r="M389" t="s">
        <v>16229</v>
      </c>
    </row>
    <row r="390" spans="1:13">
      <c r="A390" t="s">
        <v>15917</v>
      </c>
      <c r="B390" t="s">
        <v>15917</v>
      </c>
      <c r="C390" t="s">
        <v>15918</v>
      </c>
      <c r="D390" t="s">
        <v>4310</v>
      </c>
      <c r="F390" t="str">
        <f>Config!$B$7</f>
        <v>SCH/Connector.SchLib</v>
      </c>
      <c r="G390" t="s">
        <v>14932</v>
      </c>
      <c r="H390" t="s">
        <v>15270</v>
      </c>
      <c r="I390" t="s">
        <v>15698</v>
      </c>
      <c r="K390" s="47" t="s">
        <v>16206</v>
      </c>
      <c r="L390" t="s">
        <v>16214</v>
      </c>
      <c r="M390" t="s">
        <v>16229</v>
      </c>
    </row>
    <row r="391" spans="1:13">
      <c r="A391" t="s">
        <v>15919</v>
      </c>
      <c r="B391" t="s">
        <v>15919</v>
      </c>
      <c r="C391" t="s">
        <v>15920</v>
      </c>
      <c r="D391" t="s">
        <v>4310</v>
      </c>
      <c r="F391" t="str">
        <f>Config!$B$7</f>
        <v>SCH/Connector.SchLib</v>
      </c>
      <c r="G391" t="s">
        <v>14932</v>
      </c>
      <c r="H391" t="s">
        <v>15270</v>
      </c>
      <c r="I391" t="s">
        <v>15699</v>
      </c>
      <c r="K391" s="47" t="s">
        <v>16206</v>
      </c>
      <c r="L391" t="s">
        <v>16200</v>
      </c>
      <c r="M391" t="s">
        <v>16229</v>
      </c>
    </row>
    <row r="392" spans="1:13">
      <c r="A392" t="s">
        <v>15921</v>
      </c>
      <c r="B392" t="s">
        <v>15921</v>
      </c>
      <c r="C392" t="s">
        <v>15922</v>
      </c>
      <c r="D392" t="s">
        <v>4310</v>
      </c>
      <c r="F392" t="str">
        <f>Config!$B$7</f>
        <v>SCH/Connector.SchLib</v>
      </c>
      <c r="G392" t="s">
        <v>14932</v>
      </c>
      <c r="H392" t="s">
        <v>15270</v>
      </c>
      <c r="I392" t="s">
        <v>15700</v>
      </c>
      <c r="K392" s="47" t="s">
        <v>16206</v>
      </c>
      <c r="L392" t="s">
        <v>16201</v>
      </c>
      <c r="M392" t="s">
        <v>16229</v>
      </c>
    </row>
    <row r="393" spans="1:13">
      <c r="A393" t="s">
        <v>15923</v>
      </c>
      <c r="B393" t="s">
        <v>15923</v>
      </c>
      <c r="C393" t="s">
        <v>15924</v>
      </c>
      <c r="D393" t="s">
        <v>4310</v>
      </c>
      <c r="F393" t="str">
        <f>Config!$B$7</f>
        <v>SCH/Connector.SchLib</v>
      </c>
      <c r="G393" t="s">
        <v>14932</v>
      </c>
      <c r="H393" t="s">
        <v>15270</v>
      </c>
      <c r="I393" t="s">
        <v>15701</v>
      </c>
      <c r="K393" s="47" t="s">
        <v>16206</v>
      </c>
      <c r="L393" t="s">
        <v>16203</v>
      </c>
      <c r="M393" t="s">
        <v>16229</v>
      </c>
    </row>
    <row r="394" spans="1:13">
      <c r="A394" t="s">
        <v>15925</v>
      </c>
      <c r="B394" t="s">
        <v>15925</v>
      </c>
      <c r="C394" t="s">
        <v>15926</v>
      </c>
      <c r="D394" t="s">
        <v>4310</v>
      </c>
      <c r="F394" t="str">
        <f>Config!$B$7</f>
        <v>SCH/Connector.SchLib</v>
      </c>
      <c r="G394" t="s">
        <v>14932</v>
      </c>
      <c r="H394" t="s">
        <v>15270</v>
      </c>
      <c r="I394" t="s">
        <v>15702</v>
      </c>
      <c r="K394" s="47" t="s">
        <v>16206</v>
      </c>
      <c r="L394" t="s">
        <v>16206</v>
      </c>
      <c r="M394" t="s">
        <v>16229</v>
      </c>
    </row>
    <row r="395" spans="1:13">
      <c r="A395" t="s">
        <v>15927</v>
      </c>
      <c r="B395" t="s">
        <v>15927</v>
      </c>
      <c r="C395" t="s">
        <v>15928</v>
      </c>
      <c r="D395" t="s">
        <v>4310</v>
      </c>
      <c r="F395" t="str">
        <f>Config!$B$7</f>
        <v>SCH/Connector.SchLib</v>
      </c>
      <c r="G395" t="s">
        <v>14932</v>
      </c>
      <c r="H395" t="s">
        <v>15270</v>
      </c>
      <c r="I395" t="s">
        <v>15703</v>
      </c>
      <c r="K395" s="47" t="s">
        <v>16206</v>
      </c>
      <c r="L395" t="s">
        <v>16215</v>
      </c>
      <c r="M395" t="s">
        <v>16229</v>
      </c>
    </row>
    <row r="396" spans="1:13">
      <c r="A396" t="s">
        <v>15929</v>
      </c>
      <c r="B396" t="s">
        <v>15929</v>
      </c>
      <c r="C396" t="s">
        <v>15930</v>
      </c>
      <c r="D396" t="s">
        <v>4310</v>
      </c>
      <c r="F396" t="str">
        <f>Config!$B$7</f>
        <v>SCH/Connector.SchLib</v>
      </c>
      <c r="G396" t="s">
        <v>14932</v>
      </c>
      <c r="H396" t="s">
        <v>15270</v>
      </c>
      <c r="I396" t="s">
        <v>15704</v>
      </c>
      <c r="K396" s="47" t="s">
        <v>16207</v>
      </c>
      <c r="L396" t="s">
        <v>16199</v>
      </c>
      <c r="M396" t="s">
        <v>16229</v>
      </c>
    </row>
    <row r="397" spans="1:13">
      <c r="A397" t="s">
        <v>15931</v>
      </c>
      <c r="B397" t="s">
        <v>15931</v>
      </c>
      <c r="C397" t="s">
        <v>15932</v>
      </c>
      <c r="D397" t="s">
        <v>4310</v>
      </c>
      <c r="F397" t="str">
        <f>Config!$B$7</f>
        <v>SCH/Connector.SchLib</v>
      </c>
      <c r="G397" t="s">
        <v>14932</v>
      </c>
      <c r="H397" t="s">
        <v>15270</v>
      </c>
      <c r="I397" t="s">
        <v>15705</v>
      </c>
      <c r="K397" s="47" t="s">
        <v>16207</v>
      </c>
      <c r="L397" t="s">
        <v>16216</v>
      </c>
      <c r="M397" t="s">
        <v>16229</v>
      </c>
    </row>
    <row r="398" spans="1:13">
      <c r="A398" t="s">
        <v>15933</v>
      </c>
      <c r="B398" t="s">
        <v>15933</v>
      </c>
      <c r="C398" t="s">
        <v>15934</v>
      </c>
      <c r="D398" t="s">
        <v>4310</v>
      </c>
      <c r="F398" t="str">
        <f>Config!$B$7</f>
        <v>SCH/Connector.SchLib</v>
      </c>
      <c r="G398" t="s">
        <v>14932</v>
      </c>
      <c r="H398" t="s">
        <v>15270</v>
      </c>
      <c r="I398" t="s">
        <v>15706</v>
      </c>
      <c r="K398" s="47" t="s">
        <v>16207</v>
      </c>
      <c r="L398" t="s">
        <v>16200</v>
      </c>
      <c r="M398" t="s">
        <v>16229</v>
      </c>
    </row>
    <row r="399" spans="1:13">
      <c r="A399" t="s">
        <v>15935</v>
      </c>
      <c r="B399" t="s">
        <v>15935</v>
      </c>
      <c r="C399" t="s">
        <v>15936</v>
      </c>
      <c r="D399" t="s">
        <v>4310</v>
      </c>
      <c r="F399" t="str">
        <f>Config!$B$7</f>
        <v>SCH/Connector.SchLib</v>
      </c>
      <c r="G399" t="s">
        <v>14932</v>
      </c>
      <c r="H399" t="s">
        <v>15270</v>
      </c>
      <c r="I399" t="s">
        <v>15707</v>
      </c>
      <c r="K399" s="47" t="s">
        <v>16207</v>
      </c>
      <c r="L399" t="s">
        <v>16202</v>
      </c>
      <c r="M399" t="s">
        <v>16229</v>
      </c>
    </row>
    <row r="400" spans="1:13">
      <c r="A400" t="s">
        <v>15937</v>
      </c>
      <c r="B400" t="s">
        <v>15937</v>
      </c>
      <c r="C400" t="s">
        <v>15938</v>
      </c>
      <c r="D400" t="s">
        <v>4310</v>
      </c>
      <c r="F400" t="str">
        <f>Config!$B$7</f>
        <v>SCH/Connector.SchLib</v>
      </c>
      <c r="G400" t="s">
        <v>14932</v>
      </c>
      <c r="H400" t="s">
        <v>15270</v>
      </c>
      <c r="I400" t="s">
        <v>15708</v>
      </c>
      <c r="K400" s="47" t="s">
        <v>16207</v>
      </c>
      <c r="L400" t="s">
        <v>16204</v>
      </c>
      <c r="M400" t="s">
        <v>16229</v>
      </c>
    </row>
    <row r="401" spans="1:13">
      <c r="A401" t="s">
        <v>15939</v>
      </c>
      <c r="B401" t="s">
        <v>15939</v>
      </c>
      <c r="C401" t="s">
        <v>15940</v>
      </c>
      <c r="D401" t="s">
        <v>4310</v>
      </c>
      <c r="F401" t="str">
        <f>Config!$B$7</f>
        <v>SCH/Connector.SchLib</v>
      </c>
      <c r="G401" t="s">
        <v>14932</v>
      </c>
      <c r="H401" t="s">
        <v>15270</v>
      </c>
      <c r="I401" t="s">
        <v>15709</v>
      </c>
      <c r="K401" s="47" t="s">
        <v>16207</v>
      </c>
      <c r="L401" t="s">
        <v>16207</v>
      </c>
      <c r="M401" t="s">
        <v>16229</v>
      </c>
    </row>
    <row r="402" spans="1:13">
      <c r="A402" t="s">
        <v>15941</v>
      </c>
      <c r="B402" t="s">
        <v>15941</v>
      </c>
      <c r="C402" t="s">
        <v>15942</v>
      </c>
      <c r="D402" t="s">
        <v>4310</v>
      </c>
      <c r="F402" t="str">
        <f>Config!$B$7</f>
        <v>SCH/Connector.SchLib</v>
      </c>
      <c r="G402" t="s">
        <v>14932</v>
      </c>
      <c r="H402" t="s">
        <v>15270</v>
      </c>
      <c r="I402" t="s">
        <v>15710</v>
      </c>
      <c r="K402" s="47" t="s">
        <v>16207</v>
      </c>
      <c r="L402" t="s">
        <v>16217</v>
      </c>
      <c r="M402" t="s">
        <v>16229</v>
      </c>
    </row>
    <row r="403" spans="1:13">
      <c r="A403" t="s">
        <v>15943</v>
      </c>
      <c r="B403" t="s">
        <v>15943</v>
      </c>
      <c r="C403" t="s">
        <v>15944</v>
      </c>
      <c r="D403" t="s">
        <v>4310</v>
      </c>
      <c r="F403" t="str">
        <f>Config!$B$7</f>
        <v>SCH/Connector.SchLib</v>
      </c>
      <c r="G403" t="s">
        <v>14932</v>
      </c>
      <c r="H403" t="s">
        <v>15270</v>
      </c>
      <c r="I403" t="s">
        <v>15711</v>
      </c>
      <c r="K403" s="47" t="s">
        <v>16208</v>
      </c>
      <c r="L403" t="s">
        <v>16199</v>
      </c>
      <c r="M403" t="s">
        <v>16229</v>
      </c>
    </row>
    <row r="404" spans="1:13">
      <c r="A404" t="s">
        <v>15945</v>
      </c>
      <c r="B404" t="s">
        <v>15945</v>
      </c>
      <c r="C404" t="s">
        <v>15946</v>
      </c>
      <c r="D404" t="s">
        <v>4310</v>
      </c>
      <c r="F404" t="str">
        <f>Config!$B$7</f>
        <v>SCH/Connector.SchLib</v>
      </c>
      <c r="G404" t="s">
        <v>14932</v>
      </c>
      <c r="H404" t="s">
        <v>15270</v>
      </c>
      <c r="I404" t="s">
        <v>15712</v>
      </c>
      <c r="K404" s="47" t="s">
        <v>16208</v>
      </c>
      <c r="L404" t="s">
        <v>16200</v>
      </c>
      <c r="M404" t="s">
        <v>16229</v>
      </c>
    </row>
    <row r="405" spans="1:13">
      <c r="A405" t="s">
        <v>15947</v>
      </c>
      <c r="B405" t="s">
        <v>15947</v>
      </c>
      <c r="C405" t="s">
        <v>15948</v>
      </c>
      <c r="D405" t="s">
        <v>4310</v>
      </c>
      <c r="F405" t="str">
        <f>Config!$B$7</f>
        <v>SCH/Connector.SchLib</v>
      </c>
      <c r="G405" t="s">
        <v>14932</v>
      </c>
      <c r="H405" t="s">
        <v>15270</v>
      </c>
      <c r="I405" t="s">
        <v>15713</v>
      </c>
      <c r="K405" s="47" t="s">
        <v>16208</v>
      </c>
      <c r="L405" t="s">
        <v>16212</v>
      </c>
      <c r="M405" t="s">
        <v>16229</v>
      </c>
    </row>
    <row r="406" spans="1:13">
      <c r="A406" t="s">
        <v>15949</v>
      </c>
      <c r="B406" t="s">
        <v>15949</v>
      </c>
      <c r="C406" t="s">
        <v>15950</v>
      </c>
      <c r="D406" t="s">
        <v>4310</v>
      </c>
      <c r="F406" t="str">
        <f>Config!$B$7</f>
        <v>SCH/Connector.SchLib</v>
      </c>
      <c r="G406" t="s">
        <v>14932</v>
      </c>
      <c r="H406" t="s">
        <v>15270</v>
      </c>
      <c r="I406" t="s">
        <v>15714</v>
      </c>
      <c r="K406" s="47" t="s">
        <v>16208</v>
      </c>
      <c r="L406" t="s">
        <v>16205</v>
      </c>
      <c r="M406" t="s">
        <v>16229</v>
      </c>
    </row>
    <row r="407" spans="1:13">
      <c r="A407" t="s">
        <v>15951</v>
      </c>
      <c r="B407" t="s">
        <v>15951</v>
      </c>
      <c r="C407" t="s">
        <v>15952</v>
      </c>
      <c r="D407" t="s">
        <v>4310</v>
      </c>
      <c r="F407" t="str">
        <f>Config!$B$7</f>
        <v>SCH/Connector.SchLib</v>
      </c>
      <c r="G407" t="s">
        <v>14932</v>
      </c>
      <c r="H407" t="s">
        <v>15270</v>
      </c>
      <c r="I407" t="s">
        <v>15715</v>
      </c>
      <c r="K407" s="47" t="s">
        <v>16208</v>
      </c>
      <c r="L407" t="s">
        <v>16213</v>
      </c>
      <c r="M407" t="s">
        <v>16229</v>
      </c>
    </row>
    <row r="408" spans="1:13">
      <c r="A408" t="s">
        <v>15953</v>
      </c>
      <c r="B408" t="s">
        <v>15953</v>
      </c>
      <c r="C408" t="s">
        <v>15954</v>
      </c>
      <c r="D408" t="s">
        <v>4310</v>
      </c>
      <c r="F408" t="str">
        <f>Config!$B$7</f>
        <v>SCH/Connector.SchLib</v>
      </c>
      <c r="G408" t="s">
        <v>14932</v>
      </c>
      <c r="H408" t="s">
        <v>15270</v>
      </c>
      <c r="I408" t="s">
        <v>15716</v>
      </c>
      <c r="K408" s="47" t="s">
        <v>16208</v>
      </c>
      <c r="L408" t="s">
        <v>16218</v>
      </c>
      <c r="M408" t="s">
        <v>16229</v>
      </c>
    </row>
    <row r="410" spans="1:13">
      <c r="A410" t="s">
        <v>15207</v>
      </c>
      <c r="B410" t="s">
        <v>15207</v>
      </c>
      <c r="C410" t="s">
        <v>15208</v>
      </c>
      <c r="D410" t="s">
        <v>4310</v>
      </c>
      <c r="F410" t="str">
        <f>Config!$B$7</f>
        <v>SCH/Connector.SchLib</v>
      </c>
      <c r="G410" t="s">
        <v>14932</v>
      </c>
      <c r="H410" t="s">
        <v>15209</v>
      </c>
      <c r="I410" t="s">
        <v>14962</v>
      </c>
      <c r="K410" s="47" t="s">
        <v>16198</v>
      </c>
      <c r="L410" t="s">
        <v>16198</v>
      </c>
      <c r="M410" t="s">
        <v>16230</v>
      </c>
    </row>
    <row r="411" spans="1:13">
      <c r="A411" t="s">
        <v>15210</v>
      </c>
      <c r="B411" t="s">
        <v>15210</v>
      </c>
      <c r="C411" t="s">
        <v>15211</v>
      </c>
      <c r="D411" t="s">
        <v>4310</v>
      </c>
      <c r="F411" t="str">
        <f>Config!$B$7</f>
        <v>SCH/Connector.SchLib</v>
      </c>
      <c r="G411" t="s">
        <v>14932</v>
      </c>
      <c r="H411" t="s">
        <v>15209</v>
      </c>
      <c r="I411" t="s">
        <v>14963</v>
      </c>
      <c r="K411" s="47" t="s">
        <v>16198</v>
      </c>
      <c r="L411" t="s">
        <v>16199</v>
      </c>
      <c r="M411" t="s">
        <v>16230</v>
      </c>
    </row>
    <row r="412" spans="1:13">
      <c r="A412" t="s">
        <v>15212</v>
      </c>
      <c r="B412" t="s">
        <v>15212</v>
      </c>
      <c r="C412" t="s">
        <v>15213</v>
      </c>
      <c r="D412" t="s">
        <v>4310</v>
      </c>
      <c r="F412" t="str">
        <f>Config!$B$7</f>
        <v>SCH/Connector.SchLib</v>
      </c>
      <c r="G412" t="s">
        <v>14932</v>
      </c>
      <c r="H412" t="s">
        <v>15209</v>
      </c>
      <c r="I412" t="s">
        <v>14934</v>
      </c>
      <c r="K412" s="47" t="s">
        <v>16199</v>
      </c>
      <c r="L412" t="s">
        <v>16198</v>
      </c>
      <c r="M412" t="s">
        <v>16230</v>
      </c>
    </row>
    <row r="413" spans="1:13">
      <c r="A413" t="s">
        <v>15214</v>
      </c>
      <c r="B413" t="s">
        <v>15214</v>
      </c>
      <c r="C413" t="s">
        <v>15215</v>
      </c>
      <c r="D413" t="s">
        <v>4310</v>
      </c>
      <c r="F413" t="str">
        <f>Config!$B$7</f>
        <v>SCH/Connector.SchLib</v>
      </c>
      <c r="G413" t="s">
        <v>14932</v>
      </c>
      <c r="H413" t="s">
        <v>15209</v>
      </c>
      <c r="I413" t="s">
        <v>14935</v>
      </c>
      <c r="K413" s="47" t="s">
        <v>16199</v>
      </c>
      <c r="L413" t="s">
        <v>16199</v>
      </c>
      <c r="M413" t="s">
        <v>16230</v>
      </c>
    </row>
    <row r="414" spans="1:13">
      <c r="A414" t="s">
        <v>15216</v>
      </c>
      <c r="B414" t="s">
        <v>15216</v>
      </c>
      <c r="C414" t="s">
        <v>15217</v>
      </c>
      <c r="D414" t="s">
        <v>4310</v>
      </c>
      <c r="F414" t="str">
        <f>Config!$B$7</f>
        <v>SCH/Connector.SchLib</v>
      </c>
      <c r="G414" t="s">
        <v>14932</v>
      </c>
      <c r="H414" t="s">
        <v>15209</v>
      </c>
      <c r="I414" t="s">
        <v>14936</v>
      </c>
      <c r="K414" s="47" t="s">
        <v>16199</v>
      </c>
      <c r="L414" t="s">
        <v>16200</v>
      </c>
      <c r="M414" t="s">
        <v>16230</v>
      </c>
    </row>
    <row r="415" spans="1:13">
      <c r="A415" t="s">
        <v>15218</v>
      </c>
      <c r="B415" t="s">
        <v>15218</v>
      </c>
      <c r="C415" t="s">
        <v>15219</v>
      </c>
      <c r="D415" t="s">
        <v>4310</v>
      </c>
      <c r="F415" t="str">
        <f>Config!$B$7</f>
        <v>SCH/Connector.SchLib</v>
      </c>
      <c r="G415" t="s">
        <v>14932</v>
      </c>
      <c r="H415" t="s">
        <v>15209</v>
      </c>
      <c r="I415" t="s">
        <v>14937</v>
      </c>
      <c r="K415" s="47" t="s">
        <v>16200</v>
      </c>
      <c r="L415" t="s">
        <v>16198</v>
      </c>
      <c r="M415" t="s">
        <v>16230</v>
      </c>
    </row>
    <row r="416" spans="1:13">
      <c r="A416" t="s">
        <v>15220</v>
      </c>
      <c r="B416" t="s">
        <v>15220</v>
      </c>
      <c r="C416" t="s">
        <v>15221</v>
      </c>
      <c r="D416" t="s">
        <v>4310</v>
      </c>
      <c r="F416" t="str">
        <f>Config!$B$7</f>
        <v>SCH/Connector.SchLib</v>
      </c>
      <c r="G416" t="s">
        <v>14932</v>
      </c>
      <c r="H416" t="s">
        <v>15209</v>
      </c>
      <c r="I416" t="s">
        <v>14938</v>
      </c>
      <c r="K416" s="47" t="s">
        <v>16200</v>
      </c>
      <c r="L416" t="s">
        <v>16199</v>
      </c>
      <c r="M416" t="s">
        <v>16230</v>
      </c>
    </row>
    <row r="417" spans="1:13">
      <c r="A417" t="s">
        <v>15222</v>
      </c>
      <c r="B417" t="s">
        <v>15222</v>
      </c>
      <c r="C417" t="s">
        <v>15223</v>
      </c>
      <c r="D417" t="s">
        <v>4310</v>
      </c>
      <c r="F417" t="str">
        <f>Config!$B$7</f>
        <v>SCH/Connector.SchLib</v>
      </c>
      <c r="G417" t="s">
        <v>14932</v>
      </c>
      <c r="H417" t="s">
        <v>15209</v>
      </c>
      <c r="I417" t="s">
        <v>14939</v>
      </c>
      <c r="K417" s="47" t="s">
        <v>16200</v>
      </c>
      <c r="L417" t="s">
        <v>16200</v>
      </c>
      <c r="M417" t="s">
        <v>16230</v>
      </c>
    </row>
    <row r="418" spans="1:13">
      <c r="A418" t="s">
        <v>15224</v>
      </c>
      <c r="B418" t="s">
        <v>15224</v>
      </c>
      <c r="C418" t="s">
        <v>15225</v>
      </c>
      <c r="D418" t="s">
        <v>4310</v>
      </c>
      <c r="F418" t="str">
        <f>Config!$B$7</f>
        <v>SCH/Connector.SchLib</v>
      </c>
      <c r="G418" t="s">
        <v>14932</v>
      </c>
      <c r="H418" t="s">
        <v>15209</v>
      </c>
      <c r="I418" t="s">
        <v>14940</v>
      </c>
      <c r="K418" s="47" t="s">
        <v>16200</v>
      </c>
      <c r="L418" t="s">
        <v>16202</v>
      </c>
      <c r="M418" t="s">
        <v>16230</v>
      </c>
    </row>
    <row r="419" spans="1:13">
      <c r="A419" t="s">
        <v>15226</v>
      </c>
      <c r="B419" t="s">
        <v>15226</v>
      </c>
      <c r="C419" t="s">
        <v>15227</v>
      </c>
      <c r="D419" t="s">
        <v>4310</v>
      </c>
      <c r="F419" t="str">
        <f>Config!$B$7</f>
        <v>SCH/Connector.SchLib</v>
      </c>
      <c r="G419" t="s">
        <v>14932</v>
      </c>
      <c r="H419" t="s">
        <v>15209</v>
      </c>
      <c r="I419" t="s">
        <v>14941</v>
      </c>
      <c r="K419" s="47" t="s">
        <v>16201</v>
      </c>
      <c r="L419" t="s">
        <v>16209</v>
      </c>
      <c r="M419" t="s">
        <v>16230</v>
      </c>
    </row>
    <row r="420" spans="1:13">
      <c r="A420" t="s">
        <v>15228</v>
      </c>
      <c r="B420" t="s">
        <v>15228</v>
      </c>
      <c r="C420" t="s">
        <v>15229</v>
      </c>
      <c r="D420" t="s">
        <v>4310</v>
      </c>
      <c r="F420" t="str">
        <f>Config!$B$7</f>
        <v>SCH/Connector.SchLib</v>
      </c>
      <c r="G420" t="s">
        <v>14932</v>
      </c>
      <c r="H420" t="s">
        <v>15209</v>
      </c>
      <c r="I420" t="s">
        <v>14942</v>
      </c>
      <c r="K420" s="47" t="s">
        <v>16201</v>
      </c>
      <c r="L420" t="s">
        <v>16201</v>
      </c>
      <c r="M420" t="s">
        <v>16230</v>
      </c>
    </row>
    <row r="421" spans="1:13">
      <c r="A421" t="s">
        <v>15230</v>
      </c>
      <c r="B421" t="s">
        <v>15230</v>
      </c>
      <c r="C421" t="s">
        <v>15231</v>
      </c>
      <c r="D421" t="s">
        <v>4310</v>
      </c>
      <c r="F421" t="str">
        <f>Config!$B$7</f>
        <v>SCH/Connector.SchLib</v>
      </c>
      <c r="G421" t="s">
        <v>14932</v>
      </c>
      <c r="H421" t="s">
        <v>15209</v>
      </c>
      <c r="I421" t="s">
        <v>14943</v>
      </c>
      <c r="K421" s="47" t="s">
        <v>16201</v>
      </c>
      <c r="L421" t="s">
        <v>16203</v>
      </c>
      <c r="M421" t="s">
        <v>16230</v>
      </c>
    </row>
    <row r="422" spans="1:13">
      <c r="A422" t="s">
        <v>15232</v>
      </c>
      <c r="B422" t="s">
        <v>15232</v>
      </c>
      <c r="C422" t="s">
        <v>15233</v>
      </c>
      <c r="D422" t="s">
        <v>4310</v>
      </c>
      <c r="F422" t="str">
        <f>Config!$B$7</f>
        <v>SCH/Connector.SchLib</v>
      </c>
      <c r="G422" t="s">
        <v>14932</v>
      </c>
      <c r="H422" t="s">
        <v>15209</v>
      </c>
      <c r="I422" t="s">
        <v>14944</v>
      </c>
      <c r="K422" s="47" t="s">
        <v>16202</v>
      </c>
      <c r="L422" t="s">
        <v>16199</v>
      </c>
      <c r="M422" t="s">
        <v>16230</v>
      </c>
    </row>
    <row r="423" spans="1:13">
      <c r="A423" t="s">
        <v>15234</v>
      </c>
      <c r="B423" t="s">
        <v>15234</v>
      </c>
      <c r="C423" t="s">
        <v>15235</v>
      </c>
      <c r="D423" t="s">
        <v>4310</v>
      </c>
      <c r="F423" t="str">
        <f>Config!$B$7</f>
        <v>SCH/Connector.SchLib</v>
      </c>
      <c r="G423" t="s">
        <v>14932</v>
      </c>
      <c r="H423" t="s">
        <v>15209</v>
      </c>
      <c r="I423" t="s">
        <v>14945</v>
      </c>
      <c r="K423" s="47" t="s">
        <v>16202</v>
      </c>
      <c r="L423" t="s">
        <v>16200</v>
      </c>
      <c r="M423" t="s">
        <v>16230</v>
      </c>
    </row>
    <row r="424" spans="1:13">
      <c r="A424" t="s">
        <v>15236</v>
      </c>
      <c r="B424" t="s">
        <v>15236</v>
      </c>
      <c r="C424" t="s">
        <v>15237</v>
      </c>
      <c r="D424" t="s">
        <v>4310</v>
      </c>
      <c r="F424" t="str">
        <f>Config!$B$7</f>
        <v>SCH/Connector.SchLib</v>
      </c>
      <c r="G424" t="s">
        <v>14932</v>
      </c>
      <c r="H424" t="s">
        <v>15209</v>
      </c>
      <c r="I424" t="s">
        <v>14946</v>
      </c>
      <c r="K424" s="47" t="s">
        <v>16202</v>
      </c>
      <c r="L424" t="s">
        <v>16202</v>
      </c>
      <c r="M424" t="s">
        <v>16230</v>
      </c>
    </row>
    <row r="425" spans="1:13">
      <c r="A425" t="s">
        <v>15238</v>
      </c>
      <c r="B425" t="s">
        <v>15238</v>
      </c>
      <c r="C425" t="s">
        <v>15239</v>
      </c>
      <c r="D425" t="s">
        <v>4310</v>
      </c>
      <c r="F425" t="str">
        <f>Config!$B$7</f>
        <v>SCH/Connector.SchLib</v>
      </c>
      <c r="G425" t="s">
        <v>14932</v>
      </c>
      <c r="H425" t="s">
        <v>15209</v>
      </c>
      <c r="I425" t="s">
        <v>14947</v>
      </c>
      <c r="K425" s="47" t="s">
        <v>16202</v>
      </c>
      <c r="L425" t="s">
        <v>16204</v>
      </c>
      <c r="M425" t="s">
        <v>16230</v>
      </c>
    </row>
    <row r="426" spans="1:13">
      <c r="A426" t="s">
        <v>15240</v>
      </c>
      <c r="B426" t="s">
        <v>15240</v>
      </c>
      <c r="C426" t="s">
        <v>15241</v>
      </c>
      <c r="D426" t="s">
        <v>4310</v>
      </c>
      <c r="F426" t="str">
        <f>Config!$B$7</f>
        <v>SCH/Connector.SchLib</v>
      </c>
      <c r="G426" t="s">
        <v>14932</v>
      </c>
      <c r="H426" t="s">
        <v>15209</v>
      </c>
      <c r="I426" t="s">
        <v>14948</v>
      </c>
      <c r="K426" s="47" t="s">
        <v>16203</v>
      </c>
      <c r="L426" t="s">
        <v>16209</v>
      </c>
      <c r="M426" t="s">
        <v>16230</v>
      </c>
    </row>
    <row r="427" spans="1:13">
      <c r="A427" t="s">
        <v>15242</v>
      </c>
      <c r="B427" t="s">
        <v>15242</v>
      </c>
      <c r="C427" t="s">
        <v>15243</v>
      </c>
      <c r="D427" t="s">
        <v>4310</v>
      </c>
      <c r="F427" t="str">
        <f>Config!$B$7</f>
        <v>SCH/Connector.SchLib</v>
      </c>
      <c r="G427" t="s">
        <v>14932</v>
      </c>
      <c r="H427" t="s">
        <v>15209</v>
      </c>
      <c r="I427" t="s">
        <v>14949</v>
      </c>
      <c r="K427" s="47" t="s">
        <v>16203</v>
      </c>
      <c r="L427" t="s">
        <v>16201</v>
      </c>
      <c r="M427" t="s">
        <v>16230</v>
      </c>
    </row>
    <row r="428" spans="1:13">
      <c r="A428" t="s">
        <v>15244</v>
      </c>
      <c r="B428" t="s">
        <v>15244</v>
      </c>
      <c r="C428" t="s">
        <v>15245</v>
      </c>
      <c r="D428" t="s">
        <v>4310</v>
      </c>
      <c r="F428" t="str">
        <f>Config!$B$7</f>
        <v>SCH/Connector.SchLib</v>
      </c>
      <c r="G428" t="s">
        <v>14932</v>
      </c>
      <c r="H428" t="s">
        <v>15209</v>
      </c>
      <c r="I428" t="s">
        <v>14950</v>
      </c>
      <c r="K428" s="47" t="s">
        <v>16203</v>
      </c>
      <c r="L428" t="s">
        <v>16203</v>
      </c>
      <c r="M428" t="s">
        <v>16230</v>
      </c>
    </row>
    <row r="429" spans="1:13">
      <c r="A429" t="s">
        <v>15246</v>
      </c>
      <c r="B429" t="s">
        <v>15246</v>
      </c>
      <c r="C429" t="s">
        <v>15247</v>
      </c>
      <c r="D429" t="s">
        <v>4310</v>
      </c>
      <c r="F429" t="str">
        <f>Config!$B$7</f>
        <v>SCH/Connector.SchLib</v>
      </c>
      <c r="G429" t="s">
        <v>14932</v>
      </c>
      <c r="H429" t="s">
        <v>15209</v>
      </c>
      <c r="I429" t="s">
        <v>14951</v>
      </c>
      <c r="K429" s="47" t="s">
        <v>16203</v>
      </c>
      <c r="L429" t="s">
        <v>16206</v>
      </c>
      <c r="M429" t="s">
        <v>16230</v>
      </c>
    </row>
    <row r="430" spans="1:13">
      <c r="A430" t="s">
        <v>15248</v>
      </c>
      <c r="B430" t="s">
        <v>15248</v>
      </c>
      <c r="C430" t="s">
        <v>15249</v>
      </c>
      <c r="D430" t="s">
        <v>4310</v>
      </c>
      <c r="F430" t="str">
        <f>Config!$B$7</f>
        <v>SCH/Connector.SchLib</v>
      </c>
      <c r="G430" t="s">
        <v>14932</v>
      </c>
      <c r="H430" t="s">
        <v>15209</v>
      </c>
      <c r="I430" t="s">
        <v>14952</v>
      </c>
      <c r="K430" s="47" t="s">
        <v>16204</v>
      </c>
      <c r="L430" t="s">
        <v>16210</v>
      </c>
      <c r="M430" t="s">
        <v>16230</v>
      </c>
    </row>
    <row r="431" spans="1:13">
      <c r="A431" t="s">
        <v>15250</v>
      </c>
      <c r="B431" t="s">
        <v>15250</v>
      </c>
      <c r="C431" t="s">
        <v>15251</v>
      </c>
      <c r="D431" t="s">
        <v>4310</v>
      </c>
      <c r="F431" t="str">
        <f>Config!$B$7</f>
        <v>SCH/Connector.SchLib</v>
      </c>
      <c r="G431" t="s">
        <v>14932</v>
      </c>
      <c r="H431" t="s">
        <v>15209</v>
      </c>
      <c r="I431" t="s">
        <v>14953</v>
      </c>
      <c r="K431" s="47" t="s">
        <v>16204</v>
      </c>
      <c r="L431" t="s">
        <v>16200</v>
      </c>
      <c r="M431" t="s">
        <v>16230</v>
      </c>
    </row>
    <row r="432" spans="1:13">
      <c r="A432" t="s">
        <v>15252</v>
      </c>
      <c r="B432" t="s">
        <v>15252</v>
      </c>
      <c r="C432" t="s">
        <v>15253</v>
      </c>
      <c r="D432" t="s">
        <v>4310</v>
      </c>
      <c r="F432" t="str">
        <f>Config!$B$7</f>
        <v>SCH/Connector.SchLib</v>
      </c>
      <c r="G432" t="s">
        <v>14932</v>
      </c>
      <c r="H432" t="s">
        <v>15209</v>
      </c>
      <c r="I432" t="s">
        <v>14954</v>
      </c>
      <c r="K432" s="47" t="s">
        <v>16204</v>
      </c>
      <c r="L432" t="s">
        <v>16202</v>
      </c>
      <c r="M432" t="s">
        <v>16230</v>
      </c>
    </row>
    <row r="433" spans="1:13">
      <c r="A433" t="s">
        <v>15254</v>
      </c>
      <c r="B433" t="s">
        <v>15254</v>
      </c>
      <c r="C433" t="s">
        <v>15255</v>
      </c>
      <c r="D433" t="s">
        <v>4310</v>
      </c>
      <c r="F433" t="str">
        <f>Config!$B$7</f>
        <v>SCH/Connector.SchLib</v>
      </c>
      <c r="G433" t="s">
        <v>14932</v>
      </c>
      <c r="H433" t="s">
        <v>15209</v>
      </c>
      <c r="I433" t="s">
        <v>14955</v>
      </c>
      <c r="K433" s="47" t="s">
        <v>16204</v>
      </c>
      <c r="L433" t="s">
        <v>16204</v>
      </c>
      <c r="M433" t="s">
        <v>16230</v>
      </c>
    </row>
    <row r="434" spans="1:13">
      <c r="A434" t="s">
        <v>15256</v>
      </c>
      <c r="B434" t="s">
        <v>15256</v>
      </c>
      <c r="C434" t="s">
        <v>15257</v>
      </c>
      <c r="D434" t="s">
        <v>4310</v>
      </c>
      <c r="F434" t="str">
        <f>Config!$B$7</f>
        <v>SCH/Connector.SchLib</v>
      </c>
      <c r="G434" t="s">
        <v>14932</v>
      </c>
      <c r="H434" t="s">
        <v>15209</v>
      </c>
      <c r="I434" t="s">
        <v>14956</v>
      </c>
      <c r="K434" s="47" t="s">
        <v>16204</v>
      </c>
      <c r="L434" t="s">
        <v>16207</v>
      </c>
      <c r="M434" t="s">
        <v>16230</v>
      </c>
    </row>
    <row r="435" spans="1:13">
      <c r="A435" t="s">
        <v>15258</v>
      </c>
      <c r="B435" t="s">
        <v>15258</v>
      </c>
      <c r="C435" t="s">
        <v>15259</v>
      </c>
      <c r="D435" t="s">
        <v>4310</v>
      </c>
      <c r="F435" t="str">
        <f>Config!$B$7</f>
        <v>SCH/Connector.SchLib</v>
      </c>
      <c r="G435" t="s">
        <v>14932</v>
      </c>
      <c r="H435" t="s">
        <v>15209</v>
      </c>
      <c r="I435" t="s">
        <v>14957</v>
      </c>
      <c r="K435" s="47" t="s">
        <v>16205</v>
      </c>
      <c r="L435" t="s">
        <v>16199</v>
      </c>
      <c r="M435" t="s">
        <v>16230</v>
      </c>
    </row>
    <row r="436" spans="1:13">
      <c r="A436" t="s">
        <v>15875</v>
      </c>
      <c r="B436" t="s">
        <v>15875</v>
      </c>
      <c r="C436" t="s">
        <v>15876</v>
      </c>
      <c r="D436" t="s">
        <v>4310</v>
      </c>
      <c r="F436" t="str">
        <f>Config!$B$7</f>
        <v>SCH/Connector.SchLib</v>
      </c>
      <c r="G436" t="s">
        <v>14932</v>
      </c>
      <c r="H436" t="s">
        <v>15209</v>
      </c>
      <c r="I436" t="s">
        <v>15695</v>
      </c>
      <c r="K436" s="47" t="s">
        <v>16205</v>
      </c>
      <c r="L436" t="s">
        <v>16200</v>
      </c>
      <c r="M436" t="s">
        <v>16230</v>
      </c>
    </row>
    <row r="437" spans="1:13">
      <c r="A437" t="s">
        <v>15260</v>
      </c>
      <c r="B437" t="s">
        <v>15260</v>
      </c>
      <c r="C437" t="s">
        <v>15261</v>
      </c>
      <c r="D437" t="s">
        <v>4310</v>
      </c>
      <c r="F437" t="str">
        <f>Config!$B$7</f>
        <v>SCH/Connector.SchLib</v>
      </c>
      <c r="G437" t="s">
        <v>14932</v>
      </c>
      <c r="H437" t="s">
        <v>15209</v>
      </c>
      <c r="I437" t="s">
        <v>14958</v>
      </c>
      <c r="K437" s="47" t="s">
        <v>16205</v>
      </c>
      <c r="L437" t="s">
        <v>16211</v>
      </c>
      <c r="M437" t="s">
        <v>16230</v>
      </c>
    </row>
    <row r="438" spans="1:13">
      <c r="A438" t="s">
        <v>15262</v>
      </c>
      <c r="B438" t="s">
        <v>15262</v>
      </c>
      <c r="C438" t="s">
        <v>15263</v>
      </c>
      <c r="D438" t="s">
        <v>4310</v>
      </c>
      <c r="F438" t="str">
        <f>Config!$B$7</f>
        <v>SCH/Connector.SchLib</v>
      </c>
      <c r="G438" t="s">
        <v>14932</v>
      </c>
      <c r="H438" t="s">
        <v>15209</v>
      </c>
      <c r="I438" t="s">
        <v>14959</v>
      </c>
      <c r="K438" s="47" t="s">
        <v>16205</v>
      </c>
      <c r="L438" t="s">
        <v>16212</v>
      </c>
      <c r="M438" t="s">
        <v>16230</v>
      </c>
    </row>
    <row r="439" spans="1:13">
      <c r="A439" t="s">
        <v>15264</v>
      </c>
      <c r="B439" t="s">
        <v>15264</v>
      </c>
      <c r="C439" t="s">
        <v>15265</v>
      </c>
      <c r="D439" t="s">
        <v>4310</v>
      </c>
      <c r="F439" t="str">
        <f>Config!$B$7</f>
        <v>SCH/Connector.SchLib</v>
      </c>
      <c r="G439" t="s">
        <v>14932</v>
      </c>
      <c r="H439" t="s">
        <v>15209</v>
      </c>
      <c r="I439" t="s">
        <v>14960</v>
      </c>
      <c r="K439" s="47" t="s">
        <v>16205</v>
      </c>
      <c r="L439" t="s">
        <v>16205</v>
      </c>
      <c r="M439" t="s">
        <v>16230</v>
      </c>
    </row>
    <row r="440" spans="1:13">
      <c r="A440" t="s">
        <v>15266</v>
      </c>
      <c r="B440" t="s">
        <v>15266</v>
      </c>
      <c r="C440" t="s">
        <v>15267</v>
      </c>
      <c r="D440" t="s">
        <v>4310</v>
      </c>
      <c r="F440" t="str">
        <f>Config!$B$7</f>
        <v>SCH/Connector.SchLib</v>
      </c>
      <c r="G440" t="s">
        <v>14932</v>
      </c>
      <c r="H440" t="s">
        <v>15209</v>
      </c>
      <c r="I440" t="s">
        <v>14961</v>
      </c>
      <c r="K440" s="47" t="s">
        <v>16205</v>
      </c>
      <c r="L440" t="s">
        <v>16213</v>
      </c>
      <c r="M440" t="s">
        <v>16230</v>
      </c>
    </row>
    <row r="441" spans="1:13">
      <c r="A441" t="s">
        <v>15877</v>
      </c>
      <c r="B441" t="s">
        <v>15877</v>
      </c>
      <c r="C441" t="s">
        <v>15878</v>
      </c>
      <c r="D441" t="s">
        <v>4310</v>
      </c>
      <c r="F441" t="str">
        <f>Config!$B$7</f>
        <v>SCH/Connector.SchLib</v>
      </c>
      <c r="G441" t="s">
        <v>14932</v>
      </c>
      <c r="H441" t="s">
        <v>15209</v>
      </c>
      <c r="I441" t="s">
        <v>15698</v>
      </c>
      <c r="K441" s="47" t="s">
        <v>16206</v>
      </c>
      <c r="L441" t="s">
        <v>16214</v>
      </c>
      <c r="M441" t="s">
        <v>16230</v>
      </c>
    </row>
    <row r="442" spans="1:13">
      <c r="A442" t="s">
        <v>15879</v>
      </c>
      <c r="B442" t="s">
        <v>15879</v>
      </c>
      <c r="C442" t="s">
        <v>15880</v>
      </c>
      <c r="D442" t="s">
        <v>4310</v>
      </c>
      <c r="F442" t="str">
        <f>Config!$B$7</f>
        <v>SCH/Connector.SchLib</v>
      </c>
      <c r="G442" t="s">
        <v>14932</v>
      </c>
      <c r="H442" t="s">
        <v>15209</v>
      </c>
      <c r="I442" t="s">
        <v>15699</v>
      </c>
      <c r="K442" s="47" t="s">
        <v>16206</v>
      </c>
      <c r="L442" t="s">
        <v>16200</v>
      </c>
      <c r="M442" t="s">
        <v>16230</v>
      </c>
    </row>
    <row r="443" spans="1:13">
      <c r="A443" t="s">
        <v>15881</v>
      </c>
      <c r="B443" t="s">
        <v>15881</v>
      </c>
      <c r="C443" t="s">
        <v>15882</v>
      </c>
      <c r="D443" t="s">
        <v>4310</v>
      </c>
      <c r="F443" t="str">
        <f>Config!$B$7</f>
        <v>SCH/Connector.SchLib</v>
      </c>
      <c r="G443" t="s">
        <v>14932</v>
      </c>
      <c r="H443" t="s">
        <v>15209</v>
      </c>
      <c r="I443" t="s">
        <v>15700</v>
      </c>
      <c r="K443" s="47" t="s">
        <v>16206</v>
      </c>
      <c r="L443" t="s">
        <v>16201</v>
      </c>
      <c r="M443" t="s">
        <v>16230</v>
      </c>
    </row>
    <row r="444" spans="1:13">
      <c r="A444" t="s">
        <v>15883</v>
      </c>
      <c r="B444" t="s">
        <v>15883</v>
      </c>
      <c r="C444" t="s">
        <v>15884</v>
      </c>
      <c r="D444" t="s">
        <v>4310</v>
      </c>
      <c r="F444" t="str">
        <f>Config!$B$7</f>
        <v>SCH/Connector.SchLib</v>
      </c>
      <c r="G444" t="s">
        <v>14932</v>
      </c>
      <c r="H444" t="s">
        <v>15209</v>
      </c>
      <c r="I444" t="s">
        <v>15701</v>
      </c>
      <c r="K444" s="47" t="s">
        <v>16206</v>
      </c>
      <c r="L444" t="s">
        <v>16203</v>
      </c>
      <c r="M444" t="s">
        <v>16230</v>
      </c>
    </row>
    <row r="445" spans="1:13">
      <c r="A445" t="s">
        <v>15885</v>
      </c>
      <c r="B445" t="s">
        <v>15885</v>
      </c>
      <c r="C445" t="s">
        <v>15886</v>
      </c>
      <c r="D445" t="s">
        <v>4310</v>
      </c>
      <c r="F445" t="str">
        <f>Config!$B$7</f>
        <v>SCH/Connector.SchLib</v>
      </c>
      <c r="G445" t="s">
        <v>14932</v>
      </c>
      <c r="H445" t="s">
        <v>15209</v>
      </c>
      <c r="I445" t="s">
        <v>15702</v>
      </c>
      <c r="K445" s="47" t="s">
        <v>16206</v>
      </c>
      <c r="L445" t="s">
        <v>16206</v>
      </c>
      <c r="M445" t="s">
        <v>16230</v>
      </c>
    </row>
    <row r="446" spans="1:13">
      <c r="A446" t="s">
        <v>15887</v>
      </c>
      <c r="B446" t="s">
        <v>15887</v>
      </c>
      <c r="C446" t="s">
        <v>15888</v>
      </c>
      <c r="D446" t="s">
        <v>4310</v>
      </c>
      <c r="F446" t="str">
        <f>Config!$B$7</f>
        <v>SCH/Connector.SchLib</v>
      </c>
      <c r="G446" t="s">
        <v>14932</v>
      </c>
      <c r="H446" t="s">
        <v>15209</v>
      </c>
      <c r="I446" t="s">
        <v>15703</v>
      </c>
      <c r="K446" s="47" t="s">
        <v>16206</v>
      </c>
      <c r="L446" t="s">
        <v>16215</v>
      </c>
      <c r="M446" t="s">
        <v>16230</v>
      </c>
    </row>
    <row r="447" spans="1:13">
      <c r="A447" t="s">
        <v>15889</v>
      </c>
      <c r="B447" t="s">
        <v>15889</v>
      </c>
      <c r="C447" t="s">
        <v>15890</v>
      </c>
      <c r="D447" t="s">
        <v>4310</v>
      </c>
      <c r="F447" t="str">
        <f>Config!$B$7</f>
        <v>SCH/Connector.SchLib</v>
      </c>
      <c r="G447" t="s">
        <v>14932</v>
      </c>
      <c r="H447" t="s">
        <v>15209</v>
      </c>
      <c r="I447" t="s">
        <v>15704</v>
      </c>
      <c r="K447" s="47" t="s">
        <v>16207</v>
      </c>
      <c r="L447" t="s">
        <v>16199</v>
      </c>
      <c r="M447" t="s">
        <v>16230</v>
      </c>
    </row>
    <row r="448" spans="1:13">
      <c r="A448" t="s">
        <v>15891</v>
      </c>
      <c r="B448" t="s">
        <v>15891</v>
      </c>
      <c r="C448" t="s">
        <v>15892</v>
      </c>
      <c r="D448" t="s">
        <v>4310</v>
      </c>
      <c r="F448" t="str">
        <f>Config!$B$7</f>
        <v>SCH/Connector.SchLib</v>
      </c>
      <c r="G448" t="s">
        <v>14932</v>
      </c>
      <c r="H448" t="s">
        <v>15209</v>
      </c>
      <c r="I448" t="s">
        <v>15705</v>
      </c>
      <c r="K448" s="47" t="s">
        <v>16207</v>
      </c>
      <c r="L448" t="s">
        <v>16216</v>
      </c>
      <c r="M448" t="s">
        <v>16230</v>
      </c>
    </row>
    <row r="449" spans="1:13">
      <c r="A449" t="s">
        <v>15893</v>
      </c>
      <c r="B449" t="s">
        <v>15893</v>
      </c>
      <c r="C449" t="s">
        <v>15894</v>
      </c>
      <c r="D449" t="s">
        <v>4310</v>
      </c>
      <c r="F449" t="str">
        <f>Config!$B$7</f>
        <v>SCH/Connector.SchLib</v>
      </c>
      <c r="G449" t="s">
        <v>14932</v>
      </c>
      <c r="H449" t="s">
        <v>15209</v>
      </c>
      <c r="I449" t="s">
        <v>15706</v>
      </c>
      <c r="K449" s="47" t="s">
        <v>16207</v>
      </c>
      <c r="L449" t="s">
        <v>16200</v>
      </c>
      <c r="M449" t="s">
        <v>16230</v>
      </c>
    </row>
    <row r="450" spans="1:13">
      <c r="A450" t="s">
        <v>15895</v>
      </c>
      <c r="B450" t="s">
        <v>15895</v>
      </c>
      <c r="C450" t="s">
        <v>15896</v>
      </c>
      <c r="D450" t="s">
        <v>4310</v>
      </c>
      <c r="F450" t="str">
        <f>Config!$B$7</f>
        <v>SCH/Connector.SchLib</v>
      </c>
      <c r="G450" t="s">
        <v>14932</v>
      </c>
      <c r="H450" t="s">
        <v>15209</v>
      </c>
      <c r="I450" t="s">
        <v>15707</v>
      </c>
      <c r="K450" s="47" t="s">
        <v>16207</v>
      </c>
      <c r="L450" t="s">
        <v>16202</v>
      </c>
      <c r="M450" t="s">
        <v>16230</v>
      </c>
    </row>
    <row r="451" spans="1:13">
      <c r="A451" t="s">
        <v>15897</v>
      </c>
      <c r="B451" t="s">
        <v>15897</v>
      </c>
      <c r="C451" t="s">
        <v>15898</v>
      </c>
      <c r="D451" t="s">
        <v>4310</v>
      </c>
      <c r="F451" t="str">
        <f>Config!$B$7</f>
        <v>SCH/Connector.SchLib</v>
      </c>
      <c r="G451" t="s">
        <v>14932</v>
      </c>
      <c r="H451" t="s">
        <v>15209</v>
      </c>
      <c r="I451" t="s">
        <v>15708</v>
      </c>
      <c r="K451" s="47" t="s">
        <v>16207</v>
      </c>
      <c r="L451" t="s">
        <v>16204</v>
      </c>
      <c r="M451" t="s">
        <v>16230</v>
      </c>
    </row>
    <row r="452" spans="1:13">
      <c r="A452" t="s">
        <v>15899</v>
      </c>
      <c r="B452" t="s">
        <v>15899</v>
      </c>
      <c r="C452" t="s">
        <v>15900</v>
      </c>
      <c r="D452" t="s">
        <v>4310</v>
      </c>
      <c r="F452" t="str">
        <f>Config!$B$7</f>
        <v>SCH/Connector.SchLib</v>
      </c>
      <c r="G452" t="s">
        <v>14932</v>
      </c>
      <c r="H452" t="s">
        <v>15209</v>
      </c>
      <c r="I452" t="s">
        <v>15709</v>
      </c>
      <c r="K452" s="47" t="s">
        <v>16207</v>
      </c>
      <c r="L452" t="s">
        <v>16207</v>
      </c>
      <c r="M452" t="s">
        <v>16230</v>
      </c>
    </row>
    <row r="453" spans="1:13">
      <c r="A453" t="s">
        <v>15901</v>
      </c>
      <c r="B453" t="s">
        <v>15901</v>
      </c>
      <c r="C453" t="s">
        <v>15902</v>
      </c>
      <c r="D453" t="s">
        <v>4310</v>
      </c>
      <c r="F453" t="str">
        <f>Config!$B$7</f>
        <v>SCH/Connector.SchLib</v>
      </c>
      <c r="G453" t="s">
        <v>14932</v>
      </c>
      <c r="H453" t="s">
        <v>15209</v>
      </c>
      <c r="I453" t="s">
        <v>15710</v>
      </c>
      <c r="K453" s="47" t="s">
        <v>16207</v>
      </c>
      <c r="L453" t="s">
        <v>16217</v>
      </c>
      <c r="M453" t="s">
        <v>16230</v>
      </c>
    </row>
    <row r="454" spans="1:13">
      <c r="A454" t="s">
        <v>15903</v>
      </c>
      <c r="B454" t="s">
        <v>15903</v>
      </c>
      <c r="C454" t="s">
        <v>15904</v>
      </c>
      <c r="D454" t="s">
        <v>4310</v>
      </c>
      <c r="F454" t="str">
        <f>Config!$B$7</f>
        <v>SCH/Connector.SchLib</v>
      </c>
      <c r="G454" t="s">
        <v>14932</v>
      </c>
      <c r="H454" t="s">
        <v>15209</v>
      </c>
      <c r="I454" t="s">
        <v>15711</v>
      </c>
      <c r="K454" s="47" t="s">
        <v>16208</v>
      </c>
      <c r="L454" t="s">
        <v>16199</v>
      </c>
      <c r="M454" t="s">
        <v>16230</v>
      </c>
    </row>
    <row r="455" spans="1:13">
      <c r="A455" t="s">
        <v>15905</v>
      </c>
      <c r="B455" t="s">
        <v>15905</v>
      </c>
      <c r="C455" t="s">
        <v>15906</v>
      </c>
      <c r="D455" t="s">
        <v>4310</v>
      </c>
      <c r="F455" t="str">
        <f>Config!$B$7</f>
        <v>SCH/Connector.SchLib</v>
      </c>
      <c r="G455" t="s">
        <v>14932</v>
      </c>
      <c r="H455" t="s">
        <v>15209</v>
      </c>
      <c r="I455" t="s">
        <v>15712</v>
      </c>
      <c r="K455" s="47" t="s">
        <v>16208</v>
      </c>
      <c r="L455" t="s">
        <v>16200</v>
      </c>
      <c r="M455" t="s">
        <v>16230</v>
      </c>
    </row>
    <row r="456" spans="1:13">
      <c r="A456" t="s">
        <v>15907</v>
      </c>
      <c r="B456" t="s">
        <v>15907</v>
      </c>
      <c r="C456" t="s">
        <v>15908</v>
      </c>
      <c r="D456" t="s">
        <v>4310</v>
      </c>
      <c r="F456" t="str">
        <f>Config!$B$7</f>
        <v>SCH/Connector.SchLib</v>
      </c>
      <c r="G456" t="s">
        <v>14932</v>
      </c>
      <c r="H456" t="s">
        <v>15209</v>
      </c>
      <c r="I456" t="s">
        <v>15713</v>
      </c>
      <c r="K456" s="47" t="s">
        <v>16208</v>
      </c>
      <c r="L456" t="s">
        <v>16212</v>
      </c>
      <c r="M456" t="s">
        <v>16230</v>
      </c>
    </row>
    <row r="457" spans="1:13">
      <c r="A457" t="s">
        <v>15909</v>
      </c>
      <c r="B457" t="s">
        <v>15909</v>
      </c>
      <c r="C457" t="s">
        <v>15910</v>
      </c>
      <c r="D457" t="s">
        <v>4310</v>
      </c>
      <c r="F457" t="str">
        <f>Config!$B$7</f>
        <v>SCH/Connector.SchLib</v>
      </c>
      <c r="G457" t="s">
        <v>14932</v>
      </c>
      <c r="H457" t="s">
        <v>15209</v>
      </c>
      <c r="I457" t="s">
        <v>15714</v>
      </c>
      <c r="K457" s="47" t="s">
        <v>16208</v>
      </c>
      <c r="L457" t="s">
        <v>16205</v>
      </c>
      <c r="M457" t="s">
        <v>16230</v>
      </c>
    </row>
    <row r="458" spans="1:13">
      <c r="A458" t="s">
        <v>15911</v>
      </c>
      <c r="B458" t="s">
        <v>15911</v>
      </c>
      <c r="C458" t="s">
        <v>15912</v>
      </c>
      <c r="D458" t="s">
        <v>4310</v>
      </c>
      <c r="F458" t="str">
        <f>Config!$B$7</f>
        <v>SCH/Connector.SchLib</v>
      </c>
      <c r="G458" t="s">
        <v>14932</v>
      </c>
      <c r="H458" t="s">
        <v>15209</v>
      </c>
      <c r="I458" t="s">
        <v>15715</v>
      </c>
      <c r="K458" s="47" t="s">
        <v>16208</v>
      </c>
      <c r="L458" t="s">
        <v>16213</v>
      </c>
      <c r="M458" t="s">
        <v>16230</v>
      </c>
    </row>
    <row r="459" spans="1:13">
      <c r="A459" t="s">
        <v>15913</v>
      </c>
      <c r="B459" t="s">
        <v>15913</v>
      </c>
      <c r="C459" t="s">
        <v>15914</v>
      </c>
      <c r="D459" t="s">
        <v>4310</v>
      </c>
      <c r="F459" t="str">
        <f>Config!$B$7</f>
        <v>SCH/Connector.SchLib</v>
      </c>
      <c r="G459" t="s">
        <v>14932</v>
      </c>
      <c r="H459" t="s">
        <v>15209</v>
      </c>
      <c r="I459" t="s">
        <v>15716</v>
      </c>
      <c r="K459" s="47" t="s">
        <v>16208</v>
      </c>
      <c r="L459" t="s">
        <v>16218</v>
      </c>
      <c r="M459" t="s">
        <v>16230</v>
      </c>
    </row>
    <row r="461" spans="1:13">
      <c r="A461" t="s">
        <v>14994</v>
      </c>
      <c r="B461" t="s">
        <v>14994</v>
      </c>
      <c r="C461" t="s">
        <v>15054</v>
      </c>
      <c r="D461" t="s">
        <v>4310</v>
      </c>
      <c r="F461" t="str">
        <f>Config!$B$7</f>
        <v>SCH/Connector.SchLib</v>
      </c>
      <c r="G461" t="s">
        <v>14932</v>
      </c>
      <c r="H461" t="s">
        <v>15084</v>
      </c>
      <c r="I461" t="s">
        <v>14962</v>
      </c>
      <c r="K461" s="47" t="s">
        <v>16198</v>
      </c>
      <c r="L461" t="s">
        <v>16198</v>
      </c>
      <c r="M461" t="s">
        <v>16222</v>
      </c>
    </row>
    <row r="462" spans="1:13">
      <c r="A462" t="s">
        <v>14995</v>
      </c>
      <c r="B462" t="s">
        <v>14995</v>
      </c>
      <c r="C462" t="s">
        <v>15055</v>
      </c>
      <c r="D462" t="s">
        <v>4310</v>
      </c>
      <c r="F462" t="str">
        <f>Config!$B$7</f>
        <v>SCH/Connector.SchLib</v>
      </c>
      <c r="G462" t="s">
        <v>14932</v>
      </c>
      <c r="H462" t="s">
        <v>15084</v>
      </c>
      <c r="I462" t="s">
        <v>14963</v>
      </c>
      <c r="K462" s="47" t="s">
        <v>16198</v>
      </c>
      <c r="L462" t="s">
        <v>16199</v>
      </c>
      <c r="M462" t="s">
        <v>16222</v>
      </c>
    </row>
    <row r="463" spans="1:13">
      <c r="A463" t="s">
        <v>14996</v>
      </c>
      <c r="B463" t="s">
        <v>14996</v>
      </c>
      <c r="C463" t="s">
        <v>15056</v>
      </c>
      <c r="D463" t="s">
        <v>4310</v>
      </c>
      <c r="F463" t="str">
        <f>Config!$B$7</f>
        <v>SCH/Connector.SchLib</v>
      </c>
      <c r="G463" t="s">
        <v>14932</v>
      </c>
      <c r="H463" t="s">
        <v>15084</v>
      </c>
      <c r="I463" t="s">
        <v>14934</v>
      </c>
      <c r="K463" s="47" t="s">
        <v>16199</v>
      </c>
      <c r="L463" t="s">
        <v>16198</v>
      </c>
      <c r="M463" t="s">
        <v>16222</v>
      </c>
    </row>
    <row r="464" spans="1:13">
      <c r="A464" t="s">
        <v>14997</v>
      </c>
      <c r="B464" t="s">
        <v>14997</v>
      </c>
      <c r="C464" t="s">
        <v>15057</v>
      </c>
      <c r="D464" t="s">
        <v>4310</v>
      </c>
      <c r="F464" t="str">
        <f>Config!$B$7</f>
        <v>SCH/Connector.SchLib</v>
      </c>
      <c r="G464" t="s">
        <v>14932</v>
      </c>
      <c r="H464" t="s">
        <v>15084</v>
      </c>
      <c r="I464" t="s">
        <v>14935</v>
      </c>
      <c r="K464" s="47" t="s">
        <v>16199</v>
      </c>
      <c r="L464" t="s">
        <v>16199</v>
      </c>
      <c r="M464" t="s">
        <v>16222</v>
      </c>
    </row>
    <row r="465" spans="1:13">
      <c r="A465" t="s">
        <v>14998</v>
      </c>
      <c r="B465" t="s">
        <v>14998</v>
      </c>
      <c r="C465" t="s">
        <v>15058</v>
      </c>
      <c r="D465" t="s">
        <v>4310</v>
      </c>
      <c r="F465" t="str">
        <f>Config!$B$7</f>
        <v>SCH/Connector.SchLib</v>
      </c>
      <c r="G465" t="s">
        <v>14932</v>
      </c>
      <c r="H465" t="s">
        <v>15084</v>
      </c>
      <c r="I465" t="s">
        <v>14936</v>
      </c>
      <c r="K465" s="47" t="s">
        <v>16199</v>
      </c>
      <c r="L465" t="s">
        <v>16200</v>
      </c>
      <c r="M465" t="s">
        <v>16222</v>
      </c>
    </row>
    <row r="466" spans="1:13">
      <c r="A466" t="s">
        <v>14999</v>
      </c>
      <c r="B466" t="s">
        <v>14999</v>
      </c>
      <c r="C466" t="s">
        <v>15059</v>
      </c>
      <c r="D466" t="s">
        <v>4310</v>
      </c>
      <c r="F466" t="str">
        <f>Config!$B$7</f>
        <v>SCH/Connector.SchLib</v>
      </c>
      <c r="G466" t="s">
        <v>14932</v>
      </c>
      <c r="H466" t="s">
        <v>15084</v>
      </c>
      <c r="I466" t="s">
        <v>14937</v>
      </c>
      <c r="K466" s="47" t="s">
        <v>16200</v>
      </c>
      <c r="L466" t="s">
        <v>16198</v>
      </c>
      <c r="M466" t="s">
        <v>16222</v>
      </c>
    </row>
    <row r="467" spans="1:13">
      <c r="A467" t="s">
        <v>15000</v>
      </c>
      <c r="B467" t="s">
        <v>15000</v>
      </c>
      <c r="C467" t="s">
        <v>15060</v>
      </c>
      <c r="D467" t="s">
        <v>4310</v>
      </c>
      <c r="F467" t="str">
        <f>Config!$B$7</f>
        <v>SCH/Connector.SchLib</v>
      </c>
      <c r="G467" t="s">
        <v>14932</v>
      </c>
      <c r="H467" t="s">
        <v>15084</v>
      </c>
      <c r="I467" t="s">
        <v>14938</v>
      </c>
      <c r="K467" s="47" t="s">
        <v>16200</v>
      </c>
      <c r="L467" t="s">
        <v>16199</v>
      </c>
      <c r="M467" t="s">
        <v>16222</v>
      </c>
    </row>
    <row r="468" spans="1:13">
      <c r="A468" t="s">
        <v>15001</v>
      </c>
      <c r="B468" t="s">
        <v>15001</v>
      </c>
      <c r="C468" t="s">
        <v>15061</v>
      </c>
      <c r="D468" t="s">
        <v>4310</v>
      </c>
      <c r="F468" t="str">
        <f>Config!$B$7</f>
        <v>SCH/Connector.SchLib</v>
      </c>
      <c r="G468" t="s">
        <v>14932</v>
      </c>
      <c r="H468" t="s">
        <v>15084</v>
      </c>
      <c r="I468" t="s">
        <v>14939</v>
      </c>
      <c r="K468" s="47" t="s">
        <v>16200</v>
      </c>
      <c r="L468" t="s">
        <v>16200</v>
      </c>
      <c r="M468" t="s">
        <v>16222</v>
      </c>
    </row>
    <row r="469" spans="1:13">
      <c r="A469" t="s">
        <v>15002</v>
      </c>
      <c r="B469" t="s">
        <v>15002</v>
      </c>
      <c r="C469" t="s">
        <v>15062</v>
      </c>
      <c r="D469" t="s">
        <v>4310</v>
      </c>
      <c r="F469" t="str">
        <f>Config!$B$7</f>
        <v>SCH/Connector.SchLib</v>
      </c>
      <c r="G469" t="s">
        <v>14932</v>
      </c>
      <c r="H469" t="s">
        <v>15084</v>
      </c>
      <c r="I469" t="s">
        <v>14940</v>
      </c>
      <c r="K469" s="47" t="s">
        <v>16200</v>
      </c>
      <c r="L469" t="s">
        <v>16202</v>
      </c>
      <c r="M469" t="s">
        <v>16222</v>
      </c>
    </row>
    <row r="470" spans="1:13">
      <c r="A470" t="s">
        <v>15003</v>
      </c>
      <c r="B470" t="s">
        <v>15003</v>
      </c>
      <c r="C470" t="s">
        <v>15063</v>
      </c>
      <c r="D470" t="s">
        <v>4310</v>
      </c>
      <c r="F470" t="str">
        <f>Config!$B$7</f>
        <v>SCH/Connector.SchLib</v>
      </c>
      <c r="G470" t="s">
        <v>14932</v>
      </c>
      <c r="H470" t="s">
        <v>15084</v>
      </c>
      <c r="I470" t="s">
        <v>14941</v>
      </c>
      <c r="K470" s="47" t="s">
        <v>16201</v>
      </c>
      <c r="L470" t="s">
        <v>16209</v>
      </c>
      <c r="M470" t="s">
        <v>16222</v>
      </c>
    </row>
    <row r="471" spans="1:13">
      <c r="A471" t="s">
        <v>15004</v>
      </c>
      <c r="B471" t="s">
        <v>15004</v>
      </c>
      <c r="C471" t="s">
        <v>15064</v>
      </c>
      <c r="D471" t="s">
        <v>4310</v>
      </c>
      <c r="F471" t="str">
        <f>Config!$B$7</f>
        <v>SCH/Connector.SchLib</v>
      </c>
      <c r="G471" t="s">
        <v>14932</v>
      </c>
      <c r="H471" t="s">
        <v>15084</v>
      </c>
      <c r="I471" t="s">
        <v>14942</v>
      </c>
      <c r="K471" s="47" t="s">
        <v>16201</v>
      </c>
      <c r="L471" t="s">
        <v>16201</v>
      </c>
      <c r="M471" t="s">
        <v>16222</v>
      </c>
    </row>
    <row r="472" spans="1:13">
      <c r="A472" t="s">
        <v>15005</v>
      </c>
      <c r="B472" t="s">
        <v>15005</v>
      </c>
      <c r="C472" t="s">
        <v>15065</v>
      </c>
      <c r="D472" t="s">
        <v>4310</v>
      </c>
      <c r="F472" t="str">
        <f>Config!$B$7</f>
        <v>SCH/Connector.SchLib</v>
      </c>
      <c r="G472" t="s">
        <v>14932</v>
      </c>
      <c r="H472" t="s">
        <v>15084</v>
      </c>
      <c r="I472" t="s">
        <v>14943</v>
      </c>
      <c r="K472" s="47" t="s">
        <v>16201</v>
      </c>
      <c r="L472" t="s">
        <v>16203</v>
      </c>
      <c r="M472" t="s">
        <v>16222</v>
      </c>
    </row>
    <row r="473" spans="1:13">
      <c r="A473" t="s">
        <v>15006</v>
      </c>
      <c r="B473" t="s">
        <v>15006</v>
      </c>
      <c r="C473" t="s">
        <v>15066</v>
      </c>
      <c r="D473" t="s">
        <v>4310</v>
      </c>
      <c r="F473" t="str">
        <f>Config!$B$7</f>
        <v>SCH/Connector.SchLib</v>
      </c>
      <c r="G473" t="s">
        <v>14932</v>
      </c>
      <c r="H473" t="s">
        <v>15084</v>
      </c>
      <c r="I473" t="s">
        <v>14944</v>
      </c>
      <c r="K473" s="47" t="s">
        <v>16202</v>
      </c>
      <c r="L473" t="s">
        <v>16199</v>
      </c>
      <c r="M473" t="s">
        <v>16222</v>
      </c>
    </row>
    <row r="474" spans="1:13">
      <c r="A474" t="s">
        <v>15007</v>
      </c>
      <c r="B474" t="s">
        <v>15007</v>
      </c>
      <c r="C474" t="s">
        <v>15067</v>
      </c>
      <c r="D474" t="s">
        <v>4310</v>
      </c>
      <c r="F474" t="str">
        <f>Config!$B$7</f>
        <v>SCH/Connector.SchLib</v>
      </c>
      <c r="G474" t="s">
        <v>14932</v>
      </c>
      <c r="H474" t="s">
        <v>15084</v>
      </c>
      <c r="I474" t="s">
        <v>14945</v>
      </c>
      <c r="K474" s="47" t="s">
        <v>16202</v>
      </c>
      <c r="L474" t="s">
        <v>16200</v>
      </c>
      <c r="M474" t="s">
        <v>16222</v>
      </c>
    </row>
    <row r="475" spans="1:13">
      <c r="A475" t="s">
        <v>15008</v>
      </c>
      <c r="B475" t="s">
        <v>15008</v>
      </c>
      <c r="C475" t="s">
        <v>15068</v>
      </c>
      <c r="D475" t="s">
        <v>4310</v>
      </c>
      <c r="F475" t="str">
        <f>Config!$B$7</f>
        <v>SCH/Connector.SchLib</v>
      </c>
      <c r="G475" t="s">
        <v>14932</v>
      </c>
      <c r="H475" t="s">
        <v>15084</v>
      </c>
      <c r="I475" t="s">
        <v>14946</v>
      </c>
      <c r="K475" s="47" t="s">
        <v>16202</v>
      </c>
      <c r="L475" t="s">
        <v>16202</v>
      </c>
      <c r="M475" t="s">
        <v>16222</v>
      </c>
    </row>
    <row r="476" spans="1:13">
      <c r="A476" t="s">
        <v>15009</v>
      </c>
      <c r="B476" t="s">
        <v>15009</v>
      </c>
      <c r="C476" t="s">
        <v>15069</v>
      </c>
      <c r="D476" t="s">
        <v>4310</v>
      </c>
      <c r="F476" t="str">
        <f>Config!$B$7</f>
        <v>SCH/Connector.SchLib</v>
      </c>
      <c r="G476" t="s">
        <v>14932</v>
      </c>
      <c r="H476" t="s">
        <v>15084</v>
      </c>
      <c r="I476" t="s">
        <v>14947</v>
      </c>
      <c r="K476" s="47" t="s">
        <v>16202</v>
      </c>
      <c r="L476" t="s">
        <v>16204</v>
      </c>
      <c r="M476" t="s">
        <v>16222</v>
      </c>
    </row>
    <row r="477" spans="1:13">
      <c r="A477" t="s">
        <v>15010</v>
      </c>
      <c r="B477" t="s">
        <v>15010</v>
      </c>
      <c r="C477" t="s">
        <v>15070</v>
      </c>
      <c r="D477" t="s">
        <v>4310</v>
      </c>
      <c r="F477" t="str">
        <f>Config!$B$7</f>
        <v>SCH/Connector.SchLib</v>
      </c>
      <c r="G477" t="s">
        <v>14932</v>
      </c>
      <c r="H477" t="s">
        <v>15084</v>
      </c>
      <c r="I477" t="s">
        <v>14948</v>
      </c>
      <c r="K477" s="47" t="s">
        <v>16203</v>
      </c>
      <c r="L477" t="s">
        <v>16209</v>
      </c>
      <c r="M477" t="s">
        <v>16222</v>
      </c>
    </row>
    <row r="478" spans="1:13">
      <c r="A478" t="s">
        <v>15011</v>
      </c>
      <c r="B478" t="s">
        <v>15011</v>
      </c>
      <c r="C478" t="s">
        <v>15071</v>
      </c>
      <c r="D478" t="s">
        <v>4310</v>
      </c>
      <c r="F478" t="str">
        <f>Config!$B$7</f>
        <v>SCH/Connector.SchLib</v>
      </c>
      <c r="G478" t="s">
        <v>14932</v>
      </c>
      <c r="H478" t="s">
        <v>15084</v>
      </c>
      <c r="I478" t="s">
        <v>14949</v>
      </c>
      <c r="K478" s="47" t="s">
        <v>16203</v>
      </c>
      <c r="L478" t="s">
        <v>16201</v>
      </c>
      <c r="M478" t="s">
        <v>16222</v>
      </c>
    </row>
    <row r="479" spans="1:13">
      <c r="A479" t="s">
        <v>15012</v>
      </c>
      <c r="B479" t="s">
        <v>15012</v>
      </c>
      <c r="C479" t="s">
        <v>15072</v>
      </c>
      <c r="D479" t="s">
        <v>4310</v>
      </c>
      <c r="F479" t="str">
        <f>Config!$B$7</f>
        <v>SCH/Connector.SchLib</v>
      </c>
      <c r="G479" t="s">
        <v>14932</v>
      </c>
      <c r="H479" t="s">
        <v>15084</v>
      </c>
      <c r="I479" t="s">
        <v>14950</v>
      </c>
      <c r="K479" s="47" t="s">
        <v>16203</v>
      </c>
      <c r="L479" t="s">
        <v>16203</v>
      </c>
      <c r="M479" t="s">
        <v>16222</v>
      </c>
    </row>
    <row r="480" spans="1:13">
      <c r="A480" t="s">
        <v>15013</v>
      </c>
      <c r="B480" t="s">
        <v>15013</v>
      </c>
      <c r="C480" t="s">
        <v>15073</v>
      </c>
      <c r="D480" t="s">
        <v>4310</v>
      </c>
      <c r="F480" t="str">
        <f>Config!$B$7</f>
        <v>SCH/Connector.SchLib</v>
      </c>
      <c r="G480" t="s">
        <v>14932</v>
      </c>
      <c r="H480" t="s">
        <v>15084</v>
      </c>
      <c r="I480" t="s">
        <v>14951</v>
      </c>
      <c r="K480" s="47" t="s">
        <v>16203</v>
      </c>
      <c r="L480" t="s">
        <v>16206</v>
      </c>
      <c r="M480" t="s">
        <v>16222</v>
      </c>
    </row>
    <row r="481" spans="1:13">
      <c r="A481" t="s">
        <v>15014</v>
      </c>
      <c r="B481" t="s">
        <v>15014</v>
      </c>
      <c r="C481" t="s">
        <v>15074</v>
      </c>
      <c r="D481" t="s">
        <v>4310</v>
      </c>
      <c r="F481" t="str">
        <f>Config!$B$7</f>
        <v>SCH/Connector.SchLib</v>
      </c>
      <c r="G481" t="s">
        <v>14932</v>
      </c>
      <c r="H481" t="s">
        <v>15084</v>
      </c>
      <c r="I481" t="s">
        <v>14952</v>
      </c>
      <c r="K481" s="47" t="s">
        <v>16204</v>
      </c>
      <c r="L481" t="s">
        <v>16210</v>
      </c>
      <c r="M481" t="s">
        <v>16222</v>
      </c>
    </row>
    <row r="482" spans="1:13">
      <c r="A482" t="s">
        <v>15015</v>
      </c>
      <c r="B482" t="s">
        <v>15015</v>
      </c>
      <c r="C482" t="s">
        <v>15075</v>
      </c>
      <c r="D482" t="s">
        <v>4310</v>
      </c>
      <c r="F482" t="str">
        <f>Config!$B$7</f>
        <v>SCH/Connector.SchLib</v>
      </c>
      <c r="G482" t="s">
        <v>14932</v>
      </c>
      <c r="H482" t="s">
        <v>15084</v>
      </c>
      <c r="I482" t="s">
        <v>14953</v>
      </c>
      <c r="K482" s="47" t="s">
        <v>16204</v>
      </c>
      <c r="L482" t="s">
        <v>16200</v>
      </c>
      <c r="M482" t="s">
        <v>16222</v>
      </c>
    </row>
    <row r="483" spans="1:13">
      <c r="A483" t="s">
        <v>15016</v>
      </c>
      <c r="B483" t="s">
        <v>15016</v>
      </c>
      <c r="C483" t="s">
        <v>15076</v>
      </c>
      <c r="D483" t="s">
        <v>4310</v>
      </c>
      <c r="F483" t="str">
        <f>Config!$B$7</f>
        <v>SCH/Connector.SchLib</v>
      </c>
      <c r="G483" t="s">
        <v>14932</v>
      </c>
      <c r="H483" t="s">
        <v>15084</v>
      </c>
      <c r="I483" t="s">
        <v>14954</v>
      </c>
      <c r="K483" s="47" t="s">
        <v>16204</v>
      </c>
      <c r="L483" t="s">
        <v>16202</v>
      </c>
      <c r="M483" t="s">
        <v>16222</v>
      </c>
    </row>
    <row r="484" spans="1:13">
      <c r="A484" t="s">
        <v>15017</v>
      </c>
      <c r="B484" t="s">
        <v>15017</v>
      </c>
      <c r="C484" t="s">
        <v>15077</v>
      </c>
      <c r="D484" t="s">
        <v>4310</v>
      </c>
      <c r="F484" t="str">
        <f>Config!$B$7</f>
        <v>SCH/Connector.SchLib</v>
      </c>
      <c r="G484" t="s">
        <v>14932</v>
      </c>
      <c r="H484" t="s">
        <v>15084</v>
      </c>
      <c r="I484" t="s">
        <v>14955</v>
      </c>
      <c r="K484" s="47" t="s">
        <v>16204</v>
      </c>
      <c r="L484" t="s">
        <v>16204</v>
      </c>
      <c r="M484" t="s">
        <v>16222</v>
      </c>
    </row>
    <row r="485" spans="1:13">
      <c r="A485" t="s">
        <v>15018</v>
      </c>
      <c r="B485" t="s">
        <v>15018</v>
      </c>
      <c r="C485" t="s">
        <v>15078</v>
      </c>
      <c r="D485" t="s">
        <v>4310</v>
      </c>
      <c r="F485" t="str">
        <f>Config!$B$7</f>
        <v>SCH/Connector.SchLib</v>
      </c>
      <c r="G485" t="s">
        <v>14932</v>
      </c>
      <c r="H485" t="s">
        <v>15084</v>
      </c>
      <c r="I485" t="s">
        <v>14956</v>
      </c>
      <c r="K485" s="47" t="s">
        <v>16204</v>
      </c>
      <c r="L485" t="s">
        <v>16207</v>
      </c>
      <c r="M485" t="s">
        <v>16222</v>
      </c>
    </row>
    <row r="486" spans="1:13">
      <c r="A486" t="s">
        <v>15019</v>
      </c>
      <c r="B486" t="s">
        <v>15019</v>
      </c>
      <c r="C486" t="s">
        <v>15079</v>
      </c>
      <c r="D486" t="s">
        <v>4310</v>
      </c>
      <c r="F486" t="str">
        <f>Config!$B$7</f>
        <v>SCH/Connector.SchLib</v>
      </c>
      <c r="G486" t="s">
        <v>14932</v>
      </c>
      <c r="H486" t="s">
        <v>15084</v>
      </c>
      <c r="I486" t="s">
        <v>14957</v>
      </c>
      <c r="K486" s="47" t="s">
        <v>16205</v>
      </c>
      <c r="L486" t="s">
        <v>16199</v>
      </c>
      <c r="M486" t="s">
        <v>16222</v>
      </c>
    </row>
    <row r="487" spans="1:13">
      <c r="A487" t="s">
        <v>15755</v>
      </c>
      <c r="B487" t="s">
        <v>15755</v>
      </c>
      <c r="C487" t="s">
        <v>15775</v>
      </c>
      <c r="D487" t="s">
        <v>4310</v>
      </c>
      <c r="F487" t="str">
        <f>Config!$B$7</f>
        <v>SCH/Connector.SchLib</v>
      </c>
      <c r="G487" t="s">
        <v>14932</v>
      </c>
      <c r="H487" t="s">
        <v>15084</v>
      </c>
      <c r="I487" t="s">
        <v>15695</v>
      </c>
      <c r="K487" s="47" t="s">
        <v>16205</v>
      </c>
      <c r="L487" t="s">
        <v>16200</v>
      </c>
      <c r="M487" t="s">
        <v>16222</v>
      </c>
    </row>
    <row r="488" spans="1:13">
      <c r="A488" t="s">
        <v>15020</v>
      </c>
      <c r="B488" t="s">
        <v>15020</v>
      </c>
      <c r="C488" t="s">
        <v>15080</v>
      </c>
      <c r="D488" t="s">
        <v>4310</v>
      </c>
      <c r="F488" t="str">
        <f>Config!$B$7</f>
        <v>SCH/Connector.SchLib</v>
      </c>
      <c r="G488" t="s">
        <v>14932</v>
      </c>
      <c r="H488" t="s">
        <v>15084</v>
      </c>
      <c r="I488" t="s">
        <v>14958</v>
      </c>
      <c r="K488" s="47" t="s">
        <v>16205</v>
      </c>
      <c r="L488" t="s">
        <v>16211</v>
      </c>
      <c r="M488" t="s">
        <v>16222</v>
      </c>
    </row>
    <row r="489" spans="1:13">
      <c r="A489" t="s">
        <v>15021</v>
      </c>
      <c r="B489" t="s">
        <v>15021</v>
      </c>
      <c r="C489" t="s">
        <v>15081</v>
      </c>
      <c r="D489" t="s">
        <v>4310</v>
      </c>
      <c r="F489" t="str">
        <f>Config!$B$7</f>
        <v>SCH/Connector.SchLib</v>
      </c>
      <c r="G489" t="s">
        <v>14932</v>
      </c>
      <c r="H489" t="s">
        <v>15084</v>
      </c>
      <c r="I489" t="s">
        <v>14959</v>
      </c>
      <c r="K489" s="47" t="s">
        <v>16205</v>
      </c>
      <c r="L489" t="s">
        <v>16212</v>
      </c>
      <c r="M489" t="s">
        <v>16222</v>
      </c>
    </row>
    <row r="490" spans="1:13">
      <c r="A490" t="s">
        <v>15022</v>
      </c>
      <c r="B490" t="s">
        <v>15022</v>
      </c>
      <c r="C490" t="s">
        <v>15082</v>
      </c>
      <c r="D490" t="s">
        <v>4310</v>
      </c>
      <c r="F490" t="str">
        <f>Config!$B$7</f>
        <v>SCH/Connector.SchLib</v>
      </c>
      <c r="G490" t="s">
        <v>14932</v>
      </c>
      <c r="H490" t="s">
        <v>15084</v>
      </c>
      <c r="I490" t="s">
        <v>14960</v>
      </c>
      <c r="K490" s="47" t="s">
        <v>16205</v>
      </c>
      <c r="L490" t="s">
        <v>16205</v>
      </c>
      <c r="M490" t="s">
        <v>16222</v>
      </c>
    </row>
    <row r="491" spans="1:13">
      <c r="A491" t="s">
        <v>15023</v>
      </c>
      <c r="B491" t="s">
        <v>15023</v>
      </c>
      <c r="C491" t="s">
        <v>15083</v>
      </c>
      <c r="D491" t="s">
        <v>4310</v>
      </c>
      <c r="F491" t="str">
        <f>Config!$B$7</f>
        <v>SCH/Connector.SchLib</v>
      </c>
      <c r="G491" t="s">
        <v>14932</v>
      </c>
      <c r="H491" t="s">
        <v>15084</v>
      </c>
      <c r="I491" t="s">
        <v>14961</v>
      </c>
      <c r="K491" s="47" t="s">
        <v>16205</v>
      </c>
      <c r="L491" t="s">
        <v>16213</v>
      </c>
      <c r="M491" t="s">
        <v>16222</v>
      </c>
    </row>
    <row r="492" spans="1:13">
      <c r="A492" t="s">
        <v>15756</v>
      </c>
      <c r="B492" t="s">
        <v>15756</v>
      </c>
      <c r="C492" t="s">
        <v>15776</v>
      </c>
      <c r="D492" t="s">
        <v>4310</v>
      </c>
      <c r="F492" t="str">
        <f>Config!$B$7</f>
        <v>SCH/Connector.SchLib</v>
      </c>
      <c r="G492" t="s">
        <v>14932</v>
      </c>
      <c r="H492" t="s">
        <v>15084</v>
      </c>
      <c r="I492" t="s">
        <v>15698</v>
      </c>
      <c r="K492" s="47" t="s">
        <v>16206</v>
      </c>
      <c r="L492" t="s">
        <v>16214</v>
      </c>
      <c r="M492" t="s">
        <v>16222</v>
      </c>
    </row>
    <row r="493" spans="1:13">
      <c r="A493" t="s">
        <v>15757</v>
      </c>
      <c r="B493" t="s">
        <v>15757</v>
      </c>
      <c r="C493" t="s">
        <v>15777</v>
      </c>
      <c r="D493" t="s">
        <v>4310</v>
      </c>
      <c r="F493" t="str">
        <f>Config!$B$7</f>
        <v>SCH/Connector.SchLib</v>
      </c>
      <c r="G493" t="s">
        <v>14932</v>
      </c>
      <c r="H493" t="s">
        <v>15084</v>
      </c>
      <c r="I493" t="s">
        <v>15699</v>
      </c>
      <c r="K493" s="47" t="s">
        <v>16206</v>
      </c>
      <c r="L493" t="s">
        <v>16200</v>
      </c>
      <c r="M493" t="s">
        <v>16222</v>
      </c>
    </row>
    <row r="494" spans="1:13">
      <c r="A494" t="s">
        <v>15758</v>
      </c>
      <c r="B494" t="s">
        <v>15758</v>
      </c>
      <c r="C494" t="s">
        <v>15778</v>
      </c>
      <c r="D494" t="s">
        <v>4310</v>
      </c>
      <c r="F494" t="str">
        <f>Config!$B$7</f>
        <v>SCH/Connector.SchLib</v>
      </c>
      <c r="G494" t="s">
        <v>14932</v>
      </c>
      <c r="H494" t="s">
        <v>15084</v>
      </c>
      <c r="I494" t="s">
        <v>15700</v>
      </c>
      <c r="K494" s="47" t="s">
        <v>16206</v>
      </c>
      <c r="L494" t="s">
        <v>16201</v>
      </c>
      <c r="M494" t="s">
        <v>16222</v>
      </c>
    </row>
    <row r="495" spans="1:13">
      <c r="A495" t="s">
        <v>15759</v>
      </c>
      <c r="B495" t="s">
        <v>15759</v>
      </c>
      <c r="C495" t="s">
        <v>15779</v>
      </c>
      <c r="D495" t="s">
        <v>4310</v>
      </c>
      <c r="F495" t="str">
        <f>Config!$B$7</f>
        <v>SCH/Connector.SchLib</v>
      </c>
      <c r="G495" t="s">
        <v>14932</v>
      </c>
      <c r="H495" t="s">
        <v>15084</v>
      </c>
      <c r="I495" t="s">
        <v>15701</v>
      </c>
      <c r="K495" s="47" t="s">
        <v>16206</v>
      </c>
      <c r="L495" t="s">
        <v>16203</v>
      </c>
      <c r="M495" t="s">
        <v>16222</v>
      </c>
    </row>
    <row r="496" spans="1:13">
      <c r="A496" t="s">
        <v>15760</v>
      </c>
      <c r="B496" t="s">
        <v>15760</v>
      </c>
      <c r="C496" t="s">
        <v>15780</v>
      </c>
      <c r="D496" t="s">
        <v>4310</v>
      </c>
      <c r="F496" t="str">
        <f>Config!$B$7</f>
        <v>SCH/Connector.SchLib</v>
      </c>
      <c r="G496" t="s">
        <v>14932</v>
      </c>
      <c r="H496" t="s">
        <v>15084</v>
      </c>
      <c r="I496" t="s">
        <v>15702</v>
      </c>
      <c r="K496" s="47" t="s">
        <v>16206</v>
      </c>
      <c r="L496" t="s">
        <v>16206</v>
      </c>
      <c r="M496" t="s">
        <v>16222</v>
      </c>
    </row>
    <row r="497" spans="1:13">
      <c r="A497" t="s">
        <v>15761</v>
      </c>
      <c r="B497" t="s">
        <v>15761</v>
      </c>
      <c r="C497" t="s">
        <v>15781</v>
      </c>
      <c r="D497" t="s">
        <v>4310</v>
      </c>
      <c r="F497" t="str">
        <f>Config!$B$7</f>
        <v>SCH/Connector.SchLib</v>
      </c>
      <c r="G497" t="s">
        <v>14932</v>
      </c>
      <c r="H497" t="s">
        <v>15084</v>
      </c>
      <c r="I497" t="s">
        <v>15703</v>
      </c>
      <c r="K497" s="47" t="s">
        <v>16206</v>
      </c>
      <c r="L497" t="s">
        <v>16215</v>
      </c>
      <c r="M497" t="s">
        <v>16222</v>
      </c>
    </row>
    <row r="498" spans="1:13">
      <c r="A498" t="s">
        <v>15762</v>
      </c>
      <c r="B498" t="s">
        <v>15762</v>
      </c>
      <c r="C498" t="s">
        <v>15782</v>
      </c>
      <c r="D498" t="s">
        <v>4310</v>
      </c>
      <c r="F498" t="str">
        <f>Config!$B$7</f>
        <v>SCH/Connector.SchLib</v>
      </c>
      <c r="G498" t="s">
        <v>14932</v>
      </c>
      <c r="H498" t="s">
        <v>15084</v>
      </c>
      <c r="I498" t="s">
        <v>15704</v>
      </c>
      <c r="K498" s="47" t="s">
        <v>16207</v>
      </c>
      <c r="L498" t="s">
        <v>16199</v>
      </c>
      <c r="M498" t="s">
        <v>16222</v>
      </c>
    </row>
    <row r="499" spans="1:13">
      <c r="A499" t="s">
        <v>15763</v>
      </c>
      <c r="B499" t="s">
        <v>15763</v>
      </c>
      <c r="C499" t="s">
        <v>15783</v>
      </c>
      <c r="D499" t="s">
        <v>4310</v>
      </c>
      <c r="F499" t="str">
        <f>Config!$B$7</f>
        <v>SCH/Connector.SchLib</v>
      </c>
      <c r="G499" t="s">
        <v>14932</v>
      </c>
      <c r="H499" t="s">
        <v>15084</v>
      </c>
      <c r="I499" t="s">
        <v>15705</v>
      </c>
      <c r="K499" s="47" t="s">
        <v>16207</v>
      </c>
      <c r="L499" t="s">
        <v>16216</v>
      </c>
      <c r="M499" t="s">
        <v>16222</v>
      </c>
    </row>
    <row r="500" spans="1:13">
      <c r="A500" t="s">
        <v>15764</v>
      </c>
      <c r="B500" t="s">
        <v>15764</v>
      </c>
      <c r="C500" t="s">
        <v>15784</v>
      </c>
      <c r="D500" t="s">
        <v>4310</v>
      </c>
      <c r="F500" t="str">
        <f>Config!$B$7</f>
        <v>SCH/Connector.SchLib</v>
      </c>
      <c r="G500" t="s">
        <v>14932</v>
      </c>
      <c r="H500" t="s">
        <v>15084</v>
      </c>
      <c r="I500" t="s">
        <v>15706</v>
      </c>
      <c r="K500" s="47" t="s">
        <v>16207</v>
      </c>
      <c r="L500" t="s">
        <v>16200</v>
      </c>
      <c r="M500" t="s">
        <v>16222</v>
      </c>
    </row>
    <row r="501" spans="1:13">
      <c r="A501" t="s">
        <v>15765</v>
      </c>
      <c r="B501" t="s">
        <v>15765</v>
      </c>
      <c r="C501" t="s">
        <v>15785</v>
      </c>
      <c r="D501" t="s">
        <v>4310</v>
      </c>
      <c r="F501" t="str">
        <f>Config!$B$7</f>
        <v>SCH/Connector.SchLib</v>
      </c>
      <c r="G501" t="s">
        <v>14932</v>
      </c>
      <c r="H501" t="s">
        <v>15084</v>
      </c>
      <c r="I501" t="s">
        <v>15707</v>
      </c>
      <c r="K501" s="47" t="s">
        <v>16207</v>
      </c>
      <c r="L501" t="s">
        <v>16202</v>
      </c>
      <c r="M501" t="s">
        <v>16222</v>
      </c>
    </row>
    <row r="502" spans="1:13">
      <c r="A502" t="s">
        <v>15766</v>
      </c>
      <c r="B502" t="s">
        <v>15766</v>
      </c>
      <c r="C502" t="s">
        <v>15786</v>
      </c>
      <c r="D502" t="s">
        <v>4310</v>
      </c>
      <c r="F502" t="str">
        <f>Config!$B$7</f>
        <v>SCH/Connector.SchLib</v>
      </c>
      <c r="G502" t="s">
        <v>14932</v>
      </c>
      <c r="H502" t="s">
        <v>15084</v>
      </c>
      <c r="I502" t="s">
        <v>15708</v>
      </c>
      <c r="K502" s="47" t="s">
        <v>16207</v>
      </c>
      <c r="L502" t="s">
        <v>16204</v>
      </c>
      <c r="M502" t="s">
        <v>16222</v>
      </c>
    </row>
    <row r="503" spans="1:13">
      <c r="A503" t="s">
        <v>15767</v>
      </c>
      <c r="B503" t="s">
        <v>15767</v>
      </c>
      <c r="C503" t="s">
        <v>15787</v>
      </c>
      <c r="D503" t="s">
        <v>4310</v>
      </c>
      <c r="F503" t="str">
        <f>Config!$B$7</f>
        <v>SCH/Connector.SchLib</v>
      </c>
      <c r="G503" t="s">
        <v>14932</v>
      </c>
      <c r="H503" t="s">
        <v>15084</v>
      </c>
      <c r="I503" t="s">
        <v>15709</v>
      </c>
      <c r="K503" s="47" t="s">
        <v>16207</v>
      </c>
      <c r="L503" t="s">
        <v>16207</v>
      </c>
      <c r="M503" t="s">
        <v>16222</v>
      </c>
    </row>
    <row r="504" spans="1:13">
      <c r="A504" t="s">
        <v>15768</v>
      </c>
      <c r="B504" t="s">
        <v>15768</v>
      </c>
      <c r="C504" t="s">
        <v>15788</v>
      </c>
      <c r="D504" t="s">
        <v>4310</v>
      </c>
      <c r="F504" t="str">
        <f>Config!$B$7</f>
        <v>SCH/Connector.SchLib</v>
      </c>
      <c r="G504" t="s">
        <v>14932</v>
      </c>
      <c r="H504" t="s">
        <v>15084</v>
      </c>
      <c r="I504" t="s">
        <v>15710</v>
      </c>
      <c r="K504" s="47" t="s">
        <v>16207</v>
      </c>
      <c r="L504" t="s">
        <v>16217</v>
      </c>
      <c r="M504" t="s">
        <v>16222</v>
      </c>
    </row>
    <row r="505" spans="1:13">
      <c r="A505" t="s">
        <v>15769</v>
      </c>
      <c r="B505" t="s">
        <v>15769</v>
      </c>
      <c r="C505" t="s">
        <v>15789</v>
      </c>
      <c r="D505" t="s">
        <v>4310</v>
      </c>
      <c r="F505" t="str">
        <f>Config!$B$7</f>
        <v>SCH/Connector.SchLib</v>
      </c>
      <c r="G505" t="s">
        <v>14932</v>
      </c>
      <c r="H505" t="s">
        <v>15084</v>
      </c>
      <c r="I505" t="s">
        <v>15711</v>
      </c>
      <c r="K505" s="47" t="s">
        <v>16208</v>
      </c>
      <c r="L505" t="s">
        <v>16199</v>
      </c>
      <c r="M505" t="s">
        <v>16222</v>
      </c>
    </row>
    <row r="506" spans="1:13">
      <c r="A506" t="s">
        <v>15770</v>
      </c>
      <c r="B506" t="s">
        <v>15770</v>
      </c>
      <c r="C506" t="s">
        <v>15790</v>
      </c>
      <c r="D506" t="s">
        <v>4310</v>
      </c>
      <c r="F506" t="str">
        <f>Config!$B$7</f>
        <v>SCH/Connector.SchLib</v>
      </c>
      <c r="G506" t="s">
        <v>14932</v>
      </c>
      <c r="H506" t="s">
        <v>15084</v>
      </c>
      <c r="I506" t="s">
        <v>15712</v>
      </c>
      <c r="K506" s="47" t="s">
        <v>16208</v>
      </c>
      <c r="L506" t="s">
        <v>16200</v>
      </c>
      <c r="M506" t="s">
        <v>16222</v>
      </c>
    </row>
    <row r="507" spans="1:13">
      <c r="A507" t="s">
        <v>15771</v>
      </c>
      <c r="B507" t="s">
        <v>15771</v>
      </c>
      <c r="C507" t="s">
        <v>15791</v>
      </c>
      <c r="D507" t="s">
        <v>4310</v>
      </c>
      <c r="F507" t="str">
        <f>Config!$B$7</f>
        <v>SCH/Connector.SchLib</v>
      </c>
      <c r="G507" t="s">
        <v>14932</v>
      </c>
      <c r="H507" t="s">
        <v>15084</v>
      </c>
      <c r="I507" t="s">
        <v>15713</v>
      </c>
      <c r="K507" s="47" t="s">
        <v>16208</v>
      </c>
      <c r="L507" t="s">
        <v>16212</v>
      </c>
      <c r="M507" t="s">
        <v>16222</v>
      </c>
    </row>
    <row r="508" spans="1:13">
      <c r="A508" t="s">
        <v>15772</v>
      </c>
      <c r="B508" t="s">
        <v>15772</v>
      </c>
      <c r="C508" t="s">
        <v>15792</v>
      </c>
      <c r="D508" t="s">
        <v>4310</v>
      </c>
      <c r="F508" t="str">
        <f>Config!$B$7</f>
        <v>SCH/Connector.SchLib</v>
      </c>
      <c r="G508" t="s">
        <v>14932</v>
      </c>
      <c r="H508" t="s">
        <v>15084</v>
      </c>
      <c r="I508" t="s">
        <v>15714</v>
      </c>
      <c r="K508" s="47" t="s">
        <v>16208</v>
      </c>
      <c r="L508" t="s">
        <v>16205</v>
      </c>
      <c r="M508" t="s">
        <v>16222</v>
      </c>
    </row>
    <row r="509" spans="1:13">
      <c r="A509" t="s">
        <v>15773</v>
      </c>
      <c r="B509" t="s">
        <v>15773</v>
      </c>
      <c r="C509" t="s">
        <v>15793</v>
      </c>
      <c r="D509" t="s">
        <v>4310</v>
      </c>
      <c r="F509" t="str">
        <f>Config!$B$7</f>
        <v>SCH/Connector.SchLib</v>
      </c>
      <c r="G509" t="s">
        <v>14932</v>
      </c>
      <c r="H509" t="s">
        <v>15084</v>
      </c>
      <c r="I509" t="s">
        <v>15715</v>
      </c>
      <c r="K509" s="47" t="s">
        <v>16208</v>
      </c>
      <c r="L509" t="s">
        <v>16213</v>
      </c>
      <c r="M509" t="s">
        <v>16222</v>
      </c>
    </row>
    <row r="510" spans="1:13">
      <c r="A510" t="s">
        <v>15774</v>
      </c>
      <c r="B510" t="s">
        <v>15774</v>
      </c>
      <c r="C510" t="s">
        <v>15794</v>
      </c>
      <c r="D510" t="s">
        <v>4310</v>
      </c>
      <c r="F510" t="str">
        <f>Config!$B$7</f>
        <v>SCH/Connector.SchLib</v>
      </c>
      <c r="G510" t="s">
        <v>14932</v>
      </c>
      <c r="H510" t="s">
        <v>15084</v>
      </c>
      <c r="I510" t="s">
        <v>15716</v>
      </c>
      <c r="K510" s="47" t="s">
        <v>16208</v>
      </c>
      <c r="L510" t="s">
        <v>16218</v>
      </c>
      <c r="M510" t="s">
        <v>16222</v>
      </c>
    </row>
    <row r="512" spans="1:13">
      <c r="A512" t="s">
        <v>15146</v>
      </c>
      <c r="B512" t="s">
        <v>15146</v>
      </c>
      <c r="C512" t="s">
        <v>15147</v>
      </c>
      <c r="D512" t="s">
        <v>4310</v>
      </c>
      <c r="F512" t="str">
        <f>Config!$B$7</f>
        <v>SCH/Connector.SchLib</v>
      </c>
      <c r="G512" t="s">
        <v>14932</v>
      </c>
      <c r="H512" t="s">
        <v>15148</v>
      </c>
      <c r="I512" t="s">
        <v>14962</v>
      </c>
      <c r="K512" s="47" t="s">
        <v>16198</v>
      </c>
      <c r="L512" t="s">
        <v>16198</v>
      </c>
      <c r="M512" t="s">
        <v>16221</v>
      </c>
    </row>
    <row r="513" spans="1:13">
      <c r="A513" t="s">
        <v>15149</v>
      </c>
      <c r="B513" t="s">
        <v>15149</v>
      </c>
      <c r="C513" t="s">
        <v>15150</v>
      </c>
      <c r="D513" t="s">
        <v>4310</v>
      </c>
      <c r="F513" t="str">
        <f>Config!$B$7</f>
        <v>SCH/Connector.SchLib</v>
      </c>
      <c r="G513" t="s">
        <v>14932</v>
      </c>
      <c r="H513" t="s">
        <v>15148</v>
      </c>
      <c r="I513" t="s">
        <v>14963</v>
      </c>
      <c r="K513" s="47" t="s">
        <v>16198</v>
      </c>
      <c r="L513" t="s">
        <v>16199</v>
      </c>
      <c r="M513" t="s">
        <v>16221</v>
      </c>
    </row>
    <row r="514" spans="1:13">
      <c r="A514" t="s">
        <v>15151</v>
      </c>
      <c r="B514" t="s">
        <v>15151</v>
      </c>
      <c r="C514" t="s">
        <v>15152</v>
      </c>
      <c r="D514" t="s">
        <v>4310</v>
      </c>
      <c r="F514" t="str">
        <f>Config!$B$7</f>
        <v>SCH/Connector.SchLib</v>
      </c>
      <c r="G514" t="s">
        <v>14932</v>
      </c>
      <c r="H514" t="s">
        <v>15148</v>
      </c>
      <c r="I514" t="s">
        <v>14934</v>
      </c>
      <c r="K514" s="47" t="s">
        <v>16199</v>
      </c>
      <c r="L514" t="s">
        <v>16198</v>
      </c>
      <c r="M514" t="s">
        <v>16221</v>
      </c>
    </row>
    <row r="515" spans="1:13">
      <c r="A515" t="s">
        <v>15153</v>
      </c>
      <c r="B515" t="s">
        <v>15153</v>
      </c>
      <c r="C515" t="s">
        <v>15154</v>
      </c>
      <c r="D515" t="s">
        <v>4310</v>
      </c>
      <c r="F515" t="str">
        <f>Config!$B$7</f>
        <v>SCH/Connector.SchLib</v>
      </c>
      <c r="G515" t="s">
        <v>14932</v>
      </c>
      <c r="H515" t="s">
        <v>15148</v>
      </c>
      <c r="I515" t="s">
        <v>14935</v>
      </c>
      <c r="K515" s="47" t="s">
        <v>16199</v>
      </c>
      <c r="L515" t="s">
        <v>16199</v>
      </c>
      <c r="M515" t="s">
        <v>16221</v>
      </c>
    </row>
    <row r="516" spans="1:13">
      <c r="A516" t="s">
        <v>15155</v>
      </c>
      <c r="B516" t="s">
        <v>15155</v>
      </c>
      <c r="C516" t="s">
        <v>15156</v>
      </c>
      <c r="D516" t="s">
        <v>4310</v>
      </c>
      <c r="F516" t="str">
        <f>Config!$B$7</f>
        <v>SCH/Connector.SchLib</v>
      </c>
      <c r="G516" t="s">
        <v>14932</v>
      </c>
      <c r="H516" t="s">
        <v>15148</v>
      </c>
      <c r="I516" t="s">
        <v>14936</v>
      </c>
      <c r="K516" s="47" t="s">
        <v>16199</v>
      </c>
      <c r="L516" t="s">
        <v>16200</v>
      </c>
      <c r="M516" t="s">
        <v>16221</v>
      </c>
    </row>
    <row r="517" spans="1:13">
      <c r="A517" t="s">
        <v>15157</v>
      </c>
      <c r="B517" t="s">
        <v>15157</v>
      </c>
      <c r="C517" t="s">
        <v>15158</v>
      </c>
      <c r="D517" t="s">
        <v>4310</v>
      </c>
      <c r="F517" t="str">
        <f>Config!$B$7</f>
        <v>SCH/Connector.SchLib</v>
      </c>
      <c r="G517" t="s">
        <v>14932</v>
      </c>
      <c r="H517" t="s">
        <v>15148</v>
      </c>
      <c r="I517" t="s">
        <v>14937</v>
      </c>
      <c r="K517" s="47" t="s">
        <v>16200</v>
      </c>
      <c r="L517" t="s">
        <v>16198</v>
      </c>
      <c r="M517" t="s">
        <v>16221</v>
      </c>
    </row>
    <row r="518" spans="1:13">
      <c r="A518" t="s">
        <v>15159</v>
      </c>
      <c r="B518" t="s">
        <v>15159</v>
      </c>
      <c r="C518" t="s">
        <v>15160</v>
      </c>
      <c r="D518" t="s">
        <v>4310</v>
      </c>
      <c r="F518" t="str">
        <f>Config!$B$7</f>
        <v>SCH/Connector.SchLib</v>
      </c>
      <c r="G518" t="s">
        <v>14932</v>
      </c>
      <c r="H518" t="s">
        <v>15148</v>
      </c>
      <c r="I518" t="s">
        <v>14938</v>
      </c>
      <c r="K518" s="47" t="s">
        <v>16200</v>
      </c>
      <c r="L518" t="s">
        <v>16199</v>
      </c>
      <c r="M518" t="s">
        <v>16221</v>
      </c>
    </row>
    <row r="519" spans="1:13">
      <c r="A519" t="s">
        <v>15161</v>
      </c>
      <c r="B519" t="s">
        <v>15161</v>
      </c>
      <c r="C519" t="s">
        <v>15162</v>
      </c>
      <c r="D519" t="s">
        <v>4310</v>
      </c>
      <c r="F519" t="str">
        <f>Config!$B$7</f>
        <v>SCH/Connector.SchLib</v>
      </c>
      <c r="G519" t="s">
        <v>14932</v>
      </c>
      <c r="H519" t="s">
        <v>15148</v>
      </c>
      <c r="I519" t="s">
        <v>14939</v>
      </c>
      <c r="K519" s="47" t="s">
        <v>16200</v>
      </c>
      <c r="L519" t="s">
        <v>16200</v>
      </c>
      <c r="M519" t="s">
        <v>16221</v>
      </c>
    </row>
    <row r="520" spans="1:13">
      <c r="A520" t="s">
        <v>15163</v>
      </c>
      <c r="B520" t="s">
        <v>15163</v>
      </c>
      <c r="C520" t="s">
        <v>15164</v>
      </c>
      <c r="D520" t="s">
        <v>4310</v>
      </c>
      <c r="F520" t="str">
        <f>Config!$B$7</f>
        <v>SCH/Connector.SchLib</v>
      </c>
      <c r="G520" t="s">
        <v>14932</v>
      </c>
      <c r="H520" t="s">
        <v>15148</v>
      </c>
      <c r="I520" t="s">
        <v>14940</v>
      </c>
      <c r="K520" s="47" t="s">
        <v>16200</v>
      </c>
      <c r="L520" t="s">
        <v>16202</v>
      </c>
      <c r="M520" t="s">
        <v>16221</v>
      </c>
    </row>
    <row r="521" spans="1:13">
      <c r="A521" t="s">
        <v>15165</v>
      </c>
      <c r="B521" t="s">
        <v>15165</v>
      </c>
      <c r="C521" t="s">
        <v>15166</v>
      </c>
      <c r="D521" t="s">
        <v>4310</v>
      </c>
      <c r="F521" t="str">
        <f>Config!$B$7</f>
        <v>SCH/Connector.SchLib</v>
      </c>
      <c r="G521" t="s">
        <v>14932</v>
      </c>
      <c r="H521" t="s">
        <v>15148</v>
      </c>
      <c r="I521" t="s">
        <v>14941</v>
      </c>
      <c r="K521" s="47" t="s">
        <v>16201</v>
      </c>
      <c r="L521" t="s">
        <v>16209</v>
      </c>
      <c r="M521" t="s">
        <v>16221</v>
      </c>
    </row>
    <row r="522" spans="1:13">
      <c r="A522" t="s">
        <v>15167</v>
      </c>
      <c r="B522" t="s">
        <v>15167</v>
      </c>
      <c r="C522" t="s">
        <v>15168</v>
      </c>
      <c r="D522" t="s">
        <v>4310</v>
      </c>
      <c r="F522" t="str">
        <f>Config!$B$7</f>
        <v>SCH/Connector.SchLib</v>
      </c>
      <c r="G522" t="s">
        <v>14932</v>
      </c>
      <c r="H522" t="s">
        <v>15148</v>
      </c>
      <c r="I522" t="s">
        <v>14942</v>
      </c>
      <c r="K522" s="47" t="s">
        <v>16201</v>
      </c>
      <c r="L522" t="s">
        <v>16201</v>
      </c>
      <c r="M522" t="s">
        <v>16221</v>
      </c>
    </row>
    <row r="523" spans="1:13">
      <c r="A523" t="s">
        <v>15169</v>
      </c>
      <c r="B523" t="s">
        <v>15169</v>
      </c>
      <c r="C523" t="s">
        <v>15170</v>
      </c>
      <c r="D523" t="s">
        <v>4310</v>
      </c>
      <c r="F523" t="str">
        <f>Config!$B$7</f>
        <v>SCH/Connector.SchLib</v>
      </c>
      <c r="G523" t="s">
        <v>14932</v>
      </c>
      <c r="H523" t="s">
        <v>15148</v>
      </c>
      <c r="I523" t="s">
        <v>14943</v>
      </c>
      <c r="K523" s="47" t="s">
        <v>16201</v>
      </c>
      <c r="L523" t="s">
        <v>16203</v>
      </c>
      <c r="M523" t="s">
        <v>16221</v>
      </c>
    </row>
    <row r="524" spans="1:13">
      <c r="A524" t="s">
        <v>15171</v>
      </c>
      <c r="B524" t="s">
        <v>15171</v>
      </c>
      <c r="C524" t="s">
        <v>15172</v>
      </c>
      <c r="D524" t="s">
        <v>4310</v>
      </c>
      <c r="F524" t="str">
        <f>Config!$B$7</f>
        <v>SCH/Connector.SchLib</v>
      </c>
      <c r="G524" t="s">
        <v>14932</v>
      </c>
      <c r="H524" t="s">
        <v>15148</v>
      </c>
      <c r="I524" t="s">
        <v>14944</v>
      </c>
      <c r="K524" s="47" t="s">
        <v>16202</v>
      </c>
      <c r="L524" t="s">
        <v>16199</v>
      </c>
      <c r="M524" t="s">
        <v>16221</v>
      </c>
    </row>
    <row r="525" spans="1:13">
      <c r="A525" t="s">
        <v>15173</v>
      </c>
      <c r="B525" t="s">
        <v>15173</v>
      </c>
      <c r="C525" t="s">
        <v>15174</v>
      </c>
      <c r="D525" t="s">
        <v>4310</v>
      </c>
      <c r="F525" t="str">
        <f>Config!$B$7</f>
        <v>SCH/Connector.SchLib</v>
      </c>
      <c r="G525" t="s">
        <v>14932</v>
      </c>
      <c r="H525" t="s">
        <v>15148</v>
      </c>
      <c r="I525" t="s">
        <v>14945</v>
      </c>
      <c r="K525" s="47" t="s">
        <v>16202</v>
      </c>
      <c r="L525" t="s">
        <v>16200</v>
      </c>
      <c r="M525" t="s">
        <v>16221</v>
      </c>
    </row>
    <row r="526" spans="1:13">
      <c r="A526" t="s">
        <v>15175</v>
      </c>
      <c r="B526" t="s">
        <v>15175</v>
      </c>
      <c r="C526" t="s">
        <v>15176</v>
      </c>
      <c r="D526" t="s">
        <v>4310</v>
      </c>
      <c r="F526" t="str">
        <f>Config!$B$7</f>
        <v>SCH/Connector.SchLib</v>
      </c>
      <c r="G526" t="s">
        <v>14932</v>
      </c>
      <c r="H526" t="s">
        <v>15148</v>
      </c>
      <c r="I526" t="s">
        <v>14946</v>
      </c>
      <c r="K526" s="47" t="s">
        <v>16202</v>
      </c>
      <c r="L526" t="s">
        <v>16202</v>
      </c>
      <c r="M526" t="s">
        <v>16221</v>
      </c>
    </row>
    <row r="527" spans="1:13">
      <c r="A527" t="s">
        <v>15177</v>
      </c>
      <c r="B527" t="s">
        <v>15177</v>
      </c>
      <c r="C527" t="s">
        <v>15178</v>
      </c>
      <c r="D527" t="s">
        <v>4310</v>
      </c>
      <c r="F527" t="str">
        <f>Config!$B$7</f>
        <v>SCH/Connector.SchLib</v>
      </c>
      <c r="G527" t="s">
        <v>14932</v>
      </c>
      <c r="H527" t="s">
        <v>15148</v>
      </c>
      <c r="I527" t="s">
        <v>14947</v>
      </c>
      <c r="K527" s="47" t="s">
        <v>16202</v>
      </c>
      <c r="L527" t="s">
        <v>16204</v>
      </c>
      <c r="M527" t="s">
        <v>16221</v>
      </c>
    </row>
    <row r="528" spans="1:13">
      <c r="A528" t="s">
        <v>15179</v>
      </c>
      <c r="B528" t="s">
        <v>15179</v>
      </c>
      <c r="C528" t="s">
        <v>15180</v>
      </c>
      <c r="D528" t="s">
        <v>4310</v>
      </c>
      <c r="F528" t="str">
        <f>Config!$B$7</f>
        <v>SCH/Connector.SchLib</v>
      </c>
      <c r="G528" t="s">
        <v>14932</v>
      </c>
      <c r="H528" t="s">
        <v>15148</v>
      </c>
      <c r="I528" t="s">
        <v>14948</v>
      </c>
      <c r="K528" s="47" t="s">
        <v>16203</v>
      </c>
      <c r="L528" t="s">
        <v>16209</v>
      </c>
      <c r="M528" t="s">
        <v>16221</v>
      </c>
    </row>
    <row r="529" spans="1:13">
      <c r="A529" t="s">
        <v>15181</v>
      </c>
      <c r="B529" t="s">
        <v>15181</v>
      </c>
      <c r="C529" t="s">
        <v>15182</v>
      </c>
      <c r="D529" t="s">
        <v>4310</v>
      </c>
      <c r="F529" t="str">
        <f>Config!$B$7</f>
        <v>SCH/Connector.SchLib</v>
      </c>
      <c r="G529" t="s">
        <v>14932</v>
      </c>
      <c r="H529" t="s">
        <v>15148</v>
      </c>
      <c r="I529" t="s">
        <v>14949</v>
      </c>
      <c r="K529" s="47" t="s">
        <v>16203</v>
      </c>
      <c r="L529" t="s">
        <v>16201</v>
      </c>
      <c r="M529" t="s">
        <v>16221</v>
      </c>
    </row>
    <row r="530" spans="1:13">
      <c r="A530" t="s">
        <v>15183</v>
      </c>
      <c r="B530" t="s">
        <v>15183</v>
      </c>
      <c r="C530" t="s">
        <v>15184</v>
      </c>
      <c r="D530" t="s">
        <v>4310</v>
      </c>
      <c r="F530" t="str">
        <f>Config!$B$7</f>
        <v>SCH/Connector.SchLib</v>
      </c>
      <c r="G530" t="s">
        <v>14932</v>
      </c>
      <c r="H530" t="s">
        <v>15148</v>
      </c>
      <c r="I530" t="s">
        <v>14950</v>
      </c>
      <c r="K530" s="47" t="s">
        <v>16203</v>
      </c>
      <c r="L530" t="s">
        <v>16203</v>
      </c>
      <c r="M530" t="s">
        <v>16221</v>
      </c>
    </row>
    <row r="531" spans="1:13">
      <c r="A531" t="s">
        <v>15185</v>
      </c>
      <c r="B531" t="s">
        <v>15185</v>
      </c>
      <c r="C531" t="s">
        <v>15186</v>
      </c>
      <c r="D531" t="s">
        <v>4310</v>
      </c>
      <c r="F531" t="str">
        <f>Config!$B$7</f>
        <v>SCH/Connector.SchLib</v>
      </c>
      <c r="G531" t="s">
        <v>14932</v>
      </c>
      <c r="H531" t="s">
        <v>15148</v>
      </c>
      <c r="I531" t="s">
        <v>14951</v>
      </c>
      <c r="K531" s="47" t="s">
        <v>16203</v>
      </c>
      <c r="L531" t="s">
        <v>16206</v>
      </c>
      <c r="M531" t="s">
        <v>16221</v>
      </c>
    </row>
    <row r="532" spans="1:13">
      <c r="A532" t="s">
        <v>15187</v>
      </c>
      <c r="B532" t="s">
        <v>15187</v>
      </c>
      <c r="C532" t="s">
        <v>15188</v>
      </c>
      <c r="D532" t="s">
        <v>4310</v>
      </c>
      <c r="F532" t="str">
        <f>Config!$B$7</f>
        <v>SCH/Connector.SchLib</v>
      </c>
      <c r="G532" t="s">
        <v>14932</v>
      </c>
      <c r="H532" t="s">
        <v>15148</v>
      </c>
      <c r="I532" t="s">
        <v>14952</v>
      </c>
      <c r="K532" s="47" t="s">
        <v>16204</v>
      </c>
      <c r="L532" t="s">
        <v>16210</v>
      </c>
      <c r="M532" t="s">
        <v>16221</v>
      </c>
    </row>
    <row r="533" spans="1:13">
      <c r="A533" t="s">
        <v>15189</v>
      </c>
      <c r="B533" t="s">
        <v>15189</v>
      </c>
      <c r="C533" t="s">
        <v>15190</v>
      </c>
      <c r="D533" t="s">
        <v>4310</v>
      </c>
      <c r="F533" t="str">
        <f>Config!$B$7</f>
        <v>SCH/Connector.SchLib</v>
      </c>
      <c r="G533" t="s">
        <v>14932</v>
      </c>
      <c r="H533" t="s">
        <v>15148</v>
      </c>
      <c r="I533" t="s">
        <v>14953</v>
      </c>
      <c r="K533" s="47" t="s">
        <v>16204</v>
      </c>
      <c r="L533" t="s">
        <v>16200</v>
      </c>
      <c r="M533" t="s">
        <v>16221</v>
      </c>
    </row>
    <row r="534" spans="1:13">
      <c r="A534" t="s">
        <v>15191</v>
      </c>
      <c r="B534" t="s">
        <v>15191</v>
      </c>
      <c r="C534" t="s">
        <v>15192</v>
      </c>
      <c r="D534" t="s">
        <v>4310</v>
      </c>
      <c r="F534" t="str">
        <f>Config!$B$7</f>
        <v>SCH/Connector.SchLib</v>
      </c>
      <c r="G534" t="s">
        <v>14932</v>
      </c>
      <c r="H534" t="s">
        <v>15148</v>
      </c>
      <c r="I534" t="s">
        <v>14954</v>
      </c>
      <c r="K534" s="47" t="s">
        <v>16204</v>
      </c>
      <c r="L534" t="s">
        <v>16202</v>
      </c>
      <c r="M534" t="s">
        <v>16221</v>
      </c>
    </row>
    <row r="535" spans="1:13">
      <c r="A535" t="s">
        <v>15193</v>
      </c>
      <c r="B535" t="s">
        <v>15193</v>
      </c>
      <c r="C535" t="s">
        <v>15194</v>
      </c>
      <c r="D535" t="s">
        <v>4310</v>
      </c>
      <c r="F535" t="str">
        <f>Config!$B$7</f>
        <v>SCH/Connector.SchLib</v>
      </c>
      <c r="G535" t="s">
        <v>14932</v>
      </c>
      <c r="H535" t="s">
        <v>15148</v>
      </c>
      <c r="I535" t="s">
        <v>14955</v>
      </c>
      <c r="K535" s="47" t="s">
        <v>16204</v>
      </c>
      <c r="L535" t="s">
        <v>16204</v>
      </c>
      <c r="M535" t="s">
        <v>16221</v>
      </c>
    </row>
    <row r="536" spans="1:13">
      <c r="A536" t="s">
        <v>15195</v>
      </c>
      <c r="B536" t="s">
        <v>15195</v>
      </c>
      <c r="C536" t="s">
        <v>15196</v>
      </c>
      <c r="D536" t="s">
        <v>4310</v>
      </c>
      <c r="F536" t="str">
        <f>Config!$B$7</f>
        <v>SCH/Connector.SchLib</v>
      </c>
      <c r="G536" t="s">
        <v>14932</v>
      </c>
      <c r="H536" t="s">
        <v>15148</v>
      </c>
      <c r="I536" t="s">
        <v>14956</v>
      </c>
      <c r="K536" s="47" t="s">
        <v>16204</v>
      </c>
      <c r="L536" t="s">
        <v>16207</v>
      </c>
      <c r="M536" t="s">
        <v>16221</v>
      </c>
    </row>
    <row r="537" spans="1:13">
      <c r="A537" t="s">
        <v>15197</v>
      </c>
      <c r="B537" t="s">
        <v>15197</v>
      </c>
      <c r="C537" t="s">
        <v>15198</v>
      </c>
      <c r="D537" t="s">
        <v>4310</v>
      </c>
      <c r="F537" t="str">
        <f>Config!$B$7</f>
        <v>SCH/Connector.SchLib</v>
      </c>
      <c r="G537" t="s">
        <v>14932</v>
      </c>
      <c r="H537" t="s">
        <v>15148</v>
      </c>
      <c r="I537" t="s">
        <v>14957</v>
      </c>
      <c r="K537" s="47" t="s">
        <v>16205</v>
      </c>
      <c r="L537" t="s">
        <v>16199</v>
      </c>
      <c r="M537" t="s">
        <v>16221</v>
      </c>
    </row>
    <row r="538" spans="1:13">
      <c r="A538" t="s">
        <v>15835</v>
      </c>
      <c r="B538" t="s">
        <v>15835</v>
      </c>
      <c r="C538" t="s">
        <v>15836</v>
      </c>
      <c r="D538" t="s">
        <v>4310</v>
      </c>
      <c r="F538" t="str">
        <f>Config!$B$7</f>
        <v>SCH/Connector.SchLib</v>
      </c>
      <c r="G538" t="s">
        <v>14932</v>
      </c>
      <c r="H538" t="s">
        <v>15148</v>
      </c>
      <c r="I538" t="s">
        <v>15695</v>
      </c>
      <c r="K538" s="47" t="s">
        <v>16205</v>
      </c>
      <c r="L538" t="s">
        <v>16200</v>
      </c>
      <c r="M538" t="s">
        <v>16221</v>
      </c>
    </row>
    <row r="539" spans="1:13">
      <c r="A539" t="s">
        <v>15199</v>
      </c>
      <c r="B539" t="s">
        <v>15199</v>
      </c>
      <c r="C539" t="s">
        <v>15200</v>
      </c>
      <c r="D539" t="s">
        <v>4310</v>
      </c>
      <c r="F539" t="str">
        <f>Config!$B$7</f>
        <v>SCH/Connector.SchLib</v>
      </c>
      <c r="G539" t="s">
        <v>14932</v>
      </c>
      <c r="H539" t="s">
        <v>15148</v>
      </c>
      <c r="I539" t="s">
        <v>14958</v>
      </c>
      <c r="K539" s="47" t="s">
        <v>16205</v>
      </c>
      <c r="L539" t="s">
        <v>16211</v>
      </c>
      <c r="M539" t="s">
        <v>16221</v>
      </c>
    </row>
    <row r="540" spans="1:13">
      <c r="A540" t="s">
        <v>15201</v>
      </c>
      <c r="B540" t="s">
        <v>15201</v>
      </c>
      <c r="C540" t="s">
        <v>15202</v>
      </c>
      <c r="D540" t="s">
        <v>4310</v>
      </c>
      <c r="F540" t="str">
        <f>Config!$B$7</f>
        <v>SCH/Connector.SchLib</v>
      </c>
      <c r="G540" t="s">
        <v>14932</v>
      </c>
      <c r="H540" t="s">
        <v>15148</v>
      </c>
      <c r="I540" t="s">
        <v>14959</v>
      </c>
      <c r="K540" s="47" t="s">
        <v>16205</v>
      </c>
      <c r="L540" t="s">
        <v>16212</v>
      </c>
      <c r="M540" t="s">
        <v>16221</v>
      </c>
    </row>
    <row r="541" spans="1:13">
      <c r="A541" t="s">
        <v>15203</v>
      </c>
      <c r="B541" t="s">
        <v>15203</v>
      </c>
      <c r="C541" t="s">
        <v>15204</v>
      </c>
      <c r="D541" t="s">
        <v>4310</v>
      </c>
      <c r="F541" t="str">
        <f>Config!$B$7</f>
        <v>SCH/Connector.SchLib</v>
      </c>
      <c r="G541" t="s">
        <v>14932</v>
      </c>
      <c r="H541" t="s">
        <v>15148</v>
      </c>
      <c r="I541" t="s">
        <v>14960</v>
      </c>
      <c r="K541" s="47" t="s">
        <v>16205</v>
      </c>
      <c r="L541" t="s">
        <v>16205</v>
      </c>
      <c r="M541" t="s">
        <v>16221</v>
      </c>
    </row>
    <row r="542" spans="1:13">
      <c r="A542" t="s">
        <v>15205</v>
      </c>
      <c r="B542" t="s">
        <v>15205</v>
      </c>
      <c r="C542" t="s">
        <v>15206</v>
      </c>
      <c r="D542" t="s">
        <v>4310</v>
      </c>
      <c r="F542" t="str">
        <f>Config!$B$7</f>
        <v>SCH/Connector.SchLib</v>
      </c>
      <c r="G542" t="s">
        <v>14932</v>
      </c>
      <c r="H542" t="s">
        <v>15148</v>
      </c>
      <c r="I542" t="s">
        <v>14961</v>
      </c>
      <c r="K542" s="47" t="s">
        <v>16205</v>
      </c>
      <c r="L542" t="s">
        <v>16213</v>
      </c>
      <c r="M542" t="s">
        <v>16221</v>
      </c>
    </row>
    <row r="543" spans="1:13">
      <c r="A543" t="s">
        <v>15837</v>
      </c>
      <c r="B543" t="s">
        <v>15837</v>
      </c>
      <c r="C543" t="s">
        <v>15838</v>
      </c>
      <c r="D543" t="s">
        <v>4310</v>
      </c>
      <c r="F543" t="str">
        <f>Config!$B$7</f>
        <v>SCH/Connector.SchLib</v>
      </c>
      <c r="G543" t="s">
        <v>14932</v>
      </c>
      <c r="H543" t="s">
        <v>15148</v>
      </c>
      <c r="I543" t="s">
        <v>15698</v>
      </c>
      <c r="K543" s="47" t="s">
        <v>16206</v>
      </c>
      <c r="L543" t="s">
        <v>16214</v>
      </c>
      <c r="M543" t="s">
        <v>16221</v>
      </c>
    </row>
    <row r="544" spans="1:13">
      <c r="A544" t="s">
        <v>15839</v>
      </c>
      <c r="B544" t="s">
        <v>15839</v>
      </c>
      <c r="C544" t="s">
        <v>15840</v>
      </c>
      <c r="D544" t="s">
        <v>4310</v>
      </c>
      <c r="F544" t="str">
        <f>Config!$B$7</f>
        <v>SCH/Connector.SchLib</v>
      </c>
      <c r="G544" t="s">
        <v>14932</v>
      </c>
      <c r="H544" t="s">
        <v>15148</v>
      </c>
      <c r="I544" t="s">
        <v>15699</v>
      </c>
      <c r="K544" s="47" t="s">
        <v>16206</v>
      </c>
      <c r="L544" t="s">
        <v>16200</v>
      </c>
      <c r="M544" t="s">
        <v>16221</v>
      </c>
    </row>
    <row r="545" spans="1:13">
      <c r="A545" t="s">
        <v>15841</v>
      </c>
      <c r="B545" t="s">
        <v>15841</v>
      </c>
      <c r="C545" t="s">
        <v>15842</v>
      </c>
      <c r="D545" t="s">
        <v>4310</v>
      </c>
      <c r="F545" t="str">
        <f>Config!$B$7</f>
        <v>SCH/Connector.SchLib</v>
      </c>
      <c r="G545" t="s">
        <v>14932</v>
      </c>
      <c r="H545" t="s">
        <v>15148</v>
      </c>
      <c r="I545" t="s">
        <v>15700</v>
      </c>
      <c r="K545" s="47" t="s">
        <v>16206</v>
      </c>
      <c r="L545" t="s">
        <v>16201</v>
      </c>
      <c r="M545" t="s">
        <v>16221</v>
      </c>
    </row>
    <row r="546" spans="1:13">
      <c r="A546" t="s">
        <v>15843</v>
      </c>
      <c r="B546" t="s">
        <v>15843</v>
      </c>
      <c r="C546" t="s">
        <v>15844</v>
      </c>
      <c r="D546" t="s">
        <v>4310</v>
      </c>
      <c r="F546" t="str">
        <f>Config!$B$7</f>
        <v>SCH/Connector.SchLib</v>
      </c>
      <c r="G546" t="s">
        <v>14932</v>
      </c>
      <c r="H546" t="s">
        <v>15148</v>
      </c>
      <c r="I546" t="s">
        <v>15701</v>
      </c>
      <c r="K546" s="47" t="s">
        <v>16206</v>
      </c>
      <c r="L546" t="s">
        <v>16203</v>
      </c>
      <c r="M546" t="s">
        <v>16221</v>
      </c>
    </row>
    <row r="547" spans="1:13">
      <c r="A547" t="s">
        <v>15845</v>
      </c>
      <c r="B547" t="s">
        <v>15845</v>
      </c>
      <c r="C547" t="s">
        <v>15846</v>
      </c>
      <c r="D547" t="s">
        <v>4310</v>
      </c>
      <c r="F547" t="str">
        <f>Config!$B$7</f>
        <v>SCH/Connector.SchLib</v>
      </c>
      <c r="G547" t="s">
        <v>14932</v>
      </c>
      <c r="H547" t="s">
        <v>15148</v>
      </c>
      <c r="I547" t="s">
        <v>15702</v>
      </c>
      <c r="K547" s="47" t="s">
        <v>16206</v>
      </c>
      <c r="L547" t="s">
        <v>16206</v>
      </c>
      <c r="M547" t="s">
        <v>16221</v>
      </c>
    </row>
    <row r="548" spans="1:13">
      <c r="A548" t="s">
        <v>15847</v>
      </c>
      <c r="B548" t="s">
        <v>15847</v>
      </c>
      <c r="C548" t="s">
        <v>15848</v>
      </c>
      <c r="D548" t="s">
        <v>4310</v>
      </c>
      <c r="F548" t="str">
        <f>Config!$B$7</f>
        <v>SCH/Connector.SchLib</v>
      </c>
      <c r="G548" t="s">
        <v>14932</v>
      </c>
      <c r="H548" t="s">
        <v>15148</v>
      </c>
      <c r="I548" t="s">
        <v>15703</v>
      </c>
      <c r="K548" s="47" t="s">
        <v>16206</v>
      </c>
      <c r="L548" t="s">
        <v>16215</v>
      </c>
      <c r="M548" t="s">
        <v>16221</v>
      </c>
    </row>
    <row r="549" spans="1:13">
      <c r="A549" t="s">
        <v>15849</v>
      </c>
      <c r="B549" t="s">
        <v>15849</v>
      </c>
      <c r="C549" t="s">
        <v>15850</v>
      </c>
      <c r="D549" t="s">
        <v>4310</v>
      </c>
      <c r="F549" t="str">
        <f>Config!$B$7</f>
        <v>SCH/Connector.SchLib</v>
      </c>
      <c r="G549" t="s">
        <v>14932</v>
      </c>
      <c r="H549" t="s">
        <v>15148</v>
      </c>
      <c r="I549" t="s">
        <v>15704</v>
      </c>
      <c r="K549" s="47" t="s">
        <v>16207</v>
      </c>
      <c r="L549" t="s">
        <v>16199</v>
      </c>
      <c r="M549" t="s">
        <v>16221</v>
      </c>
    </row>
    <row r="550" spans="1:13">
      <c r="A550" t="s">
        <v>15851</v>
      </c>
      <c r="B550" t="s">
        <v>15851</v>
      </c>
      <c r="C550" t="s">
        <v>15852</v>
      </c>
      <c r="D550" t="s">
        <v>4310</v>
      </c>
      <c r="F550" t="str">
        <f>Config!$B$7</f>
        <v>SCH/Connector.SchLib</v>
      </c>
      <c r="G550" t="s">
        <v>14932</v>
      </c>
      <c r="H550" t="s">
        <v>15148</v>
      </c>
      <c r="I550" t="s">
        <v>15705</v>
      </c>
      <c r="K550" s="47" t="s">
        <v>16207</v>
      </c>
      <c r="L550" t="s">
        <v>16216</v>
      </c>
      <c r="M550" t="s">
        <v>16221</v>
      </c>
    </row>
    <row r="551" spans="1:13">
      <c r="A551" t="s">
        <v>15853</v>
      </c>
      <c r="B551" t="s">
        <v>15853</v>
      </c>
      <c r="C551" t="s">
        <v>15854</v>
      </c>
      <c r="D551" t="s">
        <v>4310</v>
      </c>
      <c r="F551" t="str">
        <f>Config!$B$7</f>
        <v>SCH/Connector.SchLib</v>
      </c>
      <c r="G551" t="s">
        <v>14932</v>
      </c>
      <c r="H551" t="s">
        <v>15148</v>
      </c>
      <c r="I551" t="s">
        <v>15706</v>
      </c>
      <c r="K551" s="47" t="s">
        <v>16207</v>
      </c>
      <c r="L551" t="s">
        <v>16200</v>
      </c>
      <c r="M551" t="s">
        <v>16221</v>
      </c>
    </row>
    <row r="552" spans="1:13">
      <c r="A552" t="s">
        <v>15855</v>
      </c>
      <c r="B552" t="s">
        <v>15855</v>
      </c>
      <c r="C552" t="s">
        <v>15856</v>
      </c>
      <c r="D552" t="s">
        <v>4310</v>
      </c>
      <c r="F552" t="str">
        <f>Config!$B$7</f>
        <v>SCH/Connector.SchLib</v>
      </c>
      <c r="G552" t="s">
        <v>14932</v>
      </c>
      <c r="H552" t="s">
        <v>15148</v>
      </c>
      <c r="I552" t="s">
        <v>15707</v>
      </c>
      <c r="K552" s="47" t="s">
        <v>16207</v>
      </c>
      <c r="L552" t="s">
        <v>16202</v>
      </c>
      <c r="M552" t="s">
        <v>16221</v>
      </c>
    </row>
    <row r="553" spans="1:13">
      <c r="A553" t="s">
        <v>15857</v>
      </c>
      <c r="B553" t="s">
        <v>15857</v>
      </c>
      <c r="C553" t="s">
        <v>15858</v>
      </c>
      <c r="D553" t="s">
        <v>4310</v>
      </c>
      <c r="F553" t="str">
        <f>Config!$B$7</f>
        <v>SCH/Connector.SchLib</v>
      </c>
      <c r="G553" t="s">
        <v>14932</v>
      </c>
      <c r="H553" t="s">
        <v>15148</v>
      </c>
      <c r="I553" t="s">
        <v>15708</v>
      </c>
      <c r="K553" s="47" t="s">
        <v>16207</v>
      </c>
      <c r="L553" t="s">
        <v>16204</v>
      </c>
      <c r="M553" t="s">
        <v>16221</v>
      </c>
    </row>
    <row r="554" spans="1:13">
      <c r="A554" t="s">
        <v>15859</v>
      </c>
      <c r="B554" t="s">
        <v>15859</v>
      </c>
      <c r="C554" t="s">
        <v>15860</v>
      </c>
      <c r="D554" t="s">
        <v>4310</v>
      </c>
      <c r="F554" t="str">
        <f>Config!$B$7</f>
        <v>SCH/Connector.SchLib</v>
      </c>
      <c r="G554" t="s">
        <v>14932</v>
      </c>
      <c r="H554" t="s">
        <v>15148</v>
      </c>
      <c r="I554" t="s">
        <v>15709</v>
      </c>
      <c r="K554" s="47" t="s">
        <v>16207</v>
      </c>
      <c r="L554" t="s">
        <v>16207</v>
      </c>
      <c r="M554" t="s">
        <v>16221</v>
      </c>
    </row>
    <row r="555" spans="1:13">
      <c r="A555" t="s">
        <v>15861</v>
      </c>
      <c r="B555" t="s">
        <v>15861</v>
      </c>
      <c r="C555" t="s">
        <v>15862</v>
      </c>
      <c r="D555" t="s">
        <v>4310</v>
      </c>
      <c r="F555" t="str">
        <f>Config!$B$7</f>
        <v>SCH/Connector.SchLib</v>
      </c>
      <c r="G555" t="s">
        <v>14932</v>
      </c>
      <c r="H555" t="s">
        <v>15148</v>
      </c>
      <c r="I555" t="s">
        <v>15710</v>
      </c>
      <c r="K555" s="47" t="s">
        <v>16207</v>
      </c>
      <c r="L555" t="s">
        <v>16217</v>
      </c>
      <c r="M555" t="s">
        <v>16221</v>
      </c>
    </row>
    <row r="556" spans="1:13">
      <c r="A556" t="s">
        <v>15863</v>
      </c>
      <c r="B556" t="s">
        <v>15863</v>
      </c>
      <c r="C556" t="s">
        <v>15864</v>
      </c>
      <c r="D556" t="s">
        <v>4310</v>
      </c>
      <c r="F556" t="str">
        <f>Config!$B$7</f>
        <v>SCH/Connector.SchLib</v>
      </c>
      <c r="G556" t="s">
        <v>14932</v>
      </c>
      <c r="H556" t="s">
        <v>15148</v>
      </c>
      <c r="I556" t="s">
        <v>15711</v>
      </c>
      <c r="K556" s="47" t="s">
        <v>16208</v>
      </c>
      <c r="L556" t="s">
        <v>16199</v>
      </c>
      <c r="M556" t="s">
        <v>16221</v>
      </c>
    </row>
    <row r="557" spans="1:13">
      <c r="A557" t="s">
        <v>15865</v>
      </c>
      <c r="B557" t="s">
        <v>15865</v>
      </c>
      <c r="C557" t="s">
        <v>15866</v>
      </c>
      <c r="D557" t="s">
        <v>4310</v>
      </c>
      <c r="F557" t="str">
        <f>Config!$B$7</f>
        <v>SCH/Connector.SchLib</v>
      </c>
      <c r="G557" t="s">
        <v>14932</v>
      </c>
      <c r="H557" t="s">
        <v>15148</v>
      </c>
      <c r="I557" t="s">
        <v>15712</v>
      </c>
      <c r="K557" s="47" t="s">
        <v>16208</v>
      </c>
      <c r="L557" t="s">
        <v>16200</v>
      </c>
      <c r="M557" t="s">
        <v>16221</v>
      </c>
    </row>
    <row r="558" spans="1:13">
      <c r="A558" t="s">
        <v>15867</v>
      </c>
      <c r="B558" t="s">
        <v>15867</v>
      </c>
      <c r="C558" t="s">
        <v>15868</v>
      </c>
      <c r="D558" t="s">
        <v>4310</v>
      </c>
      <c r="F558" t="str">
        <f>Config!$B$7</f>
        <v>SCH/Connector.SchLib</v>
      </c>
      <c r="G558" t="s">
        <v>14932</v>
      </c>
      <c r="H558" t="s">
        <v>15148</v>
      </c>
      <c r="I558" t="s">
        <v>15713</v>
      </c>
      <c r="K558" s="47" t="s">
        <v>16208</v>
      </c>
      <c r="L558" t="s">
        <v>16212</v>
      </c>
      <c r="M558" t="s">
        <v>16221</v>
      </c>
    </row>
    <row r="559" spans="1:13">
      <c r="A559" t="s">
        <v>15869</v>
      </c>
      <c r="B559" t="s">
        <v>15869</v>
      </c>
      <c r="C559" t="s">
        <v>15870</v>
      </c>
      <c r="D559" t="s">
        <v>4310</v>
      </c>
      <c r="F559" t="str">
        <f>Config!$B$7</f>
        <v>SCH/Connector.SchLib</v>
      </c>
      <c r="G559" t="s">
        <v>14932</v>
      </c>
      <c r="H559" t="s">
        <v>15148</v>
      </c>
      <c r="I559" t="s">
        <v>15714</v>
      </c>
      <c r="K559" s="47" t="s">
        <v>16208</v>
      </c>
      <c r="L559" t="s">
        <v>16205</v>
      </c>
      <c r="M559" t="s">
        <v>16221</v>
      </c>
    </row>
    <row r="560" spans="1:13">
      <c r="A560" t="s">
        <v>15871</v>
      </c>
      <c r="B560" t="s">
        <v>15871</v>
      </c>
      <c r="C560" t="s">
        <v>15872</v>
      </c>
      <c r="D560" t="s">
        <v>4310</v>
      </c>
      <c r="F560" t="str">
        <f>Config!$B$7</f>
        <v>SCH/Connector.SchLib</v>
      </c>
      <c r="G560" t="s">
        <v>14932</v>
      </c>
      <c r="H560" t="s">
        <v>15148</v>
      </c>
      <c r="I560" t="s">
        <v>15715</v>
      </c>
      <c r="K560" s="47" t="s">
        <v>16208</v>
      </c>
      <c r="L560" t="s">
        <v>16213</v>
      </c>
      <c r="M560" t="s">
        <v>16221</v>
      </c>
    </row>
    <row r="561" spans="1:13">
      <c r="A561" t="s">
        <v>15873</v>
      </c>
      <c r="B561" t="s">
        <v>15873</v>
      </c>
      <c r="C561" t="s">
        <v>15874</v>
      </c>
      <c r="D561" t="s">
        <v>4310</v>
      </c>
      <c r="F561" t="str">
        <f>Config!$B$7</f>
        <v>SCH/Connector.SchLib</v>
      </c>
      <c r="G561" t="s">
        <v>14932</v>
      </c>
      <c r="H561" t="s">
        <v>15148</v>
      </c>
      <c r="I561" t="s">
        <v>15716</v>
      </c>
      <c r="K561" s="47" t="s">
        <v>16208</v>
      </c>
      <c r="L561" t="s">
        <v>16218</v>
      </c>
      <c r="M561" t="s">
        <v>16221</v>
      </c>
    </row>
    <row r="563" spans="1:13">
      <c r="A563" t="s">
        <v>15085</v>
      </c>
      <c r="B563" t="s">
        <v>15085</v>
      </c>
      <c r="C563" t="s">
        <v>15115</v>
      </c>
      <c r="D563" t="s">
        <v>4310</v>
      </c>
      <c r="F563" t="str">
        <f>Config!$B$7</f>
        <v>SCH/Connector.SchLib</v>
      </c>
      <c r="G563" t="s">
        <v>14932</v>
      </c>
      <c r="H563" t="s">
        <v>15145</v>
      </c>
      <c r="I563" t="s">
        <v>14962</v>
      </c>
      <c r="K563" s="47" t="s">
        <v>16198</v>
      </c>
      <c r="L563" t="s">
        <v>16198</v>
      </c>
      <c r="M563" t="s">
        <v>16220</v>
      </c>
    </row>
    <row r="564" spans="1:13">
      <c r="A564" t="s">
        <v>15086</v>
      </c>
      <c r="B564" t="s">
        <v>15086</v>
      </c>
      <c r="C564" t="s">
        <v>15116</v>
      </c>
      <c r="D564" t="s">
        <v>4310</v>
      </c>
      <c r="F564" t="str">
        <f>Config!$B$7</f>
        <v>SCH/Connector.SchLib</v>
      </c>
      <c r="G564" t="s">
        <v>14932</v>
      </c>
      <c r="H564" t="s">
        <v>15145</v>
      </c>
      <c r="I564" t="s">
        <v>14963</v>
      </c>
      <c r="K564" s="47" t="s">
        <v>16198</v>
      </c>
      <c r="L564" t="s">
        <v>16199</v>
      </c>
      <c r="M564" t="s">
        <v>16220</v>
      </c>
    </row>
    <row r="565" spans="1:13">
      <c r="A565" t="s">
        <v>15087</v>
      </c>
      <c r="B565" t="s">
        <v>15087</v>
      </c>
      <c r="C565" t="s">
        <v>15117</v>
      </c>
      <c r="D565" t="s">
        <v>4310</v>
      </c>
      <c r="F565" t="str">
        <f>Config!$B$7</f>
        <v>SCH/Connector.SchLib</v>
      </c>
      <c r="G565" t="s">
        <v>14932</v>
      </c>
      <c r="H565" t="s">
        <v>15145</v>
      </c>
      <c r="I565" t="s">
        <v>14934</v>
      </c>
      <c r="K565" s="47" t="s">
        <v>16199</v>
      </c>
      <c r="L565" t="s">
        <v>16198</v>
      </c>
      <c r="M565" t="s">
        <v>16220</v>
      </c>
    </row>
    <row r="566" spans="1:13">
      <c r="A566" t="s">
        <v>15088</v>
      </c>
      <c r="B566" t="s">
        <v>15088</v>
      </c>
      <c r="C566" t="s">
        <v>15118</v>
      </c>
      <c r="D566" t="s">
        <v>4310</v>
      </c>
      <c r="F566" t="str">
        <f>Config!$B$7</f>
        <v>SCH/Connector.SchLib</v>
      </c>
      <c r="G566" t="s">
        <v>14932</v>
      </c>
      <c r="H566" t="s">
        <v>15145</v>
      </c>
      <c r="I566" t="s">
        <v>14935</v>
      </c>
      <c r="K566" s="47" t="s">
        <v>16199</v>
      </c>
      <c r="L566" t="s">
        <v>16199</v>
      </c>
      <c r="M566" t="s">
        <v>16220</v>
      </c>
    </row>
    <row r="567" spans="1:13">
      <c r="A567" t="s">
        <v>15089</v>
      </c>
      <c r="B567" t="s">
        <v>15089</v>
      </c>
      <c r="C567" t="s">
        <v>15119</v>
      </c>
      <c r="D567" t="s">
        <v>4310</v>
      </c>
      <c r="F567" t="str">
        <f>Config!$B$7</f>
        <v>SCH/Connector.SchLib</v>
      </c>
      <c r="G567" t="s">
        <v>14932</v>
      </c>
      <c r="H567" t="s">
        <v>15145</v>
      </c>
      <c r="I567" t="s">
        <v>14936</v>
      </c>
      <c r="K567" s="47" t="s">
        <v>16199</v>
      </c>
      <c r="L567" t="s">
        <v>16200</v>
      </c>
      <c r="M567" t="s">
        <v>16220</v>
      </c>
    </row>
    <row r="568" spans="1:13">
      <c r="A568" t="s">
        <v>15090</v>
      </c>
      <c r="B568" t="s">
        <v>15090</v>
      </c>
      <c r="C568" t="s">
        <v>15120</v>
      </c>
      <c r="D568" t="s">
        <v>4310</v>
      </c>
      <c r="F568" t="str">
        <f>Config!$B$7</f>
        <v>SCH/Connector.SchLib</v>
      </c>
      <c r="G568" t="s">
        <v>14932</v>
      </c>
      <c r="H568" t="s">
        <v>15145</v>
      </c>
      <c r="I568" t="s">
        <v>14937</v>
      </c>
      <c r="K568" s="47" t="s">
        <v>16200</v>
      </c>
      <c r="L568" t="s">
        <v>16198</v>
      </c>
      <c r="M568" t="s">
        <v>16220</v>
      </c>
    </row>
    <row r="569" spans="1:13">
      <c r="A569" t="s">
        <v>15091</v>
      </c>
      <c r="B569" t="s">
        <v>15091</v>
      </c>
      <c r="C569" t="s">
        <v>15121</v>
      </c>
      <c r="D569" t="s">
        <v>4310</v>
      </c>
      <c r="F569" t="str">
        <f>Config!$B$7</f>
        <v>SCH/Connector.SchLib</v>
      </c>
      <c r="G569" t="s">
        <v>14932</v>
      </c>
      <c r="H569" t="s">
        <v>15145</v>
      </c>
      <c r="I569" t="s">
        <v>14938</v>
      </c>
      <c r="K569" s="47" t="s">
        <v>16200</v>
      </c>
      <c r="L569" t="s">
        <v>16199</v>
      </c>
      <c r="M569" t="s">
        <v>16220</v>
      </c>
    </row>
    <row r="570" spans="1:13">
      <c r="A570" t="s">
        <v>15092</v>
      </c>
      <c r="B570" t="s">
        <v>15092</v>
      </c>
      <c r="C570" t="s">
        <v>15122</v>
      </c>
      <c r="D570" t="s">
        <v>4310</v>
      </c>
      <c r="F570" t="str">
        <f>Config!$B$7</f>
        <v>SCH/Connector.SchLib</v>
      </c>
      <c r="G570" t="s">
        <v>14932</v>
      </c>
      <c r="H570" t="s">
        <v>15145</v>
      </c>
      <c r="I570" t="s">
        <v>14939</v>
      </c>
      <c r="K570" s="47" t="s">
        <v>16200</v>
      </c>
      <c r="L570" t="s">
        <v>16200</v>
      </c>
      <c r="M570" t="s">
        <v>16220</v>
      </c>
    </row>
    <row r="571" spans="1:13">
      <c r="A571" t="s">
        <v>15093</v>
      </c>
      <c r="B571" t="s">
        <v>15093</v>
      </c>
      <c r="C571" t="s">
        <v>15123</v>
      </c>
      <c r="D571" t="s">
        <v>4310</v>
      </c>
      <c r="F571" t="str">
        <f>Config!$B$7</f>
        <v>SCH/Connector.SchLib</v>
      </c>
      <c r="G571" t="s">
        <v>14932</v>
      </c>
      <c r="H571" t="s">
        <v>15145</v>
      </c>
      <c r="I571" t="s">
        <v>14940</v>
      </c>
      <c r="K571" s="47" t="s">
        <v>16200</v>
      </c>
      <c r="L571" t="s">
        <v>16202</v>
      </c>
      <c r="M571" t="s">
        <v>16220</v>
      </c>
    </row>
    <row r="572" spans="1:13">
      <c r="A572" t="s">
        <v>15094</v>
      </c>
      <c r="B572" t="s">
        <v>15094</v>
      </c>
      <c r="C572" t="s">
        <v>15124</v>
      </c>
      <c r="D572" t="s">
        <v>4310</v>
      </c>
      <c r="F572" t="str">
        <f>Config!$B$7</f>
        <v>SCH/Connector.SchLib</v>
      </c>
      <c r="G572" t="s">
        <v>14932</v>
      </c>
      <c r="H572" t="s">
        <v>15145</v>
      </c>
      <c r="I572" t="s">
        <v>14941</v>
      </c>
      <c r="K572" s="47" t="s">
        <v>16201</v>
      </c>
      <c r="L572" t="s">
        <v>16209</v>
      </c>
      <c r="M572" t="s">
        <v>16220</v>
      </c>
    </row>
    <row r="573" spans="1:13">
      <c r="A573" t="s">
        <v>15095</v>
      </c>
      <c r="B573" t="s">
        <v>15095</v>
      </c>
      <c r="C573" t="s">
        <v>15125</v>
      </c>
      <c r="D573" t="s">
        <v>4310</v>
      </c>
      <c r="F573" t="str">
        <f>Config!$B$7</f>
        <v>SCH/Connector.SchLib</v>
      </c>
      <c r="G573" t="s">
        <v>14932</v>
      </c>
      <c r="H573" t="s">
        <v>15145</v>
      </c>
      <c r="I573" t="s">
        <v>14942</v>
      </c>
      <c r="K573" s="47" t="s">
        <v>16201</v>
      </c>
      <c r="L573" t="s">
        <v>16201</v>
      </c>
      <c r="M573" t="s">
        <v>16220</v>
      </c>
    </row>
    <row r="574" spans="1:13">
      <c r="A574" t="s">
        <v>15096</v>
      </c>
      <c r="B574" t="s">
        <v>15096</v>
      </c>
      <c r="C574" t="s">
        <v>15126</v>
      </c>
      <c r="D574" t="s">
        <v>4310</v>
      </c>
      <c r="F574" t="str">
        <f>Config!$B$7</f>
        <v>SCH/Connector.SchLib</v>
      </c>
      <c r="G574" t="s">
        <v>14932</v>
      </c>
      <c r="H574" t="s">
        <v>15145</v>
      </c>
      <c r="I574" t="s">
        <v>14943</v>
      </c>
      <c r="K574" s="47" t="s">
        <v>16201</v>
      </c>
      <c r="L574" t="s">
        <v>16203</v>
      </c>
      <c r="M574" t="s">
        <v>16220</v>
      </c>
    </row>
    <row r="575" spans="1:13">
      <c r="A575" t="s">
        <v>15097</v>
      </c>
      <c r="B575" t="s">
        <v>15097</v>
      </c>
      <c r="C575" t="s">
        <v>15127</v>
      </c>
      <c r="D575" t="s">
        <v>4310</v>
      </c>
      <c r="F575" t="str">
        <f>Config!$B$7</f>
        <v>SCH/Connector.SchLib</v>
      </c>
      <c r="G575" t="s">
        <v>14932</v>
      </c>
      <c r="H575" t="s">
        <v>15145</v>
      </c>
      <c r="I575" t="s">
        <v>14944</v>
      </c>
      <c r="K575" s="47" t="s">
        <v>16202</v>
      </c>
      <c r="L575" t="s">
        <v>16199</v>
      </c>
      <c r="M575" t="s">
        <v>16220</v>
      </c>
    </row>
    <row r="576" spans="1:13">
      <c r="A576" t="s">
        <v>15098</v>
      </c>
      <c r="B576" t="s">
        <v>15098</v>
      </c>
      <c r="C576" t="s">
        <v>15128</v>
      </c>
      <c r="D576" t="s">
        <v>4310</v>
      </c>
      <c r="F576" t="str">
        <f>Config!$B$7</f>
        <v>SCH/Connector.SchLib</v>
      </c>
      <c r="G576" t="s">
        <v>14932</v>
      </c>
      <c r="H576" t="s">
        <v>15145</v>
      </c>
      <c r="I576" t="s">
        <v>14945</v>
      </c>
      <c r="K576" s="47" t="s">
        <v>16202</v>
      </c>
      <c r="L576" t="s">
        <v>16200</v>
      </c>
      <c r="M576" t="s">
        <v>16220</v>
      </c>
    </row>
    <row r="577" spans="1:13">
      <c r="A577" t="s">
        <v>15099</v>
      </c>
      <c r="B577" t="s">
        <v>15099</v>
      </c>
      <c r="C577" t="s">
        <v>15129</v>
      </c>
      <c r="D577" t="s">
        <v>4310</v>
      </c>
      <c r="F577" t="str">
        <f>Config!$B$7</f>
        <v>SCH/Connector.SchLib</v>
      </c>
      <c r="G577" t="s">
        <v>14932</v>
      </c>
      <c r="H577" t="s">
        <v>15145</v>
      </c>
      <c r="I577" t="s">
        <v>14946</v>
      </c>
      <c r="K577" s="47" t="s">
        <v>16202</v>
      </c>
      <c r="L577" t="s">
        <v>16202</v>
      </c>
      <c r="M577" t="s">
        <v>16220</v>
      </c>
    </row>
    <row r="578" spans="1:13">
      <c r="A578" t="s">
        <v>15100</v>
      </c>
      <c r="B578" t="s">
        <v>15100</v>
      </c>
      <c r="C578" t="s">
        <v>15130</v>
      </c>
      <c r="D578" t="s">
        <v>4310</v>
      </c>
      <c r="F578" t="str">
        <f>Config!$B$7</f>
        <v>SCH/Connector.SchLib</v>
      </c>
      <c r="G578" t="s">
        <v>14932</v>
      </c>
      <c r="H578" t="s">
        <v>15145</v>
      </c>
      <c r="I578" t="s">
        <v>14947</v>
      </c>
      <c r="K578" s="47" t="s">
        <v>16202</v>
      </c>
      <c r="L578" t="s">
        <v>16204</v>
      </c>
      <c r="M578" t="s">
        <v>16220</v>
      </c>
    </row>
    <row r="579" spans="1:13">
      <c r="A579" t="s">
        <v>15101</v>
      </c>
      <c r="B579" t="s">
        <v>15101</v>
      </c>
      <c r="C579" t="s">
        <v>15131</v>
      </c>
      <c r="D579" t="s">
        <v>4310</v>
      </c>
      <c r="F579" t="str">
        <f>Config!$B$7</f>
        <v>SCH/Connector.SchLib</v>
      </c>
      <c r="G579" t="s">
        <v>14932</v>
      </c>
      <c r="H579" t="s">
        <v>15145</v>
      </c>
      <c r="I579" t="s">
        <v>14948</v>
      </c>
      <c r="K579" s="47" t="s">
        <v>16203</v>
      </c>
      <c r="L579" t="s">
        <v>16209</v>
      </c>
      <c r="M579" t="s">
        <v>16220</v>
      </c>
    </row>
    <row r="580" spans="1:13">
      <c r="A580" t="s">
        <v>15102</v>
      </c>
      <c r="B580" t="s">
        <v>15102</v>
      </c>
      <c r="C580" t="s">
        <v>15132</v>
      </c>
      <c r="D580" t="s">
        <v>4310</v>
      </c>
      <c r="F580" t="str">
        <f>Config!$B$7</f>
        <v>SCH/Connector.SchLib</v>
      </c>
      <c r="G580" t="s">
        <v>14932</v>
      </c>
      <c r="H580" t="s">
        <v>15145</v>
      </c>
      <c r="I580" t="s">
        <v>14949</v>
      </c>
      <c r="K580" s="47" t="s">
        <v>16203</v>
      </c>
      <c r="L580" t="s">
        <v>16201</v>
      </c>
      <c r="M580" t="s">
        <v>16220</v>
      </c>
    </row>
    <row r="581" spans="1:13">
      <c r="A581" t="s">
        <v>15103</v>
      </c>
      <c r="B581" t="s">
        <v>15103</v>
      </c>
      <c r="C581" t="s">
        <v>15133</v>
      </c>
      <c r="D581" t="s">
        <v>4310</v>
      </c>
      <c r="F581" t="str">
        <f>Config!$B$7</f>
        <v>SCH/Connector.SchLib</v>
      </c>
      <c r="G581" t="s">
        <v>14932</v>
      </c>
      <c r="H581" t="s">
        <v>15145</v>
      </c>
      <c r="I581" t="s">
        <v>14950</v>
      </c>
      <c r="K581" s="47" t="s">
        <v>16203</v>
      </c>
      <c r="L581" t="s">
        <v>16203</v>
      </c>
      <c r="M581" t="s">
        <v>16220</v>
      </c>
    </row>
    <row r="582" spans="1:13">
      <c r="A582" t="s">
        <v>15104</v>
      </c>
      <c r="B582" t="s">
        <v>15104</v>
      </c>
      <c r="C582" t="s">
        <v>15134</v>
      </c>
      <c r="D582" t="s">
        <v>4310</v>
      </c>
      <c r="F582" t="str">
        <f>Config!$B$7</f>
        <v>SCH/Connector.SchLib</v>
      </c>
      <c r="G582" t="s">
        <v>14932</v>
      </c>
      <c r="H582" t="s">
        <v>15145</v>
      </c>
      <c r="I582" t="s">
        <v>14951</v>
      </c>
      <c r="K582" s="47" t="s">
        <v>16203</v>
      </c>
      <c r="L582" t="s">
        <v>16206</v>
      </c>
      <c r="M582" t="s">
        <v>16220</v>
      </c>
    </row>
    <row r="583" spans="1:13">
      <c r="A583" t="s">
        <v>15105</v>
      </c>
      <c r="B583" t="s">
        <v>15105</v>
      </c>
      <c r="C583" t="s">
        <v>15135</v>
      </c>
      <c r="D583" t="s">
        <v>4310</v>
      </c>
      <c r="F583" t="str">
        <f>Config!$B$7</f>
        <v>SCH/Connector.SchLib</v>
      </c>
      <c r="G583" t="s">
        <v>14932</v>
      </c>
      <c r="H583" t="s">
        <v>15145</v>
      </c>
      <c r="I583" t="s">
        <v>14952</v>
      </c>
      <c r="K583" s="47" t="s">
        <v>16204</v>
      </c>
      <c r="L583" t="s">
        <v>16210</v>
      </c>
      <c r="M583" t="s">
        <v>16220</v>
      </c>
    </row>
    <row r="584" spans="1:13">
      <c r="A584" t="s">
        <v>15106</v>
      </c>
      <c r="B584" t="s">
        <v>15106</v>
      </c>
      <c r="C584" t="s">
        <v>15136</v>
      </c>
      <c r="D584" t="s">
        <v>4310</v>
      </c>
      <c r="F584" t="str">
        <f>Config!$B$7</f>
        <v>SCH/Connector.SchLib</v>
      </c>
      <c r="G584" t="s">
        <v>14932</v>
      </c>
      <c r="H584" t="s">
        <v>15145</v>
      </c>
      <c r="I584" t="s">
        <v>14953</v>
      </c>
      <c r="K584" s="47" t="s">
        <v>16204</v>
      </c>
      <c r="L584" t="s">
        <v>16200</v>
      </c>
      <c r="M584" t="s">
        <v>16220</v>
      </c>
    </row>
    <row r="585" spans="1:13">
      <c r="A585" t="s">
        <v>15107</v>
      </c>
      <c r="B585" t="s">
        <v>15107</v>
      </c>
      <c r="C585" t="s">
        <v>15137</v>
      </c>
      <c r="D585" t="s">
        <v>4310</v>
      </c>
      <c r="F585" t="str">
        <f>Config!$B$7</f>
        <v>SCH/Connector.SchLib</v>
      </c>
      <c r="G585" t="s">
        <v>14932</v>
      </c>
      <c r="H585" t="s">
        <v>15145</v>
      </c>
      <c r="I585" t="s">
        <v>14954</v>
      </c>
      <c r="K585" s="47" t="s">
        <v>16204</v>
      </c>
      <c r="L585" t="s">
        <v>16202</v>
      </c>
      <c r="M585" t="s">
        <v>16220</v>
      </c>
    </row>
    <row r="586" spans="1:13">
      <c r="A586" t="s">
        <v>15108</v>
      </c>
      <c r="B586" t="s">
        <v>15108</v>
      </c>
      <c r="C586" t="s">
        <v>15138</v>
      </c>
      <c r="D586" t="s">
        <v>4310</v>
      </c>
      <c r="F586" t="str">
        <f>Config!$B$7</f>
        <v>SCH/Connector.SchLib</v>
      </c>
      <c r="G586" t="s">
        <v>14932</v>
      </c>
      <c r="H586" t="s">
        <v>15145</v>
      </c>
      <c r="I586" t="s">
        <v>14955</v>
      </c>
      <c r="K586" s="47" t="s">
        <v>16204</v>
      </c>
      <c r="L586" t="s">
        <v>16204</v>
      </c>
      <c r="M586" t="s">
        <v>16220</v>
      </c>
    </row>
    <row r="587" spans="1:13">
      <c r="A587" t="s">
        <v>15109</v>
      </c>
      <c r="B587" t="s">
        <v>15109</v>
      </c>
      <c r="C587" t="s">
        <v>15139</v>
      </c>
      <c r="D587" t="s">
        <v>4310</v>
      </c>
      <c r="F587" t="str">
        <f>Config!$B$7</f>
        <v>SCH/Connector.SchLib</v>
      </c>
      <c r="G587" t="s">
        <v>14932</v>
      </c>
      <c r="H587" t="s">
        <v>15145</v>
      </c>
      <c r="I587" t="s">
        <v>14956</v>
      </c>
      <c r="K587" s="47" t="s">
        <v>16204</v>
      </c>
      <c r="L587" t="s">
        <v>16207</v>
      </c>
      <c r="M587" t="s">
        <v>16220</v>
      </c>
    </row>
    <row r="588" spans="1:13">
      <c r="A588" t="s">
        <v>15110</v>
      </c>
      <c r="B588" t="s">
        <v>15110</v>
      </c>
      <c r="C588" t="s">
        <v>15140</v>
      </c>
      <c r="D588" t="s">
        <v>4310</v>
      </c>
      <c r="F588" t="str">
        <f>Config!$B$7</f>
        <v>SCH/Connector.SchLib</v>
      </c>
      <c r="G588" t="s">
        <v>14932</v>
      </c>
      <c r="H588" t="s">
        <v>15145</v>
      </c>
      <c r="I588" t="s">
        <v>14957</v>
      </c>
      <c r="K588" s="47" t="s">
        <v>16205</v>
      </c>
      <c r="L588" t="s">
        <v>16199</v>
      </c>
      <c r="M588" t="s">
        <v>16220</v>
      </c>
    </row>
    <row r="589" spans="1:13">
      <c r="A589" t="s">
        <v>15795</v>
      </c>
      <c r="B589" t="s">
        <v>15795</v>
      </c>
      <c r="C589" t="s">
        <v>15815</v>
      </c>
      <c r="D589" t="s">
        <v>4310</v>
      </c>
      <c r="F589" t="str">
        <f>Config!$B$7</f>
        <v>SCH/Connector.SchLib</v>
      </c>
      <c r="G589" t="s">
        <v>14932</v>
      </c>
      <c r="H589" t="s">
        <v>15145</v>
      </c>
      <c r="I589" t="s">
        <v>15695</v>
      </c>
      <c r="K589" s="47" t="s">
        <v>16205</v>
      </c>
      <c r="L589" t="s">
        <v>16200</v>
      </c>
      <c r="M589" t="s">
        <v>16220</v>
      </c>
    </row>
    <row r="590" spans="1:13">
      <c r="A590" t="s">
        <v>15111</v>
      </c>
      <c r="B590" t="s">
        <v>15111</v>
      </c>
      <c r="C590" t="s">
        <v>15141</v>
      </c>
      <c r="D590" t="s">
        <v>4310</v>
      </c>
      <c r="F590" t="str">
        <f>Config!$B$7</f>
        <v>SCH/Connector.SchLib</v>
      </c>
      <c r="G590" t="s">
        <v>14932</v>
      </c>
      <c r="H590" t="s">
        <v>15145</v>
      </c>
      <c r="I590" t="s">
        <v>14958</v>
      </c>
      <c r="K590" s="47" t="s">
        <v>16205</v>
      </c>
      <c r="L590" t="s">
        <v>16211</v>
      </c>
      <c r="M590" t="s">
        <v>16220</v>
      </c>
    </row>
    <row r="591" spans="1:13">
      <c r="A591" t="s">
        <v>15112</v>
      </c>
      <c r="B591" t="s">
        <v>15112</v>
      </c>
      <c r="C591" t="s">
        <v>15142</v>
      </c>
      <c r="D591" t="s">
        <v>4310</v>
      </c>
      <c r="F591" t="str">
        <f>Config!$B$7</f>
        <v>SCH/Connector.SchLib</v>
      </c>
      <c r="G591" t="s">
        <v>14932</v>
      </c>
      <c r="H591" t="s">
        <v>15145</v>
      </c>
      <c r="I591" t="s">
        <v>14959</v>
      </c>
      <c r="K591" s="47" t="s">
        <v>16205</v>
      </c>
      <c r="L591" t="s">
        <v>16212</v>
      </c>
      <c r="M591" t="s">
        <v>16220</v>
      </c>
    </row>
    <row r="592" spans="1:13">
      <c r="A592" t="s">
        <v>15113</v>
      </c>
      <c r="B592" t="s">
        <v>15113</v>
      </c>
      <c r="C592" t="s">
        <v>15143</v>
      </c>
      <c r="D592" t="s">
        <v>4310</v>
      </c>
      <c r="F592" t="str">
        <f>Config!$B$7</f>
        <v>SCH/Connector.SchLib</v>
      </c>
      <c r="G592" t="s">
        <v>14932</v>
      </c>
      <c r="H592" t="s">
        <v>15145</v>
      </c>
      <c r="I592" t="s">
        <v>14960</v>
      </c>
      <c r="K592" s="47" t="s">
        <v>16205</v>
      </c>
      <c r="L592" t="s">
        <v>16205</v>
      </c>
      <c r="M592" t="s">
        <v>16220</v>
      </c>
    </row>
    <row r="593" spans="1:13">
      <c r="A593" t="s">
        <v>15114</v>
      </c>
      <c r="B593" t="s">
        <v>15114</v>
      </c>
      <c r="C593" t="s">
        <v>15144</v>
      </c>
      <c r="D593" t="s">
        <v>4310</v>
      </c>
      <c r="F593" t="str">
        <f>Config!$B$7</f>
        <v>SCH/Connector.SchLib</v>
      </c>
      <c r="G593" t="s">
        <v>14932</v>
      </c>
      <c r="H593" t="s">
        <v>15145</v>
      </c>
      <c r="I593" t="s">
        <v>14961</v>
      </c>
      <c r="K593" s="47" t="s">
        <v>16205</v>
      </c>
      <c r="L593" t="s">
        <v>16213</v>
      </c>
      <c r="M593" t="s">
        <v>16220</v>
      </c>
    </row>
    <row r="594" spans="1:13">
      <c r="A594" t="s">
        <v>15796</v>
      </c>
      <c r="B594" t="s">
        <v>15796</v>
      </c>
      <c r="C594" t="s">
        <v>15816</v>
      </c>
      <c r="D594" t="s">
        <v>4310</v>
      </c>
      <c r="F594" t="str">
        <f>Config!$B$7</f>
        <v>SCH/Connector.SchLib</v>
      </c>
      <c r="G594" t="s">
        <v>14932</v>
      </c>
      <c r="H594" t="s">
        <v>15145</v>
      </c>
      <c r="I594" t="s">
        <v>15698</v>
      </c>
      <c r="K594" s="47" t="s">
        <v>16206</v>
      </c>
      <c r="L594" t="s">
        <v>16214</v>
      </c>
      <c r="M594" t="s">
        <v>16220</v>
      </c>
    </row>
    <row r="595" spans="1:13">
      <c r="A595" t="s">
        <v>15797</v>
      </c>
      <c r="B595" t="s">
        <v>15797</v>
      </c>
      <c r="C595" t="s">
        <v>15817</v>
      </c>
      <c r="D595" t="s">
        <v>4310</v>
      </c>
      <c r="F595" t="str">
        <f>Config!$B$7</f>
        <v>SCH/Connector.SchLib</v>
      </c>
      <c r="G595" t="s">
        <v>14932</v>
      </c>
      <c r="H595" t="s">
        <v>15145</v>
      </c>
      <c r="I595" t="s">
        <v>15699</v>
      </c>
      <c r="K595" s="47" t="s">
        <v>16206</v>
      </c>
      <c r="L595" t="s">
        <v>16200</v>
      </c>
      <c r="M595" t="s">
        <v>16220</v>
      </c>
    </row>
    <row r="596" spans="1:13">
      <c r="A596" t="s">
        <v>15798</v>
      </c>
      <c r="B596" t="s">
        <v>15798</v>
      </c>
      <c r="C596" t="s">
        <v>15818</v>
      </c>
      <c r="D596" t="s">
        <v>4310</v>
      </c>
      <c r="F596" t="str">
        <f>Config!$B$7</f>
        <v>SCH/Connector.SchLib</v>
      </c>
      <c r="G596" t="s">
        <v>14932</v>
      </c>
      <c r="H596" t="s">
        <v>15145</v>
      </c>
      <c r="I596" t="s">
        <v>15700</v>
      </c>
      <c r="K596" s="47" t="s">
        <v>16206</v>
      </c>
      <c r="L596" t="s">
        <v>16201</v>
      </c>
      <c r="M596" t="s">
        <v>16220</v>
      </c>
    </row>
    <row r="597" spans="1:13">
      <c r="A597" t="s">
        <v>15799</v>
      </c>
      <c r="B597" t="s">
        <v>15799</v>
      </c>
      <c r="C597" t="s">
        <v>15819</v>
      </c>
      <c r="D597" t="s">
        <v>4310</v>
      </c>
      <c r="F597" t="str">
        <f>Config!$B$7</f>
        <v>SCH/Connector.SchLib</v>
      </c>
      <c r="G597" t="s">
        <v>14932</v>
      </c>
      <c r="H597" t="s">
        <v>15145</v>
      </c>
      <c r="I597" t="s">
        <v>15701</v>
      </c>
      <c r="K597" s="47" t="s">
        <v>16206</v>
      </c>
      <c r="L597" t="s">
        <v>16203</v>
      </c>
      <c r="M597" t="s">
        <v>16220</v>
      </c>
    </row>
    <row r="598" spans="1:13">
      <c r="A598" t="s">
        <v>15800</v>
      </c>
      <c r="B598" t="s">
        <v>15800</v>
      </c>
      <c r="C598" t="s">
        <v>15820</v>
      </c>
      <c r="D598" t="s">
        <v>4310</v>
      </c>
      <c r="F598" t="str">
        <f>Config!$B$7</f>
        <v>SCH/Connector.SchLib</v>
      </c>
      <c r="G598" t="s">
        <v>14932</v>
      </c>
      <c r="H598" t="s">
        <v>15145</v>
      </c>
      <c r="I598" t="s">
        <v>15702</v>
      </c>
      <c r="K598" s="47" t="s">
        <v>16206</v>
      </c>
      <c r="L598" t="s">
        <v>16206</v>
      </c>
      <c r="M598" t="s">
        <v>16220</v>
      </c>
    </row>
    <row r="599" spans="1:13">
      <c r="A599" t="s">
        <v>15801</v>
      </c>
      <c r="B599" t="s">
        <v>15801</v>
      </c>
      <c r="C599" t="s">
        <v>15821</v>
      </c>
      <c r="D599" t="s">
        <v>4310</v>
      </c>
      <c r="F599" t="str">
        <f>Config!$B$7</f>
        <v>SCH/Connector.SchLib</v>
      </c>
      <c r="G599" t="s">
        <v>14932</v>
      </c>
      <c r="H599" t="s">
        <v>15145</v>
      </c>
      <c r="I599" t="s">
        <v>15703</v>
      </c>
      <c r="K599" s="47" t="s">
        <v>16206</v>
      </c>
      <c r="L599" t="s">
        <v>16215</v>
      </c>
      <c r="M599" t="s">
        <v>16220</v>
      </c>
    </row>
    <row r="600" spans="1:13">
      <c r="A600" t="s">
        <v>15802</v>
      </c>
      <c r="B600" t="s">
        <v>15802</v>
      </c>
      <c r="C600" t="s">
        <v>15822</v>
      </c>
      <c r="D600" t="s">
        <v>4310</v>
      </c>
      <c r="F600" t="str">
        <f>Config!$B$7</f>
        <v>SCH/Connector.SchLib</v>
      </c>
      <c r="G600" t="s">
        <v>14932</v>
      </c>
      <c r="H600" t="s">
        <v>15145</v>
      </c>
      <c r="I600" t="s">
        <v>15704</v>
      </c>
      <c r="K600" s="47" t="s">
        <v>16207</v>
      </c>
      <c r="L600" t="s">
        <v>16199</v>
      </c>
      <c r="M600" t="s">
        <v>16220</v>
      </c>
    </row>
    <row r="601" spans="1:13">
      <c r="A601" t="s">
        <v>15803</v>
      </c>
      <c r="B601" t="s">
        <v>15803</v>
      </c>
      <c r="C601" t="s">
        <v>15823</v>
      </c>
      <c r="D601" t="s">
        <v>4310</v>
      </c>
      <c r="F601" t="str">
        <f>Config!$B$7</f>
        <v>SCH/Connector.SchLib</v>
      </c>
      <c r="G601" t="s">
        <v>14932</v>
      </c>
      <c r="H601" t="s">
        <v>15145</v>
      </c>
      <c r="I601" t="s">
        <v>15705</v>
      </c>
      <c r="K601" s="47" t="s">
        <v>16207</v>
      </c>
      <c r="L601" t="s">
        <v>16216</v>
      </c>
      <c r="M601" t="s">
        <v>16220</v>
      </c>
    </row>
    <row r="602" spans="1:13">
      <c r="A602" t="s">
        <v>15804</v>
      </c>
      <c r="B602" t="s">
        <v>15804</v>
      </c>
      <c r="C602" t="s">
        <v>15824</v>
      </c>
      <c r="D602" t="s">
        <v>4310</v>
      </c>
      <c r="F602" t="str">
        <f>Config!$B$7</f>
        <v>SCH/Connector.SchLib</v>
      </c>
      <c r="G602" t="s">
        <v>14932</v>
      </c>
      <c r="H602" t="s">
        <v>15145</v>
      </c>
      <c r="I602" t="s">
        <v>15706</v>
      </c>
      <c r="K602" s="47" t="s">
        <v>16207</v>
      </c>
      <c r="L602" t="s">
        <v>16200</v>
      </c>
      <c r="M602" t="s">
        <v>16220</v>
      </c>
    </row>
    <row r="603" spans="1:13">
      <c r="A603" t="s">
        <v>15805</v>
      </c>
      <c r="B603" t="s">
        <v>15805</v>
      </c>
      <c r="C603" t="s">
        <v>15825</v>
      </c>
      <c r="D603" t="s">
        <v>4310</v>
      </c>
      <c r="F603" t="str">
        <f>Config!$B$7</f>
        <v>SCH/Connector.SchLib</v>
      </c>
      <c r="G603" t="s">
        <v>14932</v>
      </c>
      <c r="H603" t="s">
        <v>15145</v>
      </c>
      <c r="I603" t="s">
        <v>15707</v>
      </c>
      <c r="K603" s="47" t="s">
        <v>16207</v>
      </c>
      <c r="L603" t="s">
        <v>16202</v>
      </c>
      <c r="M603" t="s">
        <v>16220</v>
      </c>
    </row>
    <row r="604" spans="1:13">
      <c r="A604" t="s">
        <v>15806</v>
      </c>
      <c r="B604" t="s">
        <v>15806</v>
      </c>
      <c r="C604" t="s">
        <v>15826</v>
      </c>
      <c r="D604" t="s">
        <v>4310</v>
      </c>
      <c r="F604" t="str">
        <f>Config!$B$7</f>
        <v>SCH/Connector.SchLib</v>
      </c>
      <c r="G604" t="s">
        <v>14932</v>
      </c>
      <c r="H604" t="s">
        <v>15145</v>
      </c>
      <c r="I604" t="s">
        <v>15708</v>
      </c>
      <c r="K604" s="47" t="s">
        <v>16207</v>
      </c>
      <c r="L604" t="s">
        <v>16204</v>
      </c>
      <c r="M604" t="s">
        <v>16220</v>
      </c>
    </row>
    <row r="605" spans="1:13">
      <c r="A605" t="s">
        <v>15807</v>
      </c>
      <c r="B605" t="s">
        <v>15807</v>
      </c>
      <c r="C605" t="s">
        <v>15827</v>
      </c>
      <c r="D605" t="s">
        <v>4310</v>
      </c>
      <c r="F605" t="str">
        <f>Config!$B$7</f>
        <v>SCH/Connector.SchLib</v>
      </c>
      <c r="G605" t="s">
        <v>14932</v>
      </c>
      <c r="H605" t="s">
        <v>15145</v>
      </c>
      <c r="I605" t="s">
        <v>15709</v>
      </c>
      <c r="K605" s="47" t="s">
        <v>16207</v>
      </c>
      <c r="L605" t="s">
        <v>16207</v>
      </c>
      <c r="M605" t="s">
        <v>16220</v>
      </c>
    </row>
    <row r="606" spans="1:13">
      <c r="A606" t="s">
        <v>15808</v>
      </c>
      <c r="B606" t="s">
        <v>15808</v>
      </c>
      <c r="C606" t="s">
        <v>15828</v>
      </c>
      <c r="D606" t="s">
        <v>4310</v>
      </c>
      <c r="F606" t="str">
        <f>Config!$B$7</f>
        <v>SCH/Connector.SchLib</v>
      </c>
      <c r="G606" t="s">
        <v>14932</v>
      </c>
      <c r="H606" t="s">
        <v>15145</v>
      </c>
      <c r="I606" t="s">
        <v>15710</v>
      </c>
      <c r="K606" s="47" t="s">
        <v>16207</v>
      </c>
      <c r="L606" t="s">
        <v>16217</v>
      </c>
      <c r="M606" t="s">
        <v>16220</v>
      </c>
    </row>
    <row r="607" spans="1:13">
      <c r="A607" t="s">
        <v>15809</v>
      </c>
      <c r="B607" t="s">
        <v>15809</v>
      </c>
      <c r="C607" t="s">
        <v>15829</v>
      </c>
      <c r="D607" t="s">
        <v>4310</v>
      </c>
      <c r="F607" t="str">
        <f>Config!$B$7</f>
        <v>SCH/Connector.SchLib</v>
      </c>
      <c r="G607" t="s">
        <v>14932</v>
      </c>
      <c r="H607" t="s">
        <v>15145</v>
      </c>
      <c r="I607" t="s">
        <v>15711</v>
      </c>
      <c r="K607" s="47" t="s">
        <v>16208</v>
      </c>
      <c r="L607" t="s">
        <v>16199</v>
      </c>
      <c r="M607" t="s">
        <v>16220</v>
      </c>
    </row>
    <row r="608" spans="1:13">
      <c r="A608" t="s">
        <v>15810</v>
      </c>
      <c r="B608" t="s">
        <v>15810</v>
      </c>
      <c r="C608" t="s">
        <v>15830</v>
      </c>
      <c r="D608" t="s">
        <v>4310</v>
      </c>
      <c r="F608" t="str">
        <f>Config!$B$7</f>
        <v>SCH/Connector.SchLib</v>
      </c>
      <c r="G608" t="s">
        <v>14932</v>
      </c>
      <c r="H608" t="s">
        <v>15145</v>
      </c>
      <c r="I608" t="s">
        <v>15712</v>
      </c>
      <c r="K608" s="47" t="s">
        <v>16208</v>
      </c>
      <c r="L608" t="s">
        <v>16200</v>
      </c>
      <c r="M608" t="s">
        <v>16220</v>
      </c>
    </row>
    <row r="609" spans="1:13">
      <c r="A609" t="s">
        <v>15811</v>
      </c>
      <c r="B609" t="s">
        <v>15811</v>
      </c>
      <c r="C609" t="s">
        <v>15831</v>
      </c>
      <c r="D609" t="s">
        <v>4310</v>
      </c>
      <c r="F609" t="str">
        <f>Config!$B$7</f>
        <v>SCH/Connector.SchLib</v>
      </c>
      <c r="G609" t="s">
        <v>14932</v>
      </c>
      <c r="H609" t="s">
        <v>15145</v>
      </c>
      <c r="I609" t="s">
        <v>15713</v>
      </c>
      <c r="K609" s="47" t="s">
        <v>16208</v>
      </c>
      <c r="L609" t="s">
        <v>16212</v>
      </c>
      <c r="M609" t="s">
        <v>16220</v>
      </c>
    </row>
    <row r="610" spans="1:13">
      <c r="A610" t="s">
        <v>15812</v>
      </c>
      <c r="B610" t="s">
        <v>15812</v>
      </c>
      <c r="C610" t="s">
        <v>15832</v>
      </c>
      <c r="D610" t="s">
        <v>4310</v>
      </c>
      <c r="F610" t="str">
        <f>Config!$B$7</f>
        <v>SCH/Connector.SchLib</v>
      </c>
      <c r="G610" t="s">
        <v>14932</v>
      </c>
      <c r="H610" t="s">
        <v>15145</v>
      </c>
      <c r="I610" t="s">
        <v>15714</v>
      </c>
      <c r="K610" s="47" t="s">
        <v>16208</v>
      </c>
      <c r="L610" t="s">
        <v>16205</v>
      </c>
      <c r="M610" t="s">
        <v>16220</v>
      </c>
    </row>
    <row r="611" spans="1:13">
      <c r="A611" t="s">
        <v>15813</v>
      </c>
      <c r="B611" t="s">
        <v>15813</v>
      </c>
      <c r="C611" t="s">
        <v>15833</v>
      </c>
      <c r="D611" t="s">
        <v>4310</v>
      </c>
      <c r="F611" t="str">
        <f>Config!$B$7</f>
        <v>SCH/Connector.SchLib</v>
      </c>
      <c r="G611" t="s">
        <v>14932</v>
      </c>
      <c r="H611" t="s">
        <v>15145</v>
      </c>
      <c r="I611" t="s">
        <v>15715</v>
      </c>
      <c r="K611" s="47" t="s">
        <v>16208</v>
      </c>
      <c r="L611" t="s">
        <v>16213</v>
      </c>
      <c r="M611" t="s">
        <v>16220</v>
      </c>
    </row>
    <row r="612" spans="1:13">
      <c r="A612" t="s">
        <v>15814</v>
      </c>
      <c r="B612" t="s">
        <v>15814</v>
      </c>
      <c r="C612" t="s">
        <v>15834</v>
      </c>
      <c r="D612" t="s">
        <v>4310</v>
      </c>
      <c r="F612" t="str">
        <f>Config!$B$7</f>
        <v>SCH/Connector.SchLib</v>
      </c>
      <c r="G612" t="s">
        <v>14932</v>
      </c>
      <c r="H612" t="s">
        <v>15145</v>
      </c>
      <c r="I612" t="s">
        <v>15716</v>
      </c>
      <c r="K612" s="47" t="s">
        <v>16208</v>
      </c>
      <c r="L612" t="s">
        <v>16218</v>
      </c>
      <c r="M612" t="s">
        <v>16220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Horat  Andreas</cp:lastModifiedBy>
  <dcterms:created xsi:type="dcterms:W3CDTF">2023-11-15T06:51:24Z</dcterms:created>
  <dcterms:modified xsi:type="dcterms:W3CDTF">2026-05-19T09:16:25Z</dcterms:modified>
</cp:coreProperties>
</file>