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DBB6FDE9-B58C-4582-8102-B530A836CCEB}" xr6:coauthVersionLast="47" xr6:coauthVersionMax="47" xr10:uidLastSave="{00000000-0000-0000-0000-000000000000}"/>
  <bookViews>
    <workbookView xWindow="-120" yWindow="-120" windowWidth="38640" windowHeight="21120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3" i="4" l="1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<sst xmlns="http://schemas.openxmlformats.org/spreadsheetml/2006/main" count="65441" uniqueCount="18715">
  <si>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</si>
  <si>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</si>
  <si>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</si>
  <si>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</si>
  <si>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</si>
  <si>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</si>
  <si>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</si>
  <si>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</si>
  <si>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</si>
  <si>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</si>
  <si>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</si>
  <si>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</si>
  <si>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</si>
  <si>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</si>
  <si>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</si>
  <si>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</si>
  <si>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</si>
  <si>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</si>
  <si>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</si>
  <si>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</si>
  <si>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</si>
  <si>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</si>
  <si>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</si>
  <si>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</si>
  <si>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</si>
  <si>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</si>
  <si>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</si>
  <si>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</si>
  <si>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</si>
  <si>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</si>
  <si>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</si>
  <si>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</si>
  <si>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</si>
  <si>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</si>
  <si>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</si>
  <si>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</si>
  <si>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</si>
  <si>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</si>
  <si>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</si>
  <si>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</si>
  <si>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</si>
  <si>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</si>
  <si>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</si>
  <si>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</si>
  <si>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</si>
  <si>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</si>
  <si>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</si>
  <si>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</si>
  <si>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</si>
  <si>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</si>
  <si>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</si>
  <si>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</si>
  <si>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</si>
  <si>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</si>
  <si>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</si>
  <si>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</si>
  <si>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</si>
  <si>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</si>
  <si>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</si>
  <si>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</si>
  <si>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</si>
  <si>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</si>
  <si>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</si>
  <si>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</si>
  <si>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</si>
  <si>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</si>
  <si>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</si>
  <si>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</si>
  <si>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</si>
  <si>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</si>
  <si>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</si>
  <si>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</si>
  <si>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</si>
  <si>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</si>
  <si>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</si>
  <si>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</si>
  <si>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</si>
  <si>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</si>
  <si>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</si>
  <si>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</si>
  <si>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</si>
  <si>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</si>
  <si>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</si>
  <si>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</si>
  <si>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</si>
  <si>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</si>
  <si>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</si>
  <si>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</si>
  <si>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</si>
  <si>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</si>
  <si>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</si>
  <si>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</si>
  <si>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</si>
  <si>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</si>
  <si>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</si>
  <si>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</si>
  <si>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</si>
  <si>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</si>
  <si>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</si>
  <si>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</si>
  <si>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</si>
  <si>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</si>
  <si>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</si>
  <si>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</si>
  <si>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</si>
  <si>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</si>
  <si>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</si>
  <si>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</si>
  <si>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</si>
  <si>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</si>
  <si>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</si>
  <si>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</si>
  <si>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</si>
  <si>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</si>
  <si>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</si>
  <si>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</si>
  <si>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</si>
  <si>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</si>
  <si>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</si>
  <si>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</si>
  <si>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</si>
  <si>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</si>
  <si>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</si>
  <si>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</si>
  <si>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</si>
  <si>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</si>
  <si>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</si>
  <si>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</si>
  <si>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</si>
  <si>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</si>
  <si>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</si>
  <si>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</si>
  <si>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</si>
  <si>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</si>
  <si>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</si>
  <si>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</si>
  <si>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</si>
  <si>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</si>
  <si>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</si>
  <si>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</si>
  <si>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</si>
  <si>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</si>
  <si>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</si>
  <si>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</si>
  <si>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</si>
  <si>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</si>
  <si>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</si>
  <si>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</si>
  <si>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</si>
  <si>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</si>
  <si>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</si>
  <si>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</si>
  <si>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</si>
  <si>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</si>
  <si>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</si>
  <si>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</si>
  <si>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</si>
  <si>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</si>
  <si>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</si>
  <si>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</si>
  <si>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</si>
  <si>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</si>
  <si>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</si>
  <si>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</si>
  <si>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</si>
  <si>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</si>
  <si>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</si>
  <si>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</si>
  <si>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</si>
  <si>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</si>
  <si>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</si>
  <si>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</si>
  <si>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</si>
  <si>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</si>
  <si>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</si>
  <si>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</si>
  <si>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</si>
  <si>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</si>
  <si>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</si>
  <si>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</si>
  <si>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</si>
  <si>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</si>
  <si>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</si>
  <si>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</si>
  <si>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</si>
  <si>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</si>
  <si>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</si>
  <si>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</si>
  <si>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</si>
  <si>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</si>
  <si>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</si>
  <si>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</si>
  <si>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</si>
  <si>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</si>
  <si>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</si>
  <si>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</si>
  <si>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</si>
  <si>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</si>
  <si>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</si>
  <si>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</si>
  <si>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</si>
  <si>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</si>
  <si>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</si>
  <si>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</si>
  <si>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</si>
  <si>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</si>
  <si>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</si>
  <si>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</si>
  <si>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</si>
  <si>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</si>
  <si>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</si>
  <si>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</si>
  <si>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</si>
  <si>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</si>
  <si>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</si>
  <si>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</si>
  <si>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</si>
  <si>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</si>
  <si>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</si>
  <si>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</si>
  <si>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</si>
  <si>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</si>
  <si>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</si>
  <si>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</si>
  <si>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</si>
  <si>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</si>
  <si>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</si>
  <si>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</si>
  <si>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</si>
  <si>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</si>
  <si>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</si>
  <si>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</si>
  <si>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</si>
  <si>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</si>
  <si>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</si>
  <si>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</si>
  <si>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</si>
  <si>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</si>
  <si>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</si>
  <si>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</si>
  <si>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</si>
  <si>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</si>
  <si>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</si>
  <si>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</si>
  <si>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</si>
  <si>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</si>
  <si>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</si>
  <si>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</si>
  <si>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</si>
  <si>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</si>
  <si>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</si>
  <si>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</si>
  <si>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</si>
  <si>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</si>
  <si>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</si>
  <si>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</si>
  <si>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</si>
  <si>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</si>
  <si>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</si>
  <si>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</si>
  <si>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</si>
  <si>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</si>
  <si>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</si>
  <si>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</si>
  <si>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</si>
  <si>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</si>
  <si>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</si>
  <si>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</si>
  <si>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</si>
  <si>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</si>
  <si>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</si>
  <si>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</si>
  <si>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</si>
  <si>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</si>
  <si>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</si>
  <si>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</si>
  <si>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</si>
  <si>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</si>
  <si>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</si>
  <si>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</si>
  <si>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</si>
  <si>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</si>
  <si>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</si>
  <si>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</si>
  <si>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</si>
  <si>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</si>
  <si>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</si>
  <si>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</si>
  <si>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</si>
  <si>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</si>
  <si>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</si>
  <si>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</si>
  <si>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</si>
  <si>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</si>
  <si>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</si>
  <si>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</si>
  <si>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</si>
  <si>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</si>
  <si>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</si>
  <si>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</si>
  <si>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</si>
  <si>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</si>
  <si>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</si>
  <si>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</si>
  <si>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</si>
  <si>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</si>
  <si>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</si>
  <si>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</si>
  <si>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</si>
  <si>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</si>
  <si>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</si>
  <si>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</si>
  <si>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</si>
  <si>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</si>
  <si>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</si>
  <si>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</si>
  <si>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</si>
  <si>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</si>
  <si>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</si>
  <si>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</si>
  <si>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</si>
  <si>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</si>
  <si>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</si>
  <si>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</si>
  <si>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</si>
  <si>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</si>
  <si>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</si>
  <si>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</si>
  <si>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</si>
  <si>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</si>
  <si>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</si>
  <si>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</si>
  <si>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</si>
  <si>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</si>
  <si>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</si>
  <si>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</si>
  <si>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</si>
  <si>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</si>
  <si>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</si>
  <si>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</si>
  <si>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</si>
  <si>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</si>
  <si>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</si>
  <si>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</si>
  <si>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</si>
  <si>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</si>
  <si>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</si>
  <si>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</si>
  <si>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</si>
  <si>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</si>
  <si>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</si>
  <si>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</si>
  <si>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</si>
  <si>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</si>
  <si>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</si>
  <si>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</si>
  <si>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</si>
  <si>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</si>
  <si>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</si>
  <si>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</si>
  <si>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</si>
  <si>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</si>
  <si>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</si>
  <si>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</si>
  <si>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</si>
  <si>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</si>
  <si>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</si>
  <si>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</si>
  <si>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</si>
  <si>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</si>
  <si>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</si>
  <si>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</si>
  <si>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</si>
  <si>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</si>
  <si>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</si>
  <si>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</si>
  <si>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</si>
  <si>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</si>
  <si>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</si>
  <si>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</si>
  <si>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</si>
  <si>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</si>
  <si>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</si>
  <si>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</si>
  <si>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</si>
  <si>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</si>
  <si>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</si>
  <si>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</si>
  <si>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</si>
  <si>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</si>
  <si>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</si>
  <si>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</si>
  <si>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</si>
  <si>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</si>
  <si>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</si>
  <si>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</si>
  <si>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</si>
  <si>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</si>
  <si>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</si>
  <si>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</si>
  <si>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</si>
  <si>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</si>
  <si>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</si>
  <si>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</si>
  <si>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</si>
  <si>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</si>
  <si>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</si>
  <si>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</si>
  <si>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</si>
  <si>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</si>
  <si>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</si>
  <si>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</si>
  <si>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</si>
  <si>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</si>
  <si>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</si>
  <si>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</si>
  <si>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</si>
  <si>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</si>
  <si>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</si>
  <si>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</si>
  <si>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</si>
  <si>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</si>
  <si>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</si>
  <si>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</si>
  <si>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</si>
  <si>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</si>
  <si>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</si>
  <si>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</si>
  <si>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</si>
  <si>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</si>
  <si>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</si>
  <si>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</si>
  <si>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</si>
  <si>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</si>
  <si>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</si>
  <si>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</si>
  <si>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</si>
  <si>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</si>
  <si>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</si>
  <si>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</si>
  <si>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</si>
  <si>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</si>
  <si>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</si>
  <si>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</si>
  <si>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</si>
  <si>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</si>
  <si>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</si>
  <si>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</si>
  <si>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</si>
  <si>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</si>
  <si>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</si>
  <si>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</si>
  <si>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</si>
  <si>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</si>
  <si>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</si>
  <si>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</si>
  <si>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</si>
  <si>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</si>
  <si>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</si>
  <si>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</si>
  <si>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</si>
  <si>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</si>
  <si>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</si>
  <si>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</si>
  <si>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</si>
  <si>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</si>
  <si>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</si>
  <si>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</si>
  <si>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</si>
  <si>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</si>
  <si>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</si>
  <si>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</si>
  <si>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</si>
  <si>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</si>
  <si>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</si>
  <si>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</si>
  <si>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</si>
  <si>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</si>
  <si>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</si>
  <si>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</si>
  <si>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</si>
  <si>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</si>
  <si>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</si>
  <si>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</si>
  <si>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</si>
  <si>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</si>
  <si>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</si>
  <si>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</si>
  <si>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</si>
  <si>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</si>
  <si>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</si>
  <si>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</si>
  <si>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</si>
  <si>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</si>
  <si>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</si>
  <si>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</si>
  <si>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</si>
  <si>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</si>
  <si>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</si>
  <si>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</si>
  <si>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</si>
  <si>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</si>
  <si>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</si>
  <si>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</si>
  <si>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</si>
  <si>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</si>
  <si>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</si>
  <si>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</si>
  <si>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</si>
  <si>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</si>
  <si>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</si>
  <si>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</si>
  <si>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</si>
  <si>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</si>
  <si>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</si>
  <si>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</si>
  <si>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</si>
  <si>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</si>
  <si>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</si>
  <si>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</si>
  <si>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</si>
  <si>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</si>
  <si>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</si>
  <si>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</si>
  <si>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</si>
  <si>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</si>
  <si>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</si>
  <si>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</si>
  <si>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</si>
  <si>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</si>
  <si>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</si>
  <si>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</si>
  <si>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</si>
  <si>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</si>
  <si>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</si>
  <si>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</si>
  <si>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</si>
  <si>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</si>
  <si>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</si>
  <si>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</si>
  <si>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</si>
  <si>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</si>
  <si>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</si>
  <si>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</si>
  <si>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</si>
  <si>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</si>
  <si>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</si>
  <si>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</si>
  <si>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</si>
  <si>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</si>
  <si>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</si>
  <si>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</si>
  <si>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</si>
  <si>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</si>
  <si>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</si>
  <si>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</si>
  <si>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</si>
  <si>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</si>
  <si>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</si>
  <si>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</si>
  <si>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</si>
  <si>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</si>
  <si>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</si>
  <si>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</si>
  <si>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</si>
  <si>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</si>
  <si>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</si>
  <si>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</si>
  <si>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</si>
  <si>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</si>
  <si>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</si>
  <si>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</si>
  <si>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</si>
  <si>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</si>
  <si>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</si>
  <si>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</si>
  <si>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</si>
  <si>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</si>
  <si>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</si>
  <si>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</si>
  <si>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</si>
  <si>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</si>
  <si>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</si>
  <si>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</si>
  <si>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</si>
  <si>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</si>
  <si>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</si>
  <si>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</si>
  <si>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</si>
  <si>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</si>
  <si>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</si>
  <si>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</si>
  <si>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</si>
  <si>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</si>
  <si>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</si>
  <si>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</si>
  <si>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</si>
  <si>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</si>
  <si>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</si>
  <si>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</si>
  <si>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</si>
  <si>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</si>
  <si>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</si>
  <si>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</si>
  <si>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</si>
  <si>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</si>
  <si>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</si>
  <si>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</si>
  <si>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</si>
  <si>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</si>
  <si>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</si>
  <si>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</si>
  <si>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</si>
  <si>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</si>
  <si>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</si>
  <si>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</si>
  <si>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</si>
  <si>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</si>
  <si>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</si>
  <si>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</si>
  <si>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</si>
  <si>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</si>
  <si>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</si>
  <si>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</si>
  <si>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</si>
  <si>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</si>
  <si>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</si>
  <si>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</si>
  <si>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</si>
  <si>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</si>
  <si>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</si>
  <si>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</si>
  <si>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</si>
  <si>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</si>
  <si>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</si>
  <si>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</si>
  <si>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</si>
  <si>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</si>
  <si>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</si>
  <si>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</si>
  <si>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</si>
  <si>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</si>
  <si>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</si>
  <si>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</si>
  <si>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</si>
  <si>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</si>
  <si>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</si>
  <si>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</si>
  <si>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</si>
  <si>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</si>
  <si>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</si>
  <si>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</si>
  <si>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</si>
  <si>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</si>
  <si>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</si>
  <si>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</si>
  <si>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</si>
  <si>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</si>
  <si>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</si>
  <si>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</si>
  <si>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</si>
  <si>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</si>
  <si>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</si>
  <si>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</si>
  <si>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</si>
  <si>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</si>
  <si>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</si>
  <si>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</si>
  <si>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</si>
  <si>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</si>
  <si>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</si>
  <si>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</si>
  <si>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</si>
  <si>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</si>
  <si>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</si>
  <si>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</si>
  <si>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</si>
  <si>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</si>
  <si>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</si>
  <si>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</si>
  <si>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</si>
  <si>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</si>
  <si>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</si>
  <si>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</si>
  <si>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</si>
  <si>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</si>
  <si>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</si>
  <si>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</si>
  <si>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</si>
  <si>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</si>
  <si>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</si>
  <si>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</si>
  <si>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</si>
  <si>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</si>
  <si>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</si>
  <si>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</si>
  <si>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</si>
  <si>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</si>
  <si>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</si>
  <si>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</si>
  <si>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</si>
  <si>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</si>
  <si>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</si>
  <si>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</si>
  <si>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</si>
  <si>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</si>
  <si>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</si>
  <si>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</si>
  <si>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</si>
  <si>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</si>
  <si>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</si>
  <si>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</si>
  <si>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</si>
  <si>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</si>
  <si>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</si>
  <si>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</si>
  <si>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</si>
  <si>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</si>
  <si>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</si>
  <si>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</si>
  <si>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</si>
  <si>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</si>
  <si>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</si>
  <si>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</si>
  <si>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</si>
  <si>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</si>
  <si>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</si>
  <si>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</si>
  <si>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</si>
  <si>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</si>
  <si>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</si>
  <si>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</si>
  <si>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</si>
  <si>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</si>
  <si>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</si>
  <si>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</si>
  <si>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</si>
  <si>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</si>
  <si>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</si>
  <si>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</si>
  <si>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</si>
  <si>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</si>
  <si>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</si>
  <si>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</si>
  <si>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</si>
  <si>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</si>
  <si>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</si>
  <si>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</si>
  <si>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</si>
  <si>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</si>
  <si>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</si>
  <si>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</si>
  <si>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</si>
  <si>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</si>
  <si>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</si>
  <si>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</si>
  <si>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</si>
  <si>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</si>
  <si>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</si>
  <si>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</si>
  <si>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</si>
  <si>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</si>
  <si>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</si>
  <si>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</si>
  <si>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</si>
  <si>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</si>
  <si>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</si>
  <si>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</si>
  <si>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</si>
  <si>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</si>
  <si>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</si>
  <si>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</si>
  <si>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</si>
  <si>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</si>
  <si>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</si>
  <si>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</si>
  <si>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</si>
  <si>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</si>
  <si>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</si>
  <si>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</si>
  <si>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</si>
  <si>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</si>
  <si>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</si>
  <si>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</si>
  <si>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</si>
  <si>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</si>
  <si>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</si>
  <si>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</si>
  <si>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</si>
  <si>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</si>
  <si>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</si>
  <si>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</si>
  <si>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</si>
  <si>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</si>
  <si>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</si>
  <si>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</si>
  <si>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</si>
  <si>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</si>
  <si>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</si>
  <si>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</si>
  <si>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</si>
  <si>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</si>
  <si>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</si>
  <si>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</si>
  <si>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</si>
  <si>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</si>
  <si>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</si>
  <si>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</si>
  <si>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</si>
  <si>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</si>
  <si>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</si>
  <si>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</si>
  <si>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</si>
  <si>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</si>
  <si>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</si>
  <si>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</si>
  <si>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</si>
  <si>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</si>
  <si>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</si>
  <si>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</si>
  <si>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</si>
  <si>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</si>
  <si>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</si>
  <si>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</si>
  <si>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</si>
  <si>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</si>
  <si>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</si>
  <si>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</si>
  <si>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</si>
  <si>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</si>
  <si>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</si>
  <si>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</si>
  <si>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</si>
  <si>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</si>
  <si>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</si>
  <si>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</si>
  <si>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</si>
  <si>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</si>
  <si>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</si>
  <si>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</si>
  <si>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</si>
  <si>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</si>
  <si>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</si>
  <si>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</si>
  <si>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</si>
  <si>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</si>
  <si>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</si>
  <si>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</si>
  <si>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</si>
  <si>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</si>
  <si>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</si>
  <si>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</si>
  <si>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</si>
  <si>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</si>
  <si>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</si>
  <si>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</si>
  <si>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</si>
  <si>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</si>
  <si>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</si>
  <si>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</si>
  <si>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</si>
  <si>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</si>
  <si>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</si>
  <si>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</si>
  <si>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</si>
  <si>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</si>
  <si>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</si>
  <si>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</si>
  <si>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</si>
  <si>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</si>
  <si>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</si>
  <si>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</si>
  <si>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</si>
  <si>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</si>
  <si>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</si>
  <si>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</si>
  <si>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</si>
  <si>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</si>
  <si>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</si>
  <si>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</si>
  <si>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</si>
  <si>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</si>
  <si>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</si>
  <si>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</si>
  <si>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</si>
  <si>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</si>
  <si>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</si>
  <si>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</si>
  <si>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</si>
  <si>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</si>
  <si>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</si>
  <si>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</si>
  <si>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</si>
  <si>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</si>
  <si>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</si>
  <si>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</si>
  <si>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</si>
  <si>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</si>
  <si>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</si>
  <si>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</si>
  <si>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</si>
  <si>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</si>
  <si>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</si>
  <si>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</si>
  <si>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</si>
  <si>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</si>
  <si>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</si>
  <si>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</si>
  <si>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</si>
  <si>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</si>
  <si>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</si>
  <si>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</si>
  <si>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</si>
  <si>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</si>
  <si>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</si>
  <si>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</si>
  <si>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</si>
  <si>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</si>
  <si>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</si>
  <si>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</si>
  <si>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</si>
  <si>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</si>
  <si>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</si>
  <si>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</si>
  <si>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</si>
  <si>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</si>
  <si>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</si>
  <si>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</si>
  <si>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</si>
  <si>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</si>
  <si>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</si>
  <si>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</si>
  <si>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</si>
  <si>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</si>
  <si>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</si>
  <si>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</si>
  <si>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</si>
  <si>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</si>
  <si>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</si>
  <si>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</si>
  <si>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</si>
  <si>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</si>
  <si>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</si>
  <si>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</si>
  <si>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</si>
  <si>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</si>
  <si>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</si>
  <si>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</si>
  <si>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</si>
  <si>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</si>
  <si>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</si>
  <si>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</si>
  <si>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</si>
  <si>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</si>
  <si>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</si>
  <si>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</si>
  <si>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</si>
  <si>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</si>
  <si>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</si>
  <si>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</si>
  <si>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</si>
  <si>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</si>
  <si>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</si>
  <si>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</si>
  <si>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</si>
  <si>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</si>
  <si>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</si>
  <si>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</si>
  <si>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</si>
  <si>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</si>
  <si>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</si>
  <si>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</si>
  <si>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</si>
  <si>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</si>
  <si>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</si>
  <si>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</si>
  <si>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</si>
  <si>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</si>
  <si>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</si>
  <si>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</si>
  <si>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</si>
  <si>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</si>
  <si>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</si>
  <si>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</si>
  <si>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</si>
  <si>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</si>
  <si>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</si>
  <si>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</si>
  <si>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</si>
  <si>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</si>
  <si>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</si>
  <si>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</si>
  <si>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</si>
  <si>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</si>
  <si>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</si>
  <si>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</si>
  <si>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</si>
  <si>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</si>
  <si>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</si>
  <si>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</si>
  <si>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</si>
  <si>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</si>
  <si>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</si>
  <si>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</si>
  <si>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</si>
  <si>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</si>
  <si>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</si>
  <si>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</si>
  <si>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</si>
  <si>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</si>
  <si>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</si>
  <si>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</si>
  <si>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</si>
  <si>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</si>
  <si>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</si>
  <si>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</si>
  <si>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</si>
  <si>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</si>
  <si>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</si>
  <si>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</si>
  <si>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</si>
  <si>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</si>
  <si>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</si>
  <si>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</si>
  <si>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</si>
  <si>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</si>
  <si>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</si>
  <si>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</si>
  <si>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</si>
  <si>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</si>
  <si>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</si>
  <si>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</si>
  <si>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</si>
  <si>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</si>
  <si>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</si>
  <si>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</si>
  <si>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</si>
  <si>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</si>
  <si>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</si>
  <si>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</si>
  <si>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</si>
  <si>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</si>
  <si>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</si>
  <si>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</si>
  <si>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</si>
  <si>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</si>
  <si>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</si>
  <si>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</si>
  <si>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</si>
  <si>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</si>
  <si>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</si>
  <si>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</si>
  <si>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</si>
  <si>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</si>
  <si>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</si>
  <si>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</si>
  <si>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</si>
  <si>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</si>
  <si>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</si>
  <si>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</si>
  <si>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</si>
  <si>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</si>
  <si>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</si>
  <si>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</si>
  <si>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</si>
  <si>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</si>
  <si>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</si>
  <si>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</si>
  <si>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</si>
  <si>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</si>
  <si>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</si>
  <si>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</si>
  <si>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</si>
  <si>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</si>
  <si>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</si>
  <si>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</si>
  <si>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</si>
  <si>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</si>
  <si>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</si>
  <si>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</si>
  <si>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</si>
  <si>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</si>
  <si>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</si>
  <si>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</si>
  <si>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</si>
  <si>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</si>
  <si>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</si>
  <si>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</si>
  <si>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</si>
  <si>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</si>
  <si>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</si>
  <si>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</si>
  <si>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</si>
  <si>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</si>
  <si>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</si>
  <si>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</si>
  <si>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</si>
  <si>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</si>
  <si>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</si>
  <si>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</si>
  <si>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</si>
  <si>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</si>
  <si>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</si>
  <si>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</si>
  <si>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</si>
  <si>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</si>
  <si>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</si>
  <si>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</si>
  <si>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</si>
  <si>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</si>
  <si>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</si>
  <si>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</si>
  <si>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</si>
  <si>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</si>
  <si>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</si>
  <si>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</si>
  <si>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</si>
  <si>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</si>
  <si>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</si>
  <si>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</si>
  <si>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</si>
  <si>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</si>
  <si>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</si>
  <si>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</si>
  <si>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</si>
  <si>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</si>
  <si>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</si>
  <si>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</si>
  <si>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</si>
  <si>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</si>
  <si>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</si>
  <si>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</si>
  <si>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</si>
  <si>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</si>
  <si>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</si>
  <si>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</si>
  <si>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</si>
  <si>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</si>
  <si>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</si>
  <si>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</si>
  <si>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</si>
  <si>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</si>
  <si>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</si>
  <si>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</si>
  <si>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</si>
  <si>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</si>
  <si>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</si>
  <si>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</si>
  <si>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</si>
  <si>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</si>
  <si>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</si>
  <si>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</si>
  <si>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</si>
  <si>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</si>
  <si>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</si>
  <si>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</si>
  <si>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</si>
  <si>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</si>
  <si>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</si>
  <si>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</si>
  <si>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</si>
  <si>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</si>
  <si>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</si>
  <si>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</si>
  <si>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</si>
  <si>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</si>
  <si>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</si>
  <si>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</si>
  <si>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</si>
  <si>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</si>
  <si>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</si>
  <si>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</si>
  <si>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</si>
  <si>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</si>
  <si>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</si>
  <si>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</si>
  <si>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</si>
  <si>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</si>
  <si>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</si>
  <si>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</si>
  <si>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</si>
  <si>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</si>
  <si>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</si>
  <si>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</si>
  <si>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</si>
  <si>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</si>
  <si>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</si>
  <si>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</si>
  <si>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</si>
  <si>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</si>
  <si>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</si>
  <si>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</si>
  <si>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</si>
  <si>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</si>
  <si>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</si>
  <si>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</si>
  <si>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</si>
  <si>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</si>
  <si>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</si>
  <si>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</si>
  <si>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</si>
  <si>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</si>
  <si>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</si>
  <si>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</si>
  <si>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</si>
  <si>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</si>
  <si>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</si>
  <si>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</si>
  <si>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</si>
  <si>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</si>
  <si>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</si>
  <si>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</si>
  <si>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</si>
  <si>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</si>
  <si>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</si>
  <si>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</si>
  <si>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</si>
  <si>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</si>
  <si>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</si>
  <si>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</si>
  <si>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</si>
  <si>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</si>
  <si>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</si>
  <si>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</si>
  <si>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</si>
  <si>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</si>
  <si>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</si>
  <si>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</si>
  <si>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</si>
  <si>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</si>
  <si>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</si>
  <si>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</si>
  <si>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</si>
  <si>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</si>
  <si>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</si>
  <si>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</si>
  <si>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</si>
  <si>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</si>
  <si>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</si>
  <si>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</si>
  <si>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</si>
  <si>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</si>
  <si>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</si>
  <si>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</si>
  <si>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</si>
  <si>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</si>
  <si>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</si>
  <si>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</si>
  <si>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</si>
  <si>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</si>
  <si>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</si>
  <si>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</si>
  <si>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</si>
  <si>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</si>
  <si>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</si>
  <si>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</si>
  <si>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</si>
  <si>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</si>
  <si>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</si>
  <si>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</si>
  <si>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</si>
  <si>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</si>
  <si>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</si>
  <si>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</si>
  <si>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</si>
  <si>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</si>
  <si>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</si>
  <si>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</si>
  <si>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</si>
  <si>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</si>
  <si>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</si>
  <si>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</si>
  <si>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</si>
  <si>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</si>
  <si>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</si>
  <si>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</si>
  <si>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</si>
  <si>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</si>
  <si>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</si>
  <si>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</si>
  <si>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</si>
  <si>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</si>
  <si>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</si>
  <si>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</si>
  <si>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</si>
  <si>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</si>
  <si>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</si>
  <si>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</si>
  <si>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</si>
  <si>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</si>
  <si>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</si>
  <si>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</si>
  <si>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</si>
  <si>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</si>
  <si>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</si>
  <si>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</si>
  <si>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</si>
  <si>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</si>
  <si>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</si>
  <si>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</si>
  <si>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</si>
  <si>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</si>
  <si>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</si>
  <si>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</si>
  <si>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</si>
  <si>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</si>
  <si>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</si>
  <si>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</si>
  <si>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</si>
  <si>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</si>
  <si>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</si>
  <si>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</si>
  <si>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</si>
  <si>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</si>
  <si>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</si>
  <si>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</si>
  <si>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</si>
  <si>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</si>
  <si>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</si>
  <si>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</si>
  <si>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</si>
  <si>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</si>
  <si>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</si>
  <si>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</si>
  <si>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</si>
  <si>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</si>
  <si>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</si>
  <si>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</si>
  <si>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</si>
  <si>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</si>
  <si>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</si>
  <si>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</si>
  <si>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</si>
  <si>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</si>
  <si>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</si>
  <si>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</si>
  <si>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</si>
  <si>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</si>
  <si>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</si>
  <si>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</si>
  <si>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</si>
  <si>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</si>
  <si>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</si>
  <si>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</si>
  <si>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</si>
  <si>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</si>
  <si>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</si>
  <si>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</si>
  <si>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</si>
  <si>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</si>
  <si>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</si>
  <si>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</si>
  <si>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</si>
  <si>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</si>
  <si>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</si>
  <si>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</si>
  <si>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</si>
  <si>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</si>
  <si>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</si>
  <si>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</si>
  <si>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</si>
  <si>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</si>
  <si>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</si>
  <si>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</si>
  <si>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</si>
  <si>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</si>
  <si>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</si>
  <si>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</si>
  <si>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</si>
  <si>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</si>
  <si>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</si>
  <si>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</si>
  <si>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</si>
  <si>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</si>
  <si>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</si>
  <si>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</si>
  <si>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</si>
  <si>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</si>
  <si>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</si>
  <si>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</si>
  <si>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</si>
  <si>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</si>
  <si>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</si>
  <si>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</si>
  <si>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</si>
  <si>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</si>
  <si>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</si>
  <si>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</si>
  <si>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</si>
  <si>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</si>
  <si>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</si>
  <si>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</si>
  <si>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</si>
  <si>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</si>
  <si>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</si>
  <si>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</si>
  <si>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</si>
  <si>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</si>
  <si>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</si>
  <si>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</si>
  <si>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</si>
  <si>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</si>
  <si>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</si>
  <si>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</si>
  <si>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</si>
  <si>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</si>
  <si>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</si>
  <si>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</si>
  <si>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</si>
  <si>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</si>
  <si>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</si>
  <si>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</si>
  <si>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</si>
  <si>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</si>
  <si>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</si>
  <si>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</si>
  <si>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</si>
  <si>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</si>
  <si>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</si>
  <si>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</si>
  <si>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</si>
  <si>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</si>
  <si>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</si>
  <si>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</si>
  <si>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</si>
  <si>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</si>
  <si>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</si>
  <si>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</si>
  <si>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</si>
  <si>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</si>
  <si>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</si>
  <si>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</si>
  <si>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</si>
  <si>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</si>
  <si>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</si>
  <si>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</si>
  <si>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</si>
  <si>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</si>
  <si>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</si>
  <si>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</si>
  <si>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</si>
  <si>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</si>
  <si>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</si>
  <si>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</si>
  <si>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</si>
  <si>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</si>
  <si>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</si>
  <si>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</si>
  <si>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</si>
  <si>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</si>
  <si>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</si>
  <si>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</si>
  <si>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</si>
  <si>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</si>
  <si>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</si>
  <si>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</si>
  <si>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</si>
  <si>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</si>
  <si>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</si>
  <si>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</si>
  <si>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</si>
  <si>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</si>
  <si>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</si>
  <si>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</si>
  <si>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</si>
  <si>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</si>
  <si>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</si>
  <si>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</si>
  <si>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</si>
  <si>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</si>
  <si>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</si>
  <si>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</si>
  <si>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</si>
  <si>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</si>
  <si>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</si>
  <si>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</si>
  <si>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</si>
  <si>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</si>
  <si>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</si>
  <si>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</si>
  <si>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</si>
  <si>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</si>
  <si>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</si>
  <si>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</si>
  <si>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</si>
  <si>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</si>
  <si>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</si>
  <si>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</si>
  <si>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</si>
  <si>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</si>
  <si>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</si>
  <si>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</si>
  <si>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</si>
  <si>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</si>
  <si>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</si>
  <si>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</si>
  <si>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</si>
  <si>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</si>
  <si>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</si>
  <si>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</si>
  <si>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</si>
  <si>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</si>
  <si>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</si>
  <si>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</si>
  <si>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</si>
  <si>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</si>
  <si>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</si>
  <si>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</si>
  <si>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</si>
  <si>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</si>
  <si>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</si>
  <si>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</si>
  <si>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</si>
  <si>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</si>
  <si>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</si>
  <si>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</si>
  <si>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</si>
  <si>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</si>
  <si>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</si>
  <si>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</si>
  <si>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</si>
  <si>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</si>
  <si>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</si>
  <si>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</si>
  <si>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</si>
  <si>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</si>
  <si>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</si>
  <si>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</si>
  <si>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</si>
  <si>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</si>
  <si>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</si>
  <si>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</si>
  <si>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</si>
  <si>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</si>
  <si>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</si>
  <si>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</si>
  <si>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</si>
  <si>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</si>
  <si>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</si>
  <si>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</si>
  <si>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</si>
  <si>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</si>
  <si>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</si>
  <si>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</si>
  <si>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</si>
  <si>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</si>
  <si>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</si>
  <si>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</si>
  <si>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</si>
  <si>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</si>
  <si>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</si>
  <si>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</si>
  <si>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</si>
  <si>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</si>
  <si>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</si>
  <si>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</si>
  <si>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</si>
  <si>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</si>
  <si>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</si>
  <si>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</si>
  <si>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</si>
  <si>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</si>
  <si>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</si>
  <si>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</si>
  <si>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</si>
  <si>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</si>
  <si>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</si>
  <si>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</si>
  <si>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</si>
  <si>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</si>
  <si>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</si>
  <si>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</si>
  <si>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</si>
  <si>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</si>
  <si>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</si>
  <si>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</si>
  <si>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</si>
  <si>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</si>
  <si>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</si>
  <si>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</si>
  <si>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</si>
  <si>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</si>
  <si>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</si>
  <si>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</si>
  <si>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</si>
  <si>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</si>
  <si>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</si>
  <si>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</si>
  <si>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</si>
  <si>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</si>
  <si>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</si>
  <si>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</si>
  <si>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</si>
  <si>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</si>
  <si>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</si>
  <si>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</si>
  <si>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</si>
  <si>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</si>
  <si>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</si>
  <si>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</si>
  <si>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</si>
  <si>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</si>
  <si>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</si>
  <si>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</si>
  <si>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</si>
  <si>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</si>
  <si>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</si>
  <si>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</si>
  <si>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</si>
  <si>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</si>
  <si>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</si>
  <si>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</si>
  <si>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</si>
  <si>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</si>
  <si>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</si>
  <si>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</si>
  <si>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</si>
  <si>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</si>
  <si>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</si>
  <si>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</si>
  <si>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</si>
  <si>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</si>
  <si>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</si>
  <si>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</si>
  <si>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</si>
  <si>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</si>
  <si>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</si>
  <si>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</si>
  <si>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</si>
  <si>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</si>
  <si>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</si>
  <si>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</si>
  <si>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</si>
  <si>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</si>
  <si>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</si>
  <si>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</si>
  <si>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</si>
  <si>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</si>
  <si>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</si>
  <si>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</si>
  <si>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</si>
  <si>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</si>
  <si>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</si>
  <si>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</si>
  <si>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</si>
  <si>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</si>
  <si>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</si>
  <si>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</si>
  <si>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</si>
  <si>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</si>
  <si>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</si>
  <si>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</si>
  <si>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</si>
  <si>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</si>
  <si>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</si>
  <si>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</si>
  <si>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</si>
  <si>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</si>
  <si>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</si>
  <si>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</si>
  <si>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</si>
  <si>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</si>
  <si>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</si>
  <si>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</si>
  <si>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</si>
  <si>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</si>
  <si>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</si>
  <si>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</si>
  <si>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</si>
  <si>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</si>
  <si>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</si>
  <si>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</si>
  <si>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</si>
  <si>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</si>
  <si>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</si>
  <si>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</si>
  <si>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</si>
  <si>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</si>
  <si>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</si>
  <si>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</si>
  <si>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</si>
  <si>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</si>
  <si>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</si>
  <si>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</si>
  <si>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</si>
  <si>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</si>
  <si>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</si>
  <si>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</si>
  <si>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</si>
  <si>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</si>
  <si>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</si>
  <si>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</si>
  <si>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</si>
  <si>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</si>
  <si>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</si>
  <si>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</si>
  <si>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</si>
  <si>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</si>
  <si>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</si>
  <si>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</si>
  <si>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</si>
  <si>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</si>
  <si>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</si>
  <si>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</si>
  <si>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</si>
  <si>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</si>
  <si>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</si>
  <si>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</si>
  <si>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</si>
  <si>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</si>
  <si>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</si>
  <si>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</si>
  <si>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</si>
  <si>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</si>
  <si>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</si>
  <si>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</si>
  <si>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</si>
  <si>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</si>
  <si>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</si>
  <si>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</si>
  <si>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</si>
  <si>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</si>
  <si>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</si>
  <si>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</si>
  <si>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</si>
  <si>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</si>
  <si>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</si>
  <si>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</si>
  <si>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</si>
  <si>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</si>
  <si>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</si>
  <si>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</si>
  <si>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</si>
  <si>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</si>
  <si>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</si>
  <si>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</si>
  <si>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</si>
  <si>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</si>
  <si>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</si>
  <si>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</si>
  <si>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</si>
  <si>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</si>
  <si>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</si>
  <si>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</si>
  <si>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</si>
  <si>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</si>
  <si>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</si>
  <si>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</si>
  <si>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</si>
  <si>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</si>
  <si>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</si>
  <si>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</si>
  <si>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</si>
  <si>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</si>
  <si>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</si>
  <si>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</si>
  <si>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</si>
  <si>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</si>
  <si>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</si>
  <si>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</si>
  <si>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</si>
  <si>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</si>
  <si>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</si>
  <si>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</si>
  <si>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</si>
  <si>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</si>
  <si>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</si>
  <si>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</si>
  <si>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</si>
  <si>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</si>
  <si>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</si>
  <si>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</si>
  <si>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</si>
  <si>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</si>
  <si>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</si>
  <si>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</si>
  <si>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</si>
  <si>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</si>
  <si>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</si>
  <si>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</si>
  <si>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</si>
  <si>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</si>
  <si>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</si>
  <si>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</si>
  <si>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</si>
  <si>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</si>
  <si>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</si>
  <si>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</si>
  <si>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</si>
  <si>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</si>
  <si>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</si>
  <si>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</si>
  <si>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</si>
  <si>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</si>
  <si>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</si>
  <si>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</si>
  <si>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</si>
  <si>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</si>
  <si>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</si>
  <si>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</si>
  <si>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</si>
  <si>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</si>
  <si>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</si>
  <si>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</si>
  <si>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</si>
  <si>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</si>
  <si>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</si>
  <si>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</si>
  <si>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</si>
  <si>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</si>
  <si>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</si>
  <si>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</si>
  <si>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</si>
  <si>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</si>
  <si>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</si>
  <si>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</si>
  <si>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</si>
  <si>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</si>
  <si>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</si>
  <si>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</si>
  <si>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</si>
  <si>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</si>
  <si>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</si>
  <si>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</si>
  <si>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</si>
  <si>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</si>
  <si>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</si>
  <si>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</si>
  <si>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</si>
  <si>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</si>
  <si>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</si>
  <si>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</si>
  <si>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</si>
  <si>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</si>
  <si>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</si>
  <si>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</si>
  <si>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</si>
  <si>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</si>
  <si>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</si>
  <si>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</si>
  <si>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</si>
  <si>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</si>
  <si>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</si>
  <si>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</si>
  <si>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</si>
  <si>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</si>
  <si>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</si>
  <si>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</si>
  <si>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</si>
  <si>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</si>
  <si>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</si>
  <si>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</si>
  <si>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</si>
  <si>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</si>
  <si>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</si>
  <si>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</si>
  <si>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</si>
  <si>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</si>
  <si>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</si>
  <si>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</si>
  <si>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</si>
  <si>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</si>
  <si>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</si>
  <si>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</si>
  <si>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</si>
  <si>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</si>
  <si>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</si>
  <si>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</si>
  <si>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</si>
  <si>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</si>
  <si>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</si>
  <si>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</si>
  <si>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</si>
  <si>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</si>
  <si>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</si>
  <si>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</si>
  <si>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</si>
  <si>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</si>
  <si>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</si>
  <si>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</si>
  <si>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</si>
  <si>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</si>
  <si>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</si>
  <si>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</si>
  <si>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</si>
  <si>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</si>
  <si>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</si>
  <si>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</si>
  <si>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</si>
  <si>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</si>
  <si>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</si>
  <si>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</si>
  <si>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</si>
  <si>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</si>
  <si>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</si>
  <si>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</si>
  <si>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</si>
  <si>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</si>
  <si>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</si>
  <si>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</si>
  <si>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</si>
  <si>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</si>
  <si>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</si>
  <si>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</si>
  <si>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</si>
  <si>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</si>
  <si>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</si>
  <si>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</si>
  <si>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</si>
  <si>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</si>
  <si>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</si>
  <si>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</si>
  <si>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</si>
  <si>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</si>
  <si>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</si>
  <si>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</si>
  <si>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</si>
  <si>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</si>
  <si>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</si>
  <si>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</si>
  <si>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</si>
  <si>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</si>
  <si>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</si>
  <si>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</si>
  <si>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</si>
  <si>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</si>
  <si>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</si>
  <si>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</si>
  <si>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</si>
  <si>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</si>
  <si>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</si>
  <si>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</si>
  <si>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</si>
  <si>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</si>
  <si>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</si>
  <si>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</si>
  <si>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</si>
  <si>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</si>
  <si>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</si>
  <si>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</si>
  <si>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</si>
  <si>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</si>
  <si>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</si>
  <si>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</si>
  <si>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</si>
  <si>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</si>
  <si>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</si>
  <si>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</si>
  <si>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</si>
  <si>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</si>
  <si>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</si>
  <si>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</si>
  <si>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</si>
  <si>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</si>
  <si>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</si>
  <si>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</si>
  <si>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</si>
  <si>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</si>
  <si>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</si>
  <si>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</si>
  <si>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</si>
  <si>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</si>
  <si>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</si>
  <si>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</si>
  <si>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</si>
  <si>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</si>
  <si>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</si>
  <si>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</si>
  <si>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</si>
  <si>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</si>
  <si>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</si>
  <si>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</si>
  <si>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</si>
  <si>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</si>
  <si>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</si>
  <si>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</si>
  <si>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</si>
  <si>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</si>
  <si>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</si>
  <si>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</si>
  <si>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</si>
  <si>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</si>
  <si>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</si>
  <si>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</si>
  <si>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</si>
  <si>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</si>
  <si>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</si>
  <si>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</si>
  <si>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</si>
  <si>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</si>
  <si>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</si>
  <si>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</si>
  <si>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</si>
  <si>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</si>
  <si>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</si>
  <si>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</si>
  <si>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</si>
  <si>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</si>
  <si>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</si>
  <si>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</si>
  <si>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</si>
  <si>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</si>
  <si>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</si>
  <si>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</si>
  <si>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</si>
  <si>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</si>
  <si>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</si>
  <si>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</si>
  <si>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</si>
  <si>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</si>
  <si>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</si>
  <si>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</si>
  <si>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</si>
  <si>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</si>
  <si>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</si>
  <si>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</si>
  <si>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</si>
  <si>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</si>
  <si>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</si>
  <si>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</si>
  <si>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</si>
  <si>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</si>
  <si>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</si>
  <si>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</si>
  <si>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</si>
  <si>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</si>
  <si>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</si>
  <si>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</si>
  <si>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</si>
  <si>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</si>
  <si>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</si>
  <si>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</si>
  <si>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</si>
  <si>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</si>
  <si>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</si>
  <si>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</si>
  <si>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</si>
  <si>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</si>
  <si>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</si>
  <si>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</si>
  <si>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</si>
  <si>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</si>
  <si>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</si>
  <si>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</si>
  <si>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</si>
  <si>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</si>
  <si>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</si>
  <si>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</si>
  <si>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</si>
  <si>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</si>
  <si>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</si>
  <si>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</si>
  <si>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</si>
  <si>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</si>
  <si>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</si>
  <si>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</si>
  <si>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</si>
  <si>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</si>
  <si>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</si>
  <si>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</si>
  <si>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</si>
  <si>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</si>
  <si>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</si>
  <si>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</si>
  <si>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</si>
  <si>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</si>
  <si>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</si>
  <si>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</si>
  <si>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</si>
  <si>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</si>
  <si>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</si>
  <si>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</si>
  <si>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</si>
  <si>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</si>
  <si>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</si>
  <si>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</si>
  <si>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</si>
  <si>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</si>
  <si>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</si>
  <si>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</si>
  <si>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</si>
  <si>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</si>
  <si>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</si>
  <si>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</si>
  <si>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</si>
  <si>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</si>
  <si>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</si>
  <si>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</si>
  <si>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</si>
  <si>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</si>
  <si>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</si>
  <si>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</si>
  <si>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</si>
  <si>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</si>
  <si>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</si>
  <si>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</si>
  <si>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</si>
  <si>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</si>
  <si>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</si>
  <si>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</si>
  <si>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</si>
  <si>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</si>
  <si>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</si>
  <si>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</si>
  <si>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</si>
  <si>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</si>
  <si>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</si>
  <si>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</si>
  <si>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</si>
  <si>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</si>
  <si>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</si>
  <si>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</si>
  <si>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</si>
  <si>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</si>
  <si>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</si>
  <si>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</si>
  <si>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</si>
  <si>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</si>
  <si>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</si>
  <si>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</si>
  <si>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</si>
  <si>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</si>
  <si>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</si>
  <si>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</si>
  <si>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</si>
  <si>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</si>
  <si>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</si>
  <si>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</si>
  <si>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</si>
  <si>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</si>
  <si>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</si>
  <si>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</si>
  <si>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</si>
  <si>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</si>
  <si>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</si>
  <si>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</si>
  <si>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</si>
  <si>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</si>
  <si>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</si>
  <si>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</si>
  <si>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</si>
  <si>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</si>
  <si>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</si>
  <si>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</si>
  <si>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</si>
  <si>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</si>
  <si>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</si>
  <si>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</si>
  <si>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</si>
  <si>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</si>
  <si>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</si>
  <si>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</si>
  <si>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</si>
  <si>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</si>
  <si>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</si>
  <si>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</si>
  <si>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</si>
  <si>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</si>
  <si>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</si>
  <si>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</si>
  <si>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</si>
  <si>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</si>
  <si>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</si>
  <si>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</si>
  <si>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</si>
  <si>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</si>
  <si>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</si>
  <si>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</si>
  <si>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</si>
  <si>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</si>
  <si>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</si>
  <si>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</si>
  <si>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</si>
  <si>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</si>
  <si>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</si>
  <si>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</si>
  <si>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</si>
  <si>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</si>
  <si>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</si>
  <si>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</si>
  <si>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</si>
  <si>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</si>
  <si>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</si>
  <si>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</si>
  <si>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</si>
  <si>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</si>
  <si>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</si>
  <si>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</si>
  <si>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</si>
  <si>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</si>
  <si>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</si>
  <si>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</si>
  <si>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</si>
  <si>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</si>
  <si>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</si>
  <si>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</si>
  <si>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</si>
  <si>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</si>
  <si>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</si>
  <si>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</si>
  <si>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</si>
  <si>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</si>
  <si>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</si>
  <si>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</si>
  <si>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</si>
  <si>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</si>
  <si>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</si>
  <si>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</si>
  <si>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</si>
  <si>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</si>
  <si>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</si>
  <si>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</si>
  <si>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</si>
  <si>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</si>
  <si>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</si>
  <si>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</si>
  <si>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</si>
  <si>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</si>
  <si>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</si>
  <si>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</si>
  <si>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</si>
  <si>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</si>
  <si>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</si>
  <si>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</si>
  <si>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</si>
  <si>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</si>
  <si>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</si>
  <si>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</si>
  <si>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</si>
  <si>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</si>
  <si>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</si>
  <si>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</si>
  <si>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</si>
  <si>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</si>
  <si>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</si>
  <si>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</si>
  <si>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</si>
  <si>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</si>
  <si>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</si>
  <si>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</si>
  <si>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</si>
  <si>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</si>
  <si>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</si>
  <si>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</si>
  <si>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</si>
  <si>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</si>
  <si>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</si>
  <si>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</si>
  <si>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</si>
  <si>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</si>
  <si>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</si>
  <si>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</si>
  <si>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</si>
  <si>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</si>
  <si>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</si>
  <si>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</si>
  <si>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</si>
  <si>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</si>
  <si>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</si>
  <si>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</si>
  <si>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</si>
  <si>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</si>
  <si>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</si>
  <si>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</si>
  <si>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</si>
  <si>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</si>
  <si>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</si>
  <si>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</si>
  <si>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</si>
  <si>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</si>
  <si>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</si>
  <si>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</si>
  <si>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</si>
  <si>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</si>
  <si>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</si>
  <si>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</si>
  <si>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</si>
  <si>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</si>
  <si>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</si>
  <si>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</si>
  <si>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</si>
  <si>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</si>
  <si>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</si>
  <si>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</si>
  <si>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</si>
  <si>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</si>
  <si>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</si>
  <si>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</si>
  <si>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</si>
  <si>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</si>
  <si>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</si>
  <si>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</si>
  <si>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</si>
  <si>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</si>
  <si>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</si>
  <si>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</si>
  <si>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</si>
  <si>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</si>
  <si>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</si>
  <si>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</si>
  <si>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</si>
  <si>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</si>
  <si>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</si>
  <si>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</si>
  <si>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</si>
  <si>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</si>
  <si>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</si>
  <si>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</si>
  <si>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</si>
  <si>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</si>
  <si>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</si>
  <si>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</si>
  <si>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</si>
  <si>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</si>
  <si>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</si>
  <si>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</si>
  <si>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</si>
  <si>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</si>
  <si>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</si>
  <si>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</si>
  <si>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</si>
  <si>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</si>
  <si>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</si>
  <si>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</si>
  <si>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</si>
  <si>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</si>
  <si>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</si>
  <si>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</si>
  <si>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</si>
  <si>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</si>
  <si>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</si>
  <si>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</si>
  <si>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</si>
  <si>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</si>
  <si>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</si>
  <si>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</si>
  <si>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</si>
  <si>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</si>
  <si>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</si>
  <si>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</si>
  <si>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</si>
  <si>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</si>
  <si>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</si>
  <si>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</si>
  <si>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</si>
  <si>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</si>
  <si>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</si>
  <si>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</si>
  <si>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</si>
  <si>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</si>
  <si>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</si>
  <si>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</si>
  <si>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</si>
  <si>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</si>
  <si>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</si>
  <si>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</si>
  <si>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</si>
  <si>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</si>
  <si>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</si>
  <si>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</si>
  <si>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</si>
  <si>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</si>
  <si>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</si>
  <si>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</si>
  <si>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</si>
  <si>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</si>
  <si>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</si>
  <si>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</si>
  <si>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</si>
  <si>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</si>
  <si>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</si>
  <si>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</si>
  <si>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</si>
  <si>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</si>
  <si>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</si>
  <si>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</si>
  <si>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</si>
  <si>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</si>
  <si>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</si>
  <si>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</si>
  <si>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</si>
  <si>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</si>
  <si>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</si>
  <si>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</si>
  <si>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</si>
  <si>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</si>
  <si>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</si>
  <si>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</si>
  <si>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</si>
  <si>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</si>
  <si>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</si>
  <si>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</si>
  <si>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</si>
  <si>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</si>
  <si>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</si>
  <si>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</si>
  <si>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</si>
  <si>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</si>
  <si>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</si>
  <si>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</si>
  <si>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</si>
  <si>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</si>
  <si>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</si>
  <si>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</si>
  <si>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</si>
  <si>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</si>
  <si>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</si>
  <si>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</si>
  <si>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</si>
  <si>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</si>
  <si>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</si>
  <si>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</si>
  <si>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</si>
  <si>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</si>
  <si>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</si>
  <si>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</si>
  <si>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</si>
  <si>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</si>
  <si>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</si>
  <si>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</si>
  <si>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</si>
  <si>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</si>
  <si>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</si>
  <si>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</si>
  <si>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</si>
  <si>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</si>
  <si>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</si>
  <si>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</si>
  <si>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</si>
  <si>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</si>
  <si>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</si>
  <si>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</si>
  <si>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</si>
  <si>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</si>
  <si>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</si>
  <si>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</si>
  <si>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</si>
  <si>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</si>
  <si>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</si>
  <si>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</si>
  <si>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</si>
  <si>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</si>
  <si>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</si>
  <si>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</si>
  <si>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</si>
  <si>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</si>
  <si>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</si>
  <si>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</si>
  <si>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</si>
  <si>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</si>
  <si>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</si>
  <si>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</si>
  <si>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</si>
  <si>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</si>
  <si>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</si>
  <si>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</si>
  <si>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</si>
  <si>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</si>
  <si>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</si>
  <si>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</si>
  <si>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</si>
  <si>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</si>
  <si>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</si>
  <si>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</si>
  <si>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</si>
  <si>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</si>
  <si>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</si>
  <si>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</si>
  <si>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</si>
  <si>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</si>
  <si>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</si>
  <si>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</si>
  <si>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</si>
  <si>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</si>
  <si>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</si>
  <si>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</si>
  <si>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</si>
  <si>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</si>
  <si>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</si>
  <si>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</si>
  <si>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</si>
  <si>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</si>
  <si>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</si>
  <si>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</si>
  <si>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</si>
  <si>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</si>
  <si>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</si>
  <si>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</si>
  <si>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</si>
  <si>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</si>
  <si>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</si>
  <si>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</si>
  <si>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</si>
  <si>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</si>
  <si>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</si>
  <si>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</si>
  <si>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</si>
  <si>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</si>
  <si>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</si>
  <si>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</si>
  <si>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</si>
  <si>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</si>
  <si>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</si>
  <si>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</si>
  <si>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</si>
  <si>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</si>
  <si>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</si>
  <si>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</si>
  <si>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</si>
  <si>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</si>
  <si>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</si>
  <si>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</si>
  <si>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</si>
  <si>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</si>
  <si>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</si>
  <si>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</si>
  <si>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</si>
  <si>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</si>
  <si>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</si>
  <si>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</si>
  <si>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</si>
  <si>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</si>
  <si>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</si>
  <si>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</si>
  <si>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</si>
  <si>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</si>
  <si>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</si>
  <si>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</si>
  <si>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</si>
  <si>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</si>
  <si>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</si>
  <si>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</si>
  <si>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</si>
  <si>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</si>
  <si>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</si>
  <si>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</si>
  <si>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</si>
  <si>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</si>
  <si>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</si>
  <si>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</si>
  <si>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</si>
  <si>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</si>
  <si>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</si>
  <si>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</si>
  <si>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</si>
  <si>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</si>
  <si>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</si>
  <si>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</si>
  <si>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</si>
  <si>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</si>
  <si>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</si>
  <si>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</si>
  <si>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</si>
  <si>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</si>
  <si>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</si>
  <si>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</si>
  <si>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</si>
  <si>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</si>
  <si>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</si>
  <si>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</si>
  <si>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</si>
  <si>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</si>
  <si>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</si>
  <si>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</si>
  <si>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</si>
  <si>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</si>
  <si>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</si>
  <si>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</si>
  <si>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</si>
  <si>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</si>
  <si>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</si>
  <si>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</si>
  <si>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</si>
  <si>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</si>
  <si>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</si>
  <si>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</si>
  <si>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</si>
  <si>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</si>
  <si>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</si>
  <si>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</si>
  <si>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</si>
  <si>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</si>
  <si>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</si>
  <si>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</si>
  <si>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</si>
  <si>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</si>
  <si>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</si>
  <si>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</si>
  <si>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</si>
  <si>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</si>
  <si>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</si>
  <si>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</si>
  <si>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</si>
  <si>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</si>
  <si>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</si>
  <si>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</si>
  <si>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</si>
  <si>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</si>
  <si>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</si>
  <si>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</si>
  <si>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</si>
  <si>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</si>
  <si>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</si>
  <si>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</si>
  <si>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</si>
  <si>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</si>
  <si>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</si>
  <si>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</si>
  <si>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</si>
  <si>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</si>
  <si>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</si>
  <si>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</si>
  <si>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</si>
  <si>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</si>
  <si>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</si>
  <si>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</si>
  <si>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</si>
  <si>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</si>
  <si>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</si>
  <si>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</si>
  <si>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</si>
  <si>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</si>
  <si>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</si>
  <si>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</si>
  <si>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</si>
  <si>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</si>
  <si>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</si>
  <si>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</si>
  <si>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</si>
  <si>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</si>
  <si>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</si>
  <si>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</si>
  <si>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</si>
  <si>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</si>
  <si>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</si>
  <si>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</si>
  <si>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</si>
  <si>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</si>
  <si>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</si>
  <si>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</si>
  <si>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</si>
  <si>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</si>
  <si>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</si>
  <si>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</si>
  <si>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</si>
  <si>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</si>
  <si>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</si>
  <si>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</si>
  <si>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</si>
  <si>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</si>
  <si>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</si>
  <si>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</si>
  <si>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</si>
  <si>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</si>
  <si>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</si>
  <si>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</si>
  <si>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</si>
  <si>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</si>
  <si>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</si>
  <si>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</si>
  <si>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</si>
  <si>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</si>
  <si>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</si>
  <si>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</si>
  <si>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</si>
  <si>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</si>
  <si>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</si>
  <si>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</si>
  <si>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</si>
  <si>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</si>
  <si>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</si>
  <si>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</si>
  <si>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</si>
  <si>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</si>
  <si>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</si>
  <si>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</si>
  <si>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</si>
  <si>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</si>
  <si>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</si>
  <si>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</si>
  <si>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</si>
  <si>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</si>
  <si>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</si>
  <si>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</si>
  <si>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</si>
  <si>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</si>
  <si>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</si>
  <si>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</si>
  <si>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</si>
  <si>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</si>
  <si>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</si>
  <si>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</si>
  <si>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</si>
  <si>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</si>
  <si>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</si>
  <si>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</si>
  <si>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</si>
  <si>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</si>
  <si>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</si>
  <si>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</si>
  <si>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</si>
  <si>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</si>
  <si>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</si>
  <si>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</si>
  <si>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</si>
  <si>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</si>
  <si>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</si>
  <si>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</si>
  <si>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</si>
  <si>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</si>
  <si>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</si>
  <si>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</si>
  <si>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</si>
  <si>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</si>
  <si>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</si>
  <si>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</si>
  <si>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</si>
  <si>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</si>
  <si>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</si>
  <si>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</si>
  <si>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</si>
  <si>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</si>
  <si>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</si>
  <si>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</si>
  <si>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</si>
  <si>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</si>
  <si>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</si>
  <si>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</si>
  <si>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</si>
  <si>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</si>
  <si>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</si>
  <si>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</si>
  <si>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</si>
  <si>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</si>
  <si>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</si>
  <si>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</si>
  <si>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</si>
  <si>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</si>
  <si>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</si>
  <si>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</si>
  <si>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</si>
  <si>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</si>
  <si>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</si>
  <si>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</si>
  <si>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</si>
  <si>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</si>
  <si>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</si>
  <si>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</si>
  <si>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</si>
  <si>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</si>
  <si>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</si>
  <si>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</si>
  <si>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</si>
  <si>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</si>
  <si>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</si>
  <si>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</si>
  <si>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</si>
  <si>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</si>
  <si>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</si>
  <si>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</si>
  <si>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</si>
  <si>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</si>
  <si>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</si>
  <si>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</si>
  <si>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</si>
  <si>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</si>
  <si>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</si>
  <si>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</si>
  <si>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</si>
  <si>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</si>
  <si>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</si>
  <si>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</si>
  <si>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</si>
  <si>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</si>
  <si>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</si>
  <si>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</si>
  <si>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</si>
  <si>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</si>
  <si>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</si>
  <si>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</si>
  <si>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</si>
  <si>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</si>
  <si>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</si>
  <si>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</si>
  <si>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</si>
  <si>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</si>
  <si>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</si>
  <si>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</si>
  <si>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</si>
  <si>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</si>
  <si>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</si>
  <si>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</si>
  <si>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</si>
  <si>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</si>
  <si>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</si>
  <si>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</si>
  <si>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</si>
  <si>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</si>
  <si>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</si>
  <si>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</si>
  <si>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</si>
  <si>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</si>
  <si>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</si>
  <si>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</si>
  <si>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</si>
  <si>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</si>
  <si>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</si>
  <si>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</si>
  <si>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</si>
  <si>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</si>
  <si>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</si>
  <si>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</si>
  <si>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</si>
  <si>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</si>
  <si>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</si>
  <si>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</si>
  <si>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</si>
  <si>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</si>
  <si>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</si>
  <si>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</si>
  <si>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</si>
  <si>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</si>
  <si>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</si>
  <si>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</si>
  <si>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</si>
  <si>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</si>
  <si>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</si>
  <si>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</si>
  <si>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</si>
  <si>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</si>
  <si>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</si>
  <si>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</si>
  <si>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</si>
  <si>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</si>
  <si>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</si>
  <si>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</si>
  <si>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</si>
  <si>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</si>
  <si>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</si>
  <si>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</si>
  <si>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</si>
  <si>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</si>
  <si>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</si>
  <si>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</si>
  <si>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</si>
  <si>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</si>
  <si>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</si>
  <si>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</si>
  <si>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</si>
  <si>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</si>
  <si>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</si>
  <si>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</si>
  <si>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</si>
  <si>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</si>
  <si>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</si>
  <si>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</si>
  <si>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</si>
  <si>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</si>
  <si>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</si>
  <si>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</si>
  <si>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</si>
  <si>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</si>
  <si>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</si>
  <si>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</si>
  <si>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</si>
  <si>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</si>
  <si>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</si>
  <si>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</si>
  <si>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</si>
  <si>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</si>
  <si>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</si>
  <si>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</si>
  <si>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</si>
  <si>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</si>
  <si>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</si>
  <si>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</si>
  <si>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</si>
  <si>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</si>
  <si>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</si>
  <si>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</si>
  <si>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</si>
  <si>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</si>
  <si>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</si>
  <si>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</si>
  <si>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</si>
  <si>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</si>
  <si>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</si>
  <si>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</si>
  <si>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</si>
  <si>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</si>
  <si>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</si>
  <si>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</si>
  <si>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</si>
  <si>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</si>
  <si>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</si>
  <si>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</si>
  <si>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</si>
  <si>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</si>
  <si>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</si>
  <si>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</si>
  <si>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</si>
  <si>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</si>
  <si>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</si>
  <si>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</si>
  <si>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</si>
  <si>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</si>
  <si>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</si>
  <si>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</si>
  <si>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</si>
  <si>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</si>
  <si>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</si>
  <si>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</si>
  <si>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</si>
  <si>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</si>
  <si>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</si>
  <si>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</si>
  <si>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</si>
  <si>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</si>
  <si>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</si>
  <si>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</si>
  <si>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</si>
  <si>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</si>
  <si>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</si>
  <si>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</si>
  <si>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</si>
  <si>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</si>
  <si>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</si>
  <si>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</si>
  <si>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</si>
  <si>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</si>
  <si>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</si>
  <si>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</si>
  <si>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</si>
  <si>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</si>
  <si>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</si>
  <si>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</si>
  <si>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</si>
  <si>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</si>
  <si>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</si>
  <si>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</si>
  <si>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</si>
  <si>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</si>
  <si>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</si>
  <si>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</si>
  <si>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</si>
  <si>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</si>
  <si>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</si>
  <si>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</si>
  <si>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</si>
  <si>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</si>
  <si>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</si>
  <si>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</si>
  <si>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</si>
  <si>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</si>
  <si>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</si>
  <si>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</si>
  <si>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</si>
  <si>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</si>
  <si>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</si>
  <si>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</si>
  <si>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</si>
  <si>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</si>
  <si>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</si>
  <si>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</si>
  <si>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</si>
  <si>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</si>
  <si>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</si>
  <si>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</si>
  <si>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</si>
  <si>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</si>
  <si>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</si>
  <si>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</si>
  <si>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</si>
  <si>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</si>
  <si>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</si>
  <si>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</si>
  <si>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</si>
  <si>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</si>
  <si>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</si>
  <si>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</si>
  <si>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</si>
  <si>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</si>
  <si>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</si>
  <si>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</si>
  <si>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</si>
  <si>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</si>
  <si>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</si>
  <si>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</si>
  <si>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</si>
  <si>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</si>
  <si>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</si>
  <si>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</si>
  <si>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</si>
  <si>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</si>
  <si>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</si>
  <si>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</si>
  <si>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</si>
  <si>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</si>
  <si>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</si>
  <si>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</si>
  <si>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</si>
  <si>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</si>
  <si>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</si>
  <si>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</si>
  <si>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</si>
  <si>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</si>
  <si>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</si>
  <si>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</si>
  <si>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</si>
  <si>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</si>
  <si>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</si>
  <si>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</si>
  <si>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</si>
  <si>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</si>
  <si>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</si>
  <si>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</si>
  <si>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</si>
  <si>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</si>
  <si>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</si>
  <si>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</si>
  <si>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</si>
  <si>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</si>
  <si>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</si>
  <si>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</si>
  <si>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</si>
  <si>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</si>
  <si>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</si>
  <si>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</si>
  <si>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</si>
  <si>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</si>
  <si>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</si>
  <si>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</si>
  <si>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</si>
  <si>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</si>
  <si>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</si>
  <si>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</si>
  <si>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</si>
  <si>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</si>
  <si>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</si>
  <si>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</si>
  <si>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</si>
  <si>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</si>
  <si>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</si>
  <si>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</si>
  <si>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</si>
  <si>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</si>
  <si>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</si>
  <si>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</si>
  <si>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</si>
  <si>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</si>
  <si>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</si>
  <si>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</si>
  <si>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</si>
  <si>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</si>
  <si>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</si>
  <si>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</si>
  <si>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</si>
  <si>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</si>
  <si>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</si>
  <si>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</si>
  <si>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</si>
  <si>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</si>
  <si>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</si>
  <si>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</si>
  <si>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</si>
  <si>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</si>
  <si>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</si>
  <si>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</si>
  <si>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</si>
  <si>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</si>
  <si>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</si>
  <si>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</si>
  <si>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</si>
  <si>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</si>
  <si>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</si>
  <si>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</si>
  <si>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</si>
  <si>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</si>
  <si>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</si>
  <si>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</si>
  <si>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</si>
  <si>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</si>
  <si>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</si>
  <si>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</si>
  <si>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</si>
  <si>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</si>
  <si>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</si>
  <si>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</si>
  <si>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</si>
  <si>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</si>
  <si>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</si>
  <si>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</si>
  <si>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</si>
  <si>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</si>
  <si>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</si>
  <si>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</si>
  <si>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</si>
  <si>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</si>
  <si>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</si>
  <si>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</si>
  <si>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</si>
  <si>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</si>
  <si>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</si>
  <si>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</si>
  <si>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</si>
  <si>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</si>
  <si>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</si>
  <si>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</si>
  <si>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</si>
  <si>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</si>
  <si>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</si>
  <si>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</si>
  <si>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</si>
  <si>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</si>
  <si>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</si>
  <si>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</si>
  <si>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</si>
  <si>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</si>
  <si>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</si>
  <si>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</si>
  <si>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</si>
  <si>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</si>
  <si>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</si>
  <si>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</si>
  <si>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</si>
  <si>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</si>
  <si>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</si>
  <si>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</si>
  <si>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</si>
  <si>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</si>
  <si>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</si>
  <si>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</si>
  <si>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</si>
  <si>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</si>
  <si>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</si>
  <si>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</si>
  <si>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</si>
  <si>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</si>
  <si>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</si>
  <si>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</si>
  <si>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</si>
  <si>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</si>
  <si>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</si>
  <si>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</si>
  <si>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</si>
  <si>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</si>
  <si>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</si>
  <si>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</si>
  <si>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</si>
  <si>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</si>
  <si>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</si>
  <si>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</si>
  <si>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</si>
  <si>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</si>
  <si>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</si>
  <si>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</si>
  <si>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</si>
  <si>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</si>
  <si>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</si>
  <si>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</si>
  <si>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</si>
  <si>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</si>
  <si>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</si>
  <si>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</si>
  <si>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</si>
  <si>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</si>
  <si>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</si>
  <si>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</si>
  <si>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</si>
  <si>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</si>
  <si>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</si>
  <si>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</si>
  <si>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</si>
  <si>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</si>
  <si>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</si>
  <si>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</si>
  <si>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</si>
  <si>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</si>
  <si>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</si>
  <si>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</si>
  <si>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</si>
  <si>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</si>
  <si>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</si>
  <si>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</si>
  <si>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</si>
  <si>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</si>
  <si>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</si>
  <si>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</si>
  <si>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</si>
  <si>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</si>
  <si>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</si>
  <si>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</si>
  <si>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</si>
  <si>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</si>
  <si>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</si>
  <si>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</si>
  <si>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</si>
  <si>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</si>
  <si>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</si>
  <si>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</si>
  <si>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</si>
  <si>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</si>
  <si>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</si>
  <si>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</si>
  <si>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</si>
  <si>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</si>
  <si>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</si>
  <si>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</si>
  <si>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</si>
  <si>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</si>
  <si>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</si>
  <si>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</si>
  <si>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</si>
  <si>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</si>
  <si>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</si>
  <si>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</si>
  <si>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</si>
  <si>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</si>
  <si>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</si>
  <si>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</si>
  <si>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</si>
  <si>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</si>
  <si>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</si>
  <si>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</si>
  <si>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</si>
  <si>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</si>
  <si>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</si>
  <si>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</si>
  <si>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</si>
  <si>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</si>
  <si>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</si>
  <si>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</si>
  <si>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</si>
  <si>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</si>
  <si>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</si>
  <si>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</si>
  <si>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</si>
  <si>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</si>
  <si>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</si>
  <si>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</si>
  <si>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</si>
  <si>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</si>
  <si>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</si>
  <si>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</si>
  <si>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</si>
  <si>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</si>
  <si>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</si>
  <si>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</si>
  <si>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</si>
  <si>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</si>
  <si>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</si>
  <si>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</si>
  <si>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</si>
  <si>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</si>
  <si>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</si>
  <si>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</si>
  <si>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</si>
  <si>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</si>
  <si>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</si>
  <si>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</si>
  <si>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</si>
  <si>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</si>
  <si>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</si>
  <si>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</si>
  <si>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</si>
  <si>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</si>
  <si>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</si>
  <si>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</si>
  <si>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</si>
  <si>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</si>
  <si>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</si>
  <si>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</si>
  <si>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</si>
  <si>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</si>
  <si>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</si>
  <si>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</si>
  <si>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</si>
  <si>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</si>
  <si>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</si>
  <si>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</si>
  <si>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</si>
  <si>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</si>
  <si>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</si>
  <si>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</si>
  <si>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</si>
  <si>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</si>
  <si>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</si>
  <si>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</si>
  <si>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</si>
  <si>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</si>
  <si>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</si>
  <si>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</si>
  <si>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</si>
  <si>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</si>
  <si>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</si>
  <si>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</si>
  <si>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</si>
  <si>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</si>
  <si>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</si>
  <si>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</si>
  <si>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</si>
  <si>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</si>
  <si>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</si>
  <si>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</si>
  <si>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</si>
  <si>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</si>
  <si>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</si>
  <si>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</si>
  <si>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</si>
  <si>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</si>
  <si>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</si>
  <si>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</si>
  <si>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</si>
  <si>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</si>
  <si>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</si>
  <si>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</si>
  <si>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</si>
  <si>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</si>
  <si>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</si>
  <si>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</si>
  <si>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</si>
  <si>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</si>
  <si>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</si>
  <si>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</si>
  <si>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</si>
  <si>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</si>
  <si>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</si>
  <si>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</si>
  <si>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</si>
  <si>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</si>
  <si>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</si>
  <si>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</si>
  <si>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</si>
  <si>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</si>
  <si>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</si>
  <si>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</si>
  <si>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</si>
  <si>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</si>
  <si>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</si>
  <si>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</si>
  <si>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</si>
  <si>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</si>
  <si>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</si>
  <si>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</si>
  <si>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</si>
  <si>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</si>
  <si>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</si>
  <si>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</si>
  <si>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</si>
  <si>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</si>
  <si>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</si>
  <si>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</si>
  <si>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</si>
  <si>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</si>
  <si>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</si>
  <si>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</si>
  <si>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</si>
  <si>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</si>
  <si>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</si>
  <si>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</si>
  <si>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</si>
  <si>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</si>
  <si>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</si>
  <si>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</si>
  <si>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</si>
  <si>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</si>
  <si>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</si>
  <si>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</si>
  <si>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</si>
  <si>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</si>
  <si>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</si>
  <si>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</si>
  <si>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</si>
  <si>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</si>
  <si>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</si>
  <si>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</si>
  <si>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</si>
  <si>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</si>
  <si>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</si>
  <si>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</si>
  <si>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</si>
  <si>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</si>
  <si>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</si>
  <si>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</si>
  <si>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</si>
  <si>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</si>
  <si>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</si>
  <si>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</si>
  <si>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</si>
  <si>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</si>
  <si>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</si>
  <si>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</si>
  <si>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</si>
  <si>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</si>
  <si>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</si>
  <si>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</si>
  <si>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</si>
  <si>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</si>
  <si>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</si>
  <si>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</si>
  <si>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</si>
  <si>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</si>
  <si>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</si>
  <si>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</si>
  <si>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</si>
  <si>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</si>
  <si>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</si>
  <si>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</si>
  <si>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</si>
  <si>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</si>
  <si>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</si>
  <si>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</si>
  <si>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</si>
  <si>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</si>
  <si>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</si>
  <si>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</si>
  <si>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</si>
  <si>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</si>
  <si>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</si>
  <si>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</si>
  <si>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</si>
  <si>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</si>
  <si>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</si>
  <si>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</si>
  <si>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</si>
  <si>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</si>
  <si>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</si>
  <si>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</si>
  <si>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</si>
  <si>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</si>
  <si>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</si>
  <si>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</si>
  <si>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</si>
  <si>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</si>
  <si>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</si>
  <si>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</si>
  <si>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</si>
  <si>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</si>
  <si>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</si>
  <si>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</si>
  <si>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</si>
  <si>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</si>
  <si>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</si>
  <si>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</si>
  <si>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</si>
  <si>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</si>
  <si>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</si>
  <si>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</si>
  <si>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</si>
  <si>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</si>
  <si>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</si>
  <si>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</si>
  <si>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</si>
  <si>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</si>
  <si>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</si>
  <si>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</si>
  <si>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</si>
  <si>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</si>
  <si>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</si>
  <si>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</si>
  <si>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</si>
  <si>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</si>
  <si>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</si>
  <si>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</si>
  <si>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</si>
  <si>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</si>
  <si>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</si>
  <si>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</si>
  <si>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</si>
  <si>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</si>
  <si>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</si>
  <si>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</si>
  <si>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</si>
  <si>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</si>
  <si>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</si>
  <si>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</si>
  <si>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</si>
  <si>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</si>
  <si>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</si>
  <si>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</si>
  <si>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</si>
  <si>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</si>
  <si>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</si>
  <si>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</si>
  <si>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</si>
  <si>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</si>
  <si>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</si>
  <si>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</si>
  <si>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</si>
  <si>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</si>
  <si>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</si>
  <si>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</si>
  <si>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</si>
  <si>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</si>
  <si>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</si>
  <si>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</si>
  <si>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</si>
  <si>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</si>
  <si>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</si>
  <si>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</si>
  <si>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</si>
  <si>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</si>
  <si>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</si>
  <si>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</si>
  <si>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</si>
  <si>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</si>
  <si>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</si>
  <si>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</si>
  <si>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</si>
  <si>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</si>
  <si>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</si>
  <si>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</si>
  <si>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</si>
  <si>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</si>
  <si>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</si>
  <si>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</si>
  <si>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</si>
  <si>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</si>
  <si>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</si>
  <si>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</si>
  <si>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</si>
  <si>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</si>
  <si>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</si>
  <si>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</si>
  <si>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</si>
  <si>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</si>
  <si>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</si>
  <si>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</si>
  <si>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</si>
  <si>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</si>
  <si>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</si>
  <si>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</si>
  <si>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</si>
  <si>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</si>
  <si>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</si>
  <si>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</si>
  <si>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</si>
  <si>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</si>
  <si>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</si>
  <si>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</si>
  <si>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</si>
  <si>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</si>
  <si>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</si>
  <si>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</si>
  <si>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</si>
  <si>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</si>
  <si>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</si>
  <si>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</si>
  <si>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</si>
  <si>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</si>
  <si>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</si>
  <si>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</si>
  <si>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</si>
  <si>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</si>
  <si>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</si>
  <si>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</si>
  <si>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</si>
  <si>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</si>
  <si>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</si>
  <si>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</si>
  <si>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</si>
  <si>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</si>
  <si>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</si>
  <si>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</si>
  <si>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</si>
  <si>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</si>
  <si>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</si>
  <si>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</si>
  <si>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</si>
  <si>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</si>
  <si>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</si>
  <si>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</si>
  <si>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</si>
  <si>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</si>
  <si>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</si>
  <si>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</si>
  <si>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</si>
  <si>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</si>
  <si>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</si>
  <si>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</si>
  <si>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</si>
  <si>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</si>
  <si>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</si>
  <si>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</si>
  <si>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</si>
  <si>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</si>
  <si>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</si>
  <si>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</si>
  <si>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</si>
  <si>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</si>
  <si>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</si>
  <si>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</si>
  <si>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</si>
  <si>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</si>
  <si>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</si>
  <si>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</si>
  <si>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</si>
  <si>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</si>
  <si>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</si>
  <si>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</si>
  <si>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</si>
  <si>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</si>
  <si>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</si>
  <si>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</si>
  <si>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</si>
  <si>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</si>
  <si>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</si>
  <si>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</si>
  <si>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</si>
  <si>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</si>
  <si>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</si>
  <si>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</si>
  <si>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</si>
  <si>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</si>
  <si>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</si>
  <si>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</si>
  <si>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</si>
  <si>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</si>
  <si>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</si>
  <si>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</si>
  <si>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</si>
  <si>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</si>
  <si>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</si>
  <si>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</si>
  <si>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</si>
  <si>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</si>
  <si>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</si>
  <si>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</si>
  <si>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</si>
  <si>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</si>
  <si>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</si>
  <si>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</si>
  <si>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</si>
  <si>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</si>
  <si>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</si>
  <si>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</si>
  <si>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</si>
  <si>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</si>
  <si>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</si>
  <si>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</si>
  <si>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</si>
  <si>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</si>
  <si>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</si>
  <si>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</si>
  <si>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</si>
  <si>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</si>
  <si>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</si>
  <si>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</si>
  <si>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</si>
  <si>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</si>
  <si>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</si>
  <si>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</si>
  <si>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</si>
  <si>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</si>
  <si>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</si>
  <si>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</si>
  <si>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</si>
  <si>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</si>
  <si>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</si>
  <si>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</si>
  <si>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</si>
  <si>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</si>
  <si>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</si>
  <si>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</si>
  <si>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</si>
  <si>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</si>
  <si>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</si>
  <si>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</si>
  <si>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</si>
  <si>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</si>
  <si>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</si>
  <si>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</si>
  <si>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</si>
  <si>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</si>
  <si>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</si>
  <si>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</si>
  <si>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</si>
  <si>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</si>
  <si>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</si>
  <si>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</si>
  <si>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</si>
  <si>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</si>
  <si>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</si>
  <si>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</si>
  <si>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</si>
  <si>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</si>
  <si>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</si>
  <si>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</si>
  <si>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</si>
  <si>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</si>
  <si>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</si>
  <si>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</si>
  <si>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</si>
  <si>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</si>
  <si>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</si>
  <si>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</si>
  <si>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</si>
  <si>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</si>
  <si>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</si>
  <si>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</si>
  <si>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</si>
  <si>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</si>
  <si>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</si>
  <si>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</si>
  <si>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</si>
  <si>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</si>
  <si>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</si>
  <si>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</si>
  <si>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</si>
  <si>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</si>
  <si>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</si>
  <si>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</si>
  <si>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</si>
  <si>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</si>
  <si>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</si>
  <si>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</si>
  <si>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</si>
  <si>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</si>
  <si>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</si>
  <si>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</si>
  <si>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</si>
  <si>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</si>
  <si>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</si>
  <si>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</si>
  <si>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</si>
  <si>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</si>
  <si>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</si>
  <si>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</si>
  <si>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</si>
  <si>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</si>
  <si>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</si>
  <si>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</si>
  <si>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</si>
  <si>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</si>
  <si>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</si>
  <si>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</si>
  <si>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</si>
  <si>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</si>
  <si>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</si>
  <si>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</si>
  <si>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</si>
  <si>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</si>
  <si>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</si>
  <si>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</si>
  <si>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</si>
  <si>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</si>
  <si>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</si>
  <si>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</si>
  <si>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</si>
  <si>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</si>
  <si>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</si>
  <si>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</si>
  <si>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</si>
  <si>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</si>
  <si>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</si>
  <si>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</si>
  <si>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</si>
  <si>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</si>
  <si>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</si>
  <si>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</si>
  <si>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</si>
  <si>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</si>
  <si>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</si>
  <si>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</si>
  <si>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</si>
  <si>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</si>
  <si>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</si>
  <si>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</si>
  <si>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</si>
  <si>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</si>
  <si>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</si>
  <si>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</si>
  <si>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</si>
  <si>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</si>
  <si>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</si>
  <si>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</si>
  <si>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</si>
  <si>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</si>
  <si>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</si>
  <si>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</si>
  <si>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</si>
  <si>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</si>
  <si>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</si>
  <si>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</si>
  <si>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</si>
  <si>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</si>
  <si>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</si>
  <si>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</si>
  <si>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</si>
  <si>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</si>
  <si>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</si>
  <si>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</si>
  <si>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</si>
  <si>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</si>
  <si>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</si>
  <si>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</si>
  <si>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</si>
  <si>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</si>
  <si>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</si>
  <si>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</si>
  <si>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</si>
  <si>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</si>
  <si>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</si>
  <si>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</si>
  <si>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</si>
  <si>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</si>
  <si>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</si>
  <si>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</si>
  <si>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</si>
  <si>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</si>
  <si>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</si>
  <si>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</si>
  <si>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</si>
  <si>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</si>
  <si>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</si>
  <si>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</si>
  <si>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</si>
  <si>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</si>
  <si>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</si>
  <si>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</si>
  <si>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</si>
  <si>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</si>
  <si>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</si>
  <si>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</si>
  <si>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</si>
  <si>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</si>
  <si>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</si>
  <si>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</si>
  <si>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</si>
  <si>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</si>
  <si>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</si>
  <si>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</si>
  <si>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</si>
  <si>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</si>
  <si>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</si>
  <si>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</si>
  <si>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</si>
  <si>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</si>
  <si>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</si>
  <si>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</si>
  <si>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</si>
  <si>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</si>
  <si>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</si>
  <si>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</si>
  <si>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</si>
  <si>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</si>
  <si>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</si>
  <si>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</si>
  <si>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</si>
  <si>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</si>
  <si>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</si>
  <si>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</si>
  <si>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</si>
  <si>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</si>
  <si>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</si>
  <si>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</si>
  <si>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</si>
  <si>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</si>
  <si>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</si>
  <si>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</si>
  <si>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</si>
  <si>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</si>
  <si>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</si>
  <si>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</si>
  <si>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</si>
  <si>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</si>
  <si>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</si>
  <si>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</si>
  <si>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</si>
  <si>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</si>
  <si>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</si>
  <si>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</si>
  <si>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</si>
  <si>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</si>
  <si>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</si>
  <si>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</si>
  <si>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</si>
  <si>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</si>
  <si>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</si>
  <si>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</si>
  <si>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</si>
  <si>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</si>
  <si>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</si>
  <si>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</si>
  <si>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</si>
  <si>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</si>
  <si>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</si>
  <si>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</si>
  <si>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</si>
  <si>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</si>
  <si>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</si>
  <si>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</si>
  <si>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</si>
  <si>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</si>
  <si>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</si>
  <si>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</si>
  <si>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</si>
  <si>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</si>
  <si>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</si>
  <si>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</si>
  <si>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</si>
  <si>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</si>
  <si>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</si>
  <si>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</si>
  <si>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</si>
  <si>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</si>
  <si>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</si>
  <si>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</si>
  <si>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</si>
  <si>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</si>
  <si>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</si>
  <si>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</si>
  <si>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</si>
  <si>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</si>
  <si>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</si>
  <si>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</si>
  <si>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</si>
  <si>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</si>
  <si>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</si>
  <si>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</si>
  <si>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</si>
  <si>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</si>
  <si>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</si>
  <si>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</si>
  <si>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</si>
  <si>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</si>
  <si>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</si>
  <si>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</si>
  <si>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</si>
  <si>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</si>
  <si>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</si>
  <si>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</si>
  <si>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</si>
  <si>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</si>
  <si>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</si>
  <si>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</si>
  <si>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</si>
  <si>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</si>
  <si>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</si>
  <si>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</si>
  <si>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</si>
  <si>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</si>
  <si>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</si>
  <si>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</si>
  <si>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</si>
  <si>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</si>
  <si>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</si>
  <si>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</si>
  <si>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</si>
  <si>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</si>
  <si>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</si>
  <si>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</si>
  <si>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</si>
  <si>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</si>
  <si>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</si>
  <si>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</si>
  <si>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</si>
  <si>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</si>
  <si>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</si>
  <si>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</si>
  <si>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</si>
  <si>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</si>
  <si>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</si>
  <si>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</si>
  <si>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</si>
  <si>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</si>
  <si>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</si>
  <si>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</si>
  <si>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</si>
  <si>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</si>
  <si>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</si>
  <si>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</si>
  <si>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</si>
  <si>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</si>
  <si>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</si>
  <si>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</si>
  <si>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</si>
  <si>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</si>
  <si>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</si>
  <si>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</si>
  <si>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</si>
  <si>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</si>
  <si>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</si>
  <si>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</si>
  <si>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</si>
  <si>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</si>
  <si>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</si>
  <si>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</si>
  <si>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</si>
  <si>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</si>
  <si>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</si>
  <si>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</si>
  <si>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</si>
  <si>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</si>
  <si>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</si>
  <si>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</si>
  <si>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</si>
  <si>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</si>
  <si>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</si>
  <si>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</si>
  <si>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</si>
  <si>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</si>
  <si>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</si>
  <si>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</si>
  <si>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</si>
  <si>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</si>
  <si>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</si>
  <si>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</si>
  <si>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</si>
  <si>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</si>
  <si>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</si>
  <si>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</si>
  <si>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</si>
  <si>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</si>
  <si>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</si>
  <si>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</si>
  <si>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</si>
  <si>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</si>
  <si>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</si>
  <si>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</si>
  <si>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</si>
  <si>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</si>
  <si>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</si>
  <si>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</si>
  <si>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</si>
  <si>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</si>
  <si>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</si>
  <si>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</si>
  <si>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</si>
  <si>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</si>
  <si>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</si>
  <si>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</si>
  <si>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</si>
  <si>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</si>
  <si>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</si>
  <si>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</si>
  <si>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</si>
  <si>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</si>
  <si>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</si>
  <si>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</si>
  <si>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</si>
  <si>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</si>
  <si>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</si>
  <si>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</si>
  <si>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</si>
  <si>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</si>
  <si>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</si>
  <si>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</si>
  <si>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</si>
  <si>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</si>
  <si>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</si>
  <si>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</si>
  <si>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</si>
  <si>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</si>
  <si>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</si>
  <si>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</si>
  <si>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</si>
  <si>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</si>
  <si>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</si>
  <si>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</si>
  <si>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</si>
  <si>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</si>
  <si>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</si>
  <si>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</si>
  <si>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</si>
  <si>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</si>
  <si>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</si>
  <si>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</si>
  <si>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</si>
  <si>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</si>
  <si>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</si>
  <si>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</si>
  <si>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</si>
  <si>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</si>
  <si>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</si>
  <si>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</si>
  <si>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</si>
  <si>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</si>
  <si>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</si>
  <si>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</si>
  <si>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</si>
  <si>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</si>
  <si>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</si>
  <si>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</si>
  <si>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</si>
  <si>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</si>
  <si>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</si>
  <si>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</si>
  <si>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</si>
  <si>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</si>
  <si>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</si>
  <si>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</si>
  <si>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</si>
  <si>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</si>
  <si>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</si>
  <si>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</si>
  <si>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</si>
  <si>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</si>
  <si>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</si>
  <si>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</si>
  <si>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</si>
  <si>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</si>
  <si>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</si>
  <si>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</si>
  <si>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</si>
  <si>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</si>
  <si>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</si>
  <si>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</si>
  <si>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</si>
  <si>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</si>
  <si>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</si>
  <si>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</si>
  <si>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</si>
  <si>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</si>
  <si>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</si>
  <si>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</si>
  <si>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</si>
  <si>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</si>
  <si>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</si>
  <si>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</si>
  <si>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</si>
  <si>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</si>
  <si>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</si>
  <si>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</si>
  <si>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</si>
  <si>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</si>
  <si>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</si>
  <si>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</si>
  <si>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</si>
  <si>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</si>
  <si>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</si>
  <si>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</si>
  <si>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</si>
  <si>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</si>
  <si>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</si>
  <si>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</si>
  <si>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</si>
  <si>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</si>
  <si>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</si>
  <si>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</si>
  <si>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</si>
  <si>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</si>
  <si>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</si>
  <si>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</si>
  <si>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</si>
  <si>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</si>
  <si>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</si>
  <si>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</si>
  <si>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</si>
  <si>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</si>
  <si>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</si>
  <si>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</si>
  <si>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</si>
  <si>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</si>
  <si>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</si>
  <si>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</si>
  <si>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</si>
  <si>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</si>
  <si>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</si>
  <si>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</si>
  <si>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</si>
  <si>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</si>
  <si>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</si>
  <si>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</si>
  <si>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</si>
  <si>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</si>
  <si>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</si>
  <si>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</si>
  <si>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</si>
  <si>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</si>
  <si>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</si>
  <si>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</si>
  <si>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</si>
  <si>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</si>
  <si>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</si>
  <si>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</si>
  <si>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</si>
  <si>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</si>
  <si>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</si>
  <si>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</si>
  <si>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</si>
  <si>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</si>
  <si>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</si>
  <si>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</si>
  <si>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</si>
  <si>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</si>
  <si>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</si>
  <si>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</si>
  <si>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</si>
  <si>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</si>
  <si>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</si>
  <si>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</si>
  <si>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</si>
  <si>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</si>
  <si>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</si>
  <si>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</si>
  <si>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</si>
  <si>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</si>
  <si>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</si>
  <si>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</si>
  <si>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</si>
  <si>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</si>
  <si>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</si>
  <si>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</si>
  <si>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</si>
  <si>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</si>
  <si>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</si>
  <si>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</si>
  <si>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</si>
  <si>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</si>
  <si>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</si>
  <si>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</si>
  <si>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</si>
  <si>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</si>
  <si>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</si>
  <si>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</si>
  <si>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</si>
  <si>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</si>
  <si>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</si>
  <si>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</si>
  <si>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</si>
  <si>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</si>
  <si>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</si>
  <si>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</si>
  <si>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</si>
  <si>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</si>
  <si>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</si>
  <si>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</si>
  <si>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</si>
  <si>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</si>
  <si>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</si>
  <si>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</si>
  <si>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</si>
  <si>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</si>
  <si>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</si>
  <si>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</si>
  <si>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</si>
  <si>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</si>
  <si>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</si>
  <si>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</si>
  <si>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</si>
  <si>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</si>
  <si>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</si>
  <si>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</si>
  <si>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</si>
  <si>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</si>
  <si>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</si>
  <si>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</si>
  <si>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</si>
  <si>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</si>
  <si>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</si>
  <si>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</si>
  <si>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</si>
  <si>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</si>
  <si>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</si>
  <si>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</si>
  <si>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</si>
  <si>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</si>
  <si>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</si>
  <si>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</si>
  <si>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</si>
  <si>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</si>
  <si>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</si>
  <si>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</si>
  <si>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</si>
  <si>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</si>
  <si>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</si>
  <si>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</si>
  <si>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</si>
  <si>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</si>
  <si>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</si>
  <si>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</si>
  <si>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</si>
  <si>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</si>
  <si>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</si>
  <si>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</si>
  <si>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</si>
  <si>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</si>
  <si>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</si>
  <si>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</si>
  <si>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</si>
  <si>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</si>
  <si>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</si>
  <si>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</si>
  <si>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</si>
  <si>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</si>
  <si>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</si>
  <si>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</si>
  <si>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</si>
  <si>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</si>
  <si>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</si>
  <si>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</si>
  <si>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</si>
  <si>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</si>
  <si>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</si>
  <si>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</si>
  <si>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</si>
  <si>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</si>
  <si>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</si>
  <si>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</si>
  <si>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</si>
  <si>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</si>
  <si>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</si>
  <si>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</si>
  <si>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</si>
  <si>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</si>
  <si>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</si>
  <si>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</si>
  <si>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</si>
  <si>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</si>
  <si>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</si>
  <si>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</si>
  <si>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</si>
  <si>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</si>
  <si>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</si>
  <si>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</si>
  <si>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</si>
  <si>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</si>
  <si>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</si>
  <si>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</si>
  <si>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</si>
  <si>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</si>
  <si>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</si>
  <si>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</si>
  <si>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</si>
  <si>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</si>
  <si>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</si>
  <si>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</si>
  <si>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</si>
  <si>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</si>
  <si>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</si>
  <si>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</si>
  <si>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</si>
  <si>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</si>
  <si>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</si>
  <si>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</si>
  <si>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</si>
  <si>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</si>
  <si>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</si>
  <si>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</si>
  <si>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</si>
  <si>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</si>
  <si>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</si>
  <si>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</si>
  <si>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</si>
  <si>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</si>
  <si>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</si>
  <si>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</si>
  <si>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</si>
  <si>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</si>
  <si>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</si>
  <si>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</si>
  <si>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</si>
  <si>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</si>
  <si>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</si>
  <si>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</si>
  <si>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</si>
  <si>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</si>
  <si>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</si>
  <si>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</si>
  <si>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</si>
  <si>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</si>
  <si>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</si>
  <si>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</si>
  <si>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</si>
  <si>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</si>
  <si>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</si>
  <si>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</si>
  <si>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</si>
  <si>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</si>
  <si>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</si>
  <si>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</si>
  <si>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</si>
  <si>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</si>
  <si>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</si>
  <si>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</si>
  <si>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</si>
  <si>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</si>
  <si>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</si>
  <si>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</si>
  <si>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</si>
  <si>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</si>
  <si>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</si>
  <si>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</si>
  <si>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</si>
  <si>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</si>
  <si>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</si>
  <si>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</si>
  <si>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</si>
  <si>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</si>
  <si>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</si>
  <si>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</si>
  <si>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</si>
  <si>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</si>
  <si>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</si>
  <si>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</si>
  <si>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</si>
  <si>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</si>
  <si>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</si>
  <si>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</si>
  <si>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</si>
  <si>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</si>
  <si>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</si>
  <si>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</si>
  <si>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</si>
  <si>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</si>
  <si>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</si>
  <si>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</si>
  <si>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</si>
  <si>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</si>
  <si>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</si>
  <si>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</si>
  <si>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</si>
  <si>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</si>
  <si>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</si>
  <si>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</si>
  <si>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</si>
  <si>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</si>
  <si>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</si>
  <si>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</si>
  <si>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</si>
  <si>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</si>
  <si>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</si>
  <si>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</si>
  <si>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</si>
  <si>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</si>
  <si>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</si>
  <si>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</si>
  <si>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</si>
  <si>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</si>
  <si>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</si>
  <si>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</si>
  <si>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</si>
  <si>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</si>
  <si>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</si>
  <si>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</si>
  <si>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</si>
  <si>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</si>
  <si>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</si>
  <si>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</si>
  <si>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</si>
  <si>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</si>
  <si>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</si>
  <si>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</si>
  <si>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</si>
  <si>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</si>
  <si>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</si>
  <si>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</si>
  <si>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</si>
  <si>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</si>
  <si>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</si>
  <si>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</si>
  <si>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</si>
  <si>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</si>
  <si>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</si>
  <si>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</si>
  <si>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</si>
  <si>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</si>
  <si>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</si>
  <si>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</si>
  <si>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</si>
  <si>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</si>
  <si>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</si>
  <si>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</si>
  <si>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</si>
  <si>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</si>
  <si>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</si>
  <si>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</si>
  <si>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</si>
  <si>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</si>
  <si>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</si>
  <si>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</si>
  <si>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</si>
  <si>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</si>
  <si>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</si>
  <si>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</si>
  <si>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</si>
  <si>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</si>
  <si>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</si>
  <si>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</si>
  <si>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</si>
  <si>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</si>
  <si>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</si>
  <si>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</si>
  <si>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</si>
  <si>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</si>
  <si>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</si>
  <si>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</si>
  <si>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</si>
  <si>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</si>
  <si>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</si>
  <si>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</si>
  <si>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</si>
  <si>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</si>
  <si>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</si>
  <si>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</si>
  <si>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</si>
  <si>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</si>
  <si>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</si>
  <si>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</si>
  <si>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</si>
  <si>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</si>
  <si>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</si>
  <si>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</si>
  <si>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</si>
  <si>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</si>
  <si>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</si>
  <si>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</si>
  <si>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</si>
  <si>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</si>
  <si>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</si>
  <si>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</si>
  <si>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</si>
  <si>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</si>
  <si>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</si>
  <si>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</si>
  <si>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</si>
  <si>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</si>
  <si>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</si>
  <si>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</si>
  <si>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</si>
  <si>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</si>
  <si>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</si>
  <si>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</si>
  <si>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</si>
  <si>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</si>
  <si>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</si>
  <si>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</si>
  <si>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</si>
  <si>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</si>
  <si>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</si>
  <si>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</si>
  <si>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</si>
  <si>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</si>
  <si>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</si>
  <si>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</si>
  <si>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</si>
  <si>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</si>
  <si>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</si>
  <si>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</si>
  <si>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</si>
  <si>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</si>
  <si>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</si>
  <si>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</si>
  <si>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</si>
  <si>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</si>
  <si>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</si>
  <si>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</si>
  <si>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</si>
  <si>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</si>
  <si>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</si>
  <si>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</si>
  <si>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</si>
  <si>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</si>
  <si>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</si>
  <si>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</si>
  <si>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</si>
  <si>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</si>
  <si>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</si>
  <si>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</si>
  <si>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</si>
  <si>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</si>
  <si>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</si>
  <si>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</si>
  <si>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</si>
  <si>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</si>
  <si>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</si>
  <si>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</si>
  <si>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</si>
  <si>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</si>
  <si>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</si>
  <si>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</si>
  <si>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</si>
  <si>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</si>
  <si>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</si>
  <si>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</si>
  <si>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</si>
  <si>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</si>
  <si>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</si>
  <si>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</si>
  <si>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</si>
  <si>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</si>
  <si>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</si>
  <si>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</si>
  <si>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</si>
  <si>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</si>
  <si>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</si>
  <si>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</si>
  <si>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</si>
  <si>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</si>
  <si>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</si>
  <si>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</si>
  <si>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</si>
  <si>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</si>
  <si>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</si>
  <si>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</si>
  <si>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</si>
  <si>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</si>
  <si>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</si>
  <si>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</si>
  <si>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</si>
  <si>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</si>
  <si>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</si>
  <si>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</si>
  <si>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</si>
  <si>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</si>
  <si>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</si>
  <si>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</si>
  <si>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</si>
  <si>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</si>
  <si>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</si>
  <si>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</si>
  <si>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</si>
  <si>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</si>
  <si>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</si>
  <si>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</si>
  <si>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</si>
  <si>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</si>
  <si>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</si>
  <si>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</si>
  <si>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</si>
  <si>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</si>
  <si>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</si>
  <si>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</si>
  <si>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</si>
  <si>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</si>
  <si>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</si>
  <si>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</si>
  <si>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</si>
  <si>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</si>
  <si>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</si>
  <si>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</si>
  <si>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</si>
  <si>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</si>
  <si>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</si>
  <si>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</si>
  <si>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</si>
  <si>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</si>
  <si>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</si>
  <si>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</si>
  <si>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</si>
  <si>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</si>
  <si>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</si>
  <si>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</si>
  <si>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</si>
  <si>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</si>
  <si>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</si>
  <si>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</si>
  <si>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</si>
  <si>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</si>
  <si>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</si>
  <si>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</si>
  <si>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</si>
  <si>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</si>
  <si>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</si>
  <si>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</si>
  <si>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</si>
  <si>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</si>
  <si>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</si>
  <si>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</si>
  <si>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</si>
  <si>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</si>
  <si>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</si>
  <si>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</si>
  <si>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</si>
  <si>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</si>
  <si>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</si>
  <si>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</si>
  <si>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</si>
  <si>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</si>
  <si>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</si>
  <si>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</si>
  <si>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</si>
  <si>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</si>
  <si>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</si>
  <si>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</si>
  <si>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</si>
  <si>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</si>
  <si>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</si>
  <si>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</si>
  <si>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</si>
  <si>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</si>
  <si>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</si>
  <si>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</si>
  <si>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</si>
  <si>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</si>
  <si>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</si>
  <si>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</si>
  <si>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</si>
  <si>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</si>
  <si>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</si>
  <si>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</si>
  <si>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</si>
  <si>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</si>
  <si>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</si>
  <si>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</si>
  <si>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</si>
  <si>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</si>
  <si>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</si>
  <si>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</si>
  <si>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</si>
  <si>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</si>
  <si>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</si>
  <si>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</si>
  <si>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</si>
  <si>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</si>
  <si>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</si>
  <si>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</si>
  <si>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</si>
  <si>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</si>
  <si>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</si>
  <si>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</si>
  <si>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</si>
  <si>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</si>
  <si>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</si>
  <si>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</si>
  <si>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</si>
  <si>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</si>
  <si>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</si>
  <si>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</si>
  <si>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</si>
  <si>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</si>
  <si>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</si>
  <si>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</si>
  <si>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</si>
  <si>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</si>
  <si>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</si>
  <si>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</si>
  <si>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</si>
  <si>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</si>
  <si>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</si>
  <si>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</si>
  <si>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</si>
  <si>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</si>
  <si>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</si>
  <si>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</si>
  <si>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</si>
  <si>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</si>
  <si>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</si>
  <si>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</si>
  <si>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</si>
  <si>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</si>
  <si>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</si>
  <si>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</si>
  <si>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</si>
  <si>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</si>
  <si>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</si>
  <si>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</si>
  <si>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</si>
  <si>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</si>
  <si>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</si>
  <si>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</si>
  <si>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</si>
  <si>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</si>
  <si>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</si>
  <si>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</si>
  <si>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</si>
  <si>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</si>
  <si>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</si>
  <si>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</si>
  <si>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</si>
  <si>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</si>
  <si>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</si>
  <si>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</si>
  <si>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</si>
  <si>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</si>
  <si>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</si>
  <si>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</si>
  <si>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</si>
  <si>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</si>
  <si>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</si>
  <si>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</si>
  <si>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</si>
  <si>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</si>
  <si>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</si>
  <si>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</si>
  <si>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</si>
  <si>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</si>
  <si>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</si>
  <si>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</si>
  <si>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</si>
  <si>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</si>
  <si>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</si>
  <si>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</si>
  <si>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</si>
  <si>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</si>
  <si>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</si>
  <si>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</si>
  <si>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</si>
  <si>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</si>
  <si>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</si>
  <si>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</si>
  <si>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</si>
  <si>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</si>
  <si>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</si>
  <si>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</si>
  <si>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</si>
  <si>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</si>
  <si>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</si>
  <si>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</si>
  <si>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</si>
  <si>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</si>
  <si>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</si>
  <si>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</si>
  <si>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</si>
  <si>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</si>
  <si>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</si>
  <si>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</si>
  <si>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</si>
  <si>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</si>
  <si>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</si>
  <si>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</si>
  <si>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</si>
  <si>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</si>
  <si>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</si>
  <si>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</si>
  <si>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</si>
  <si>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</si>
  <si>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</si>
  <si>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</si>
  <si>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</si>
  <si>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</si>
  <si>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</si>
  <si>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</si>
  <si>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</si>
  <si>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</si>
  <si>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</si>
  <si>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</si>
  <si>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</si>
  <si>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</si>
  <si>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</si>
  <si>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</si>
  <si>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</si>
  <si>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</si>
  <si>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</si>
  <si>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</si>
  <si>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</si>
  <si>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</si>
  <si>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</si>
  <si>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</si>
  <si>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</si>
  <si>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</si>
  <si>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</si>
  <si>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</si>
  <si>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</si>
  <si>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</si>
  <si>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</si>
  <si>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</si>
  <si>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</si>
  <si>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</si>
  <si>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</si>
  <si>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</si>
  <si>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</si>
  <si>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</si>
  <si>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</si>
  <si>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</si>
  <si>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</si>
  <si>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</si>
  <si>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</si>
  <si>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</si>
  <si>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</si>
  <si>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</si>
  <si>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</si>
  <si>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</si>
  <si>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</si>
  <si>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</si>
  <si>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</si>
  <si>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</si>
  <si>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</si>
  <si>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</si>
  <si>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</si>
  <si>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</si>
  <si>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</si>
  <si>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</si>
  <si>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</si>
  <si>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</si>
  <si>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</si>
  <si>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</si>
  <si>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</si>
  <si>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</si>
  <si>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</si>
  <si>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</si>
  <si>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</si>
  <si>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</si>
  <si>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</si>
  <si>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</si>
  <si>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</si>
  <si>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</si>
  <si>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</si>
  <si>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</si>
  <si>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</si>
  <si>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</si>
  <si>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</si>
  <si>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</si>
  <si>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</si>
  <si>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</si>
  <si>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</si>
  <si>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</si>
  <si>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</si>
  <si>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</si>
  <si>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</si>
  <si>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</si>
  <si>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</si>
  <si>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</si>
  <si>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</si>
  <si>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</si>
  <si>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</si>
  <si>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</si>
  <si>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</si>
  <si>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</si>
  <si>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</si>
  <si>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</si>
  <si>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</si>
  <si>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</si>
  <si>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</si>
  <si>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</si>
  <si>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</si>
  <si>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</si>
  <si>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</si>
  <si>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</si>
  <si>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</si>
  <si>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</si>
  <si>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</si>
  <si>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</si>
  <si>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</si>
  <si>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</si>
  <si>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</si>
  <si>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</si>
  <si>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</si>
  <si>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</si>
  <si>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</si>
  <si>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</si>
  <si>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</si>
  <si>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</si>
  <si>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</si>
  <si>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</si>
  <si>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</si>
  <si>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</si>
  <si>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</si>
  <si>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</si>
  <si>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</si>
  <si>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</si>
  <si>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</si>
  <si>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</si>
  <si>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</si>
  <si>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</si>
  <si>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</si>
  <si>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</si>
  <si>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</si>
  <si>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</si>
  <si>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</si>
  <si>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</si>
  <si>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</si>
  <si>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</si>
  <si>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</si>
  <si>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</si>
  <si>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</si>
  <si>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</si>
  <si>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</si>
  <si>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</si>
  <si>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</si>
  <si>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</si>
  <si>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</si>
  <si>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</si>
  <si>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</si>
  <si>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</si>
  <si>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</si>
  <si>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</si>
  <si>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</si>
  <si>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</si>
  <si>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</si>
  <si>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</si>
  <si>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</si>
  <si>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</si>
  <si>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</si>
  <si>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</si>
  <si>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</si>
  <si>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</si>
  <si>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</si>
  <si>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</si>
  <si>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</si>
  <si>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</si>
  <si>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</si>
  <si>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</si>
  <si>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</si>
  <si>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</si>
  <si>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</si>
  <si>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</si>
  <si>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</si>
  <si>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</si>
  <si>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</si>
  <si>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</si>
  <si>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</si>
  <si>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</si>
  <si>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</si>
  <si>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</si>
  <si>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</si>
  <si>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</si>
  <si>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</si>
  <si>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</si>
  <si>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</si>
  <si>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</si>
  <si>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</si>
  <si>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</si>
  <si>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</si>
  <si>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</si>
  <si>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</si>
  <si>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</si>
  <si>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</si>
  <si>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</si>
  <si>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</si>
  <si>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</si>
  <si>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</si>
  <si>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</si>
  <si>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</si>
  <si>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</si>
  <si>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</si>
  <si>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</si>
  <si>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</si>
  <si>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</si>
  <si>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</si>
  <si>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</si>
  <si>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</si>
  <si>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</si>
  <si>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</si>
  <si>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</si>
  <si>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</si>
  <si>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</si>
  <si>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</si>
  <si>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</si>
  <si>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</si>
  <si>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</si>
  <si>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</si>
  <si>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</si>
  <si>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</si>
  <si>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</si>
  <si>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</si>
  <si>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</si>
  <si>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</si>
  <si>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</si>
  <si>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</si>
  <si>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</si>
  <si>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</si>
  <si>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</si>
  <si>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</si>
  <si>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</si>
  <si>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</si>
  <si>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</si>
  <si>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</si>
  <si>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</si>
  <si>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</si>
  <si>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</si>
  <si>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</si>
  <si>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</si>
  <si>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</si>
  <si>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</si>
  <si>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</si>
  <si>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</si>
  <si>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</si>
  <si>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</si>
  <si>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</si>
  <si>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</si>
  <si>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</si>
  <si>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</si>
  <si>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</si>
  <si>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</si>
  <si>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</si>
  <si>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</si>
  <si>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</si>
  <si>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</si>
  <si>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</si>
  <si>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</si>
  <si>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</si>
  <si>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</si>
  <si>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</si>
  <si>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</si>
  <si>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</si>
  <si>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</si>
  <si>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</si>
  <si>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</si>
  <si>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</si>
  <si>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</si>
  <si>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</si>
  <si>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</si>
  <si>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</si>
  <si>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</si>
  <si>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</si>
  <si>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</si>
  <si>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</si>
  <si>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</si>
  <si>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</si>
  <si>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</si>
  <si>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</si>
  <si>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</si>
  <si>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</si>
  <si>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</si>
  <si>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</si>
  <si>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</si>
  <si>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</si>
  <si>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</si>
  <si>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</si>
  <si>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</si>
  <si>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</si>
  <si>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</si>
  <si>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</si>
  <si>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</si>
  <si>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</si>
  <si>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</si>
  <si>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</si>
  <si>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</si>
  <si>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</si>
  <si>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</si>
  <si>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</si>
  <si>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</si>
  <si>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</si>
  <si>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</si>
  <si>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</si>
  <si>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</si>
  <si>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</si>
  <si>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</si>
  <si>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</si>
  <si>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</si>
  <si>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</si>
  <si>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</si>
  <si>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</si>
  <si>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</si>
  <si>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</si>
  <si>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</si>
  <si>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</si>
  <si>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</si>
  <si>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</si>
  <si>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</si>
  <si>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</si>
  <si>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</si>
  <si>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</si>
  <si>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</si>
  <si>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</si>
  <si>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</si>
  <si>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</si>
  <si>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</si>
  <si>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</si>
  <si>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</si>
  <si>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</si>
  <si>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</si>
  <si>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</si>
  <si>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</si>
  <si>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</si>
  <si>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</si>
  <si>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</si>
  <si>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</si>
  <si>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</si>
  <si>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</si>
  <si>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</si>
  <si>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</si>
  <si>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</si>
  <si>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</si>
  <si>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</si>
  <si>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</si>
  <si>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</si>
  <si>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</si>
  <si>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</si>
  <si>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</si>
  <si>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</si>
  <si>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</si>
  <si>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</si>
  <si>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</si>
  <si>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</si>
  <si>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</si>
  <si>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</si>
  <si>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</si>
  <si>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</si>
  <si>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</si>
  <si>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</si>
  <si>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</si>
  <si>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</si>
  <si>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</si>
  <si>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</si>
  <si>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</si>
  <si>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</si>
  <si>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</si>
  <si>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</si>
  <si>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</si>
  <si>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</si>
  <si>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</si>
  <si>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</si>
  <si>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</si>
  <si>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</si>
  <si>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</si>
  <si>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</si>
  <si>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</si>
  <si>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</si>
  <si>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</si>
  <si>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</si>
  <si>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</si>
  <si>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</si>
  <si>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</si>
  <si>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</si>
  <si>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</si>
  <si>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</si>
  <si>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</si>
  <si>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</si>
  <si>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</si>
  <si>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</si>
  <si>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</si>
  <si>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</si>
  <si>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</si>
  <si>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</si>
  <si>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</si>
  <si>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</si>
  <si>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</si>
  <si>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</si>
  <si>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</si>
  <si>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</si>
  <si>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</si>
  <si>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</si>
  <si>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</si>
  <si>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</si>
  <si>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</si>
  <si>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</si>
  <si>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</si>
  <si>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</si>
  <si>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</si>
  <si>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</si>
  <si>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</si>
  <si>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</si>
  <si>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</si>
  <si>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</si>
  <si>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</si>
  <si>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</si>
  <si>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</si>
  <si>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</si>
  <si>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</si>
  <si>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</si>
  <si>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</si>
  <si>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</si>
  <si>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</si>
  <si>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</si>
  <si>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</si>
  <si>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</si>
  <si>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</si>
  <si>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</si>
  <si>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</si>
  <si>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</si>
  <si>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</si>
  <si>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</si>
  <si>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</si>
  <si>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</si>
  <si>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</si>
  <si>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</si>
  <si>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</si>
  <si>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</si>
  <si>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</si>
  <si>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</si>
  <si>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</si>
  <si>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</si>
  <si>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</si>
  <si>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</si>
  <si>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</si>
  <si>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</si>
  <si>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</si>
  <si>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</si>
  <si>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</si>
  <si>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</si>
  <si>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</si>
  <si>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</si>
  <si>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</si>
  <si>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</si>
  <si>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</si>
  <si>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</si>
  <si>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</si>
  <si>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</si>
  <si>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</si>
  <si>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</si>
  <si>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</si>
  <si>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</si>
  <si>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</si>
  <si>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</si>
  <si>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</si>
  <si>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</si>
  <si>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</si>
  <si>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</si>
  <si>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</si>
  <si>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</si>
  <si>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</si>
  <si>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</si>
  <si>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</si>
  <si>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</si>
  <si>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</si>
  <si>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</si>
  <si>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</si>
  <si>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</si>
  <si>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</si>
  <si>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</si>
  <si>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</si>
  <si>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</si>
  <si>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</si>
  <si>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</si>
  <si>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</si>
  <si>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</si>
  <si>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</si>
  <si>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</si>
  <si>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</si>
  <si>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</si>
  <si>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</si>
  <si>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</si>
  <si>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</si>
  <si>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</si>
  <si>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</si>
  <si>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</si>
  <si>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</si>
  <si>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</si>
  <si>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</si>
  <si>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</si>
  <si>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</si>
  <si>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</si>
  <si>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</si>
  <si>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</si>
  <si>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</si>
  <si>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</si>
  <si>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</si>
  <si>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</si>
  <si>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</si>
  <si>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</si>
  <si>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</si>
  <si>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</si>
  <si>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</si>
  <si>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</si>
  <si>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</si>
  <si>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</si>
  <si>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</si>
  <si>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</si>
  <si>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</si>
  <si>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</si>
  <si>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</si>
  <si>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</si>
  <si>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</si>
  <si>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</si>
  <si>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</si>
  <si>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</si>
  <si>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</si>
  <si>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</si>
  <si>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</si>
  <si>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</si>
  <si>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</si>
  <si>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</si>
  <si>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</si>
  <si>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</si>
  <si>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</si>
  <si>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</si>
  <si>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</si>
  <si>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</si>
  <si>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</si>
  <si>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</si>
  <si>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</si>
  <si>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</si>
  <si>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</si>
  <si>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</si>
  <si>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</si>
  <si>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</si>
  <si>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</si>
  <si>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</si>
  <si>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</si>
  <si>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</si>
  <si>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</si>
  <si>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</si>
  <si>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</si>
  <si>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</si>
  <si>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</si>
  <si>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</si>
  <si>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</si>
  <si>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</si>
  <si>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</si>
  <si>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</si>
  <si>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</si>
  <si>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</si>
  <si>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</si>
  <si>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</si>
  <si>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</si>
  <si>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</si>
  <si>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</si>
  <si>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</si>
  <si>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</si>
  <si>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</si>
  <si>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</si>
  <si>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</si>
  <si>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</si>
  <si>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</si>
  <si>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</si>
  <si>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</si>
  <si>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</si>
  <si>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</si>
  <si>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</si>
  <si>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</si>
  <si>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</si>
  <si>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</si>
  <si>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</si>
  <si>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</si>
  <si>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</si>
  <si>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</si>
  <si>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</si>
  <si>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</si>
  <si>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</si>
  <si>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</si>
  <si>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</si>
  <si>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</si>
  <si>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</si>
  <si>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</si>
  <si>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</si>
  <si>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</si>
  <si>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</si>
  <si>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</si>
  <si>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</si>
  <si>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</si>
  <si>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</si>
  <si>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</si>
  <si>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</si>
  <si>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</si>
  <si>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</si>
  <si>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</si>
  <si>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</si>
  <si>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</si>
  <si>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</si>
  <si>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</si>
  <si>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</si>
  <si>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</si>
  <si>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</si>
  <si>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</si>
  <si>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</si>
  <si>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</si>
  <si>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</si>
  <si>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</si>
  <si>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</si>
  <si>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</si>
  <si>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</si>
  <si>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</si>
  <si>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</si>
  <si>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</si>
  <si>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</si>
  <si>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</si>
  <si>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</si>
  <si>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</si>
  <si>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</si>
  <si>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</si>
  <si>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</si>
  <si>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</si>
  <si>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</si>
  <si>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</si>
  <si>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</si>
  <si>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</si>
  <si>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</si>
  <si>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</si>
  <si>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</si>
  <si>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</si>
  <si>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</si>
  <si>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</si>
  <si>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</si>
  <si>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</si>
  <si>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</si>
  <si>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</si>
  <si>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</si>
  <si>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</si>
  <si>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</si>
  <si>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</si>
  <si>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</si>
  <si>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</si>
  <si>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</si>
  <si>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</si>
  <si>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</si>
  <si>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</si>
  <si>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</si>
  <si>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</si>
  <si>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</si>
  <si>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</si>
  <si>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</si>
  <si>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</si>
  <si>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</si>
  <si>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</si>
  <si>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</si>
  <si>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</si>
  <si>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</si>
  <si>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</si>
  <si>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</si>
  <si>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</si>
  <si>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</si>
  <si>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</si>
  <si>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</si>
  <si>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</si>
  <si>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</si>
  <si>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</si>
  <si>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</si>
  <si>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</si>
  <si>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</si>
  <si>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</si>
  <si>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</si>
  <si>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</si>
  <si>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</si>
  <si>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</si>
  <si>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</si>
  <si>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</si>
  <si>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</si>
  <si>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</si>
  <si>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</si>
  <si>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</si>
  <si>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</si>
  <si>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</si>
  <si>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</si>
  <si>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</si>
  <si>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</si>
  <si>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</si>
  <si>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</si>
  <si>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</si>
  <si>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</si>
  <si>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</si>
  <si>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</si>
  <si>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</si>
  <si>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</si>
  <si>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</si>
  <si>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</si>
  <si>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</si>
  <si>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</si>
  <si>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</si>
  <si>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</si>
  <si>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</si>
  <si>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</si>
  <si>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</si>
  <si>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</si>
  <si>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</si>
  <si>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</si>
  <si>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</si>
  <si>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</si>
  <si>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</si>
  <si>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</si>
  <si>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</si>
  <si>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</si>
  <si>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</si>
  <si>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</si>
  <si>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</si>
  <si>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</si>
  <si>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</si>
  <si>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</si>
  <si>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</si>
  <si>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</si>
  <si>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</si>
  <si>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</si>
  <si>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</si>
  <si>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</si>
  <si>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</si>
  <si>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</si>
  <si>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</si>
  <si>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</si>
  <si>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</si>
  <si>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</si>
  <si>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</si>
  <si>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</si>
  <si>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</si>
  <si>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</si>
  <si>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</si>
  <si>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</si>
  <si>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</si>
  <si>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</si>
  <si>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</si>
  <si>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</si>
  <si>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</si>
  <si>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</si>
  <si>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</si>
  <si>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</si>
  <si>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</si>
  <si>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</si>
  <si>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</si>
  <si>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</si>
  <si>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</si>
  <si>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</si>
  <si>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</si>
  <si>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</si>
  <si>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</si>
  <si>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</si>
  <si>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</si>
  <si>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</si>
  <si>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</si>
  <si>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</si>
  <si>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</si>
  <si>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</si>
  <si>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</si>
  <si>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</si>
  <si>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</si>
  <si>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</si>
  <si>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</si>
  <si>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</si>
  <si>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</si>
  <si>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</si>
  <si>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</si>
  <si>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</si>
  <si>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</si>
  <si>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</si>
  <si>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</si>
  <si>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</si>
  <si>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</si>
  <si>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</si>
  <si>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</si>
  <si>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</si>
  <si>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</si>
  <si>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</si>
  <si>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</si>
  <si>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</si>
  <si>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</si>
  <si>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</si>
  <si>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</si>
  <si>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</si>
  <si>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</si>
  <si>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</si>
  <si>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</si>
  <si>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</si>
  <si>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</si>
  <si>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</si>
  <si>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</si>
  <si>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</si>
  <si>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</si>
  <si>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</si>
  <si>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</si>
  <si>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</si>
  <si>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</si>
  <si>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</si>
  <si>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</si>
  <si>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</si>
  <si>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</si>
  <si>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</si>
  <si>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</si>
  <si>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</si>
  <si>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</si>
  <si>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</si>
  <si>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</si>
  <si>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</si>
  <si>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</si>
  <si>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</si>
  <si>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</si>
  <si>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</si>
  <si>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</si>
  <si>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</si>
  <si>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</si>
  <si>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</si>
  <si>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</si>
  <si>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</si>
  <si>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</si>
  <si>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</si>
  <si>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</si>
  <si>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</si>
  <si>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</si>
  <si>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</si>
  <si>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</si>
  <si>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</si>
  <si>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</si>
  <si>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</si>
  <si>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</si>
  <si>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</si>
  <si>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</si>
  <si>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</si>
  <si>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</si>
  <si>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</si>
  <si>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</si>
  <si>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</si>
  <si>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</si>
  <si>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</si>
  <si>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</si>
  <si>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</si>
  <si>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</si>
  <si>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</si>
  <si>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</si>
  <si>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</si>
  <si>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</si>
  <si>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</si>
  <si>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</si>
  <si>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</si>
  <si>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</si>
  <si>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</si>
  <si>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</si>
  <si>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</si>
  <si>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</si>
  <si>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</si>
  <si>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</si>
  <si>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</si>
  <si>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</si>
  <si>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</si>
  <si>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</si>
  <si>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</si>
  <si>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</si>
  <si>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</si>
  <si>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</si>
  <si>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</si>
  <si>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</si>
  <si>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</si>
  <si>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</si>
  <si>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</si>
  <si>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</si>
  <si>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</si>
  <si>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</si>
  <si>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</si>
  <si>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</si>
  <si>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</si>
  <si>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</si>
  <si>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</si>
  <si>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</si>
  <si>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</si>
  <si>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</si>
  <si>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</si>
  <si>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</si>
  <si>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</si>
  <si>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</si>
  <si>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</si>
  <si>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</si>
  <si>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</si>
  <si>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</si>
  <si>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</si>
  <si>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</si>
  <si>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</si>
  <si>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</si>
  <si>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</si>
  <si>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</si>
  <si>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</si>
  <si>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</si>
  <si>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</si>
  <si>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</si>
  <si>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</si>
  <si>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</si>
  <si>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</si>
  <si>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</si>
  <si>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</si>
  <si>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</si>
  <si>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</si>
  <si>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</si>
  <si>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</si>
  <si>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</si>
  <si>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</si>
  <si>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</si>
  <si>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</si>
  <si>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</si>
  <si>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</si>
  <si>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</si>
  <si>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</si>
  <si>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</si>
  <si>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</si>
  <si>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</si>
  <si>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</si>
  <si>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</si>
  <si>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</si>
  <si>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</si>
  <si>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</si>
  <si>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</si>
  <si>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</si>
  <si>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</si>
  <si>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</si>
  <si>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</si>
  <si>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</si>
  <si>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</si>
  <si>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</si>
  <si>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</si>
  <si>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</si>
  <si>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</si>
  <si>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</si>
  <si>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</si>
  <si>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</si>
  <si>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</si>
  <si>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</si>
  <si>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</si>
  <si>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</si>
  <si>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</si>
  <si>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</si>
  <si>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</si>
  <si>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</si>
  <si>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</si>
  <si>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</si>
  <si>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</si>
  <si>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</si>
  <si>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</si>
  <si>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</si>
  <si>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</si>
  <si>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</si>
  <si>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</si>
  <si>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</si>
  <si>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</si>
  <si>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</si>
  <si>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</si>
  <si>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</si>
  <si>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</si>
  <si>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</si>
  <si>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</si>
  <si>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</si>
  <si>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</si>
  <si>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</si>
  <si>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</si>
  <si>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</si>
  <si>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</si>
  <si>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</si>
  <si>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</si>
  <si>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</si>
  <si>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</si>
  <si>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</si>
  <si>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</si>
  <si>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</si>
  <si>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</si>
  <si>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</si>
  <si>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</si>
  <si>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</si>
  <si>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</si>
  <si>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</si>
  <si>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</si>
  <si>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</si>
  <si>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</si>
  <si>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</si>
  <si>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</si>
  <si>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</si>
  <si>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</si>
  <si>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</si>
  <si>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</si>
  <si>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</si>
  <si>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</si>
  <si>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</si>
  <si>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</si>
  <si>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</si>
  <si>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</si>
  <si>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</si>
  <si>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</si>
  <si>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</si>
  <si>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</si>
  <si>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</si>
  <si>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</si>
  <si>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</si>
  <si>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</si>
  <si>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</si>
  <si>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</si>
  <si>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</si>
  <si>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</si>
  <si>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</si>
  <si>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</si>
  <si>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</si>
  <si>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</si>
  <si>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</si>
  <si>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</si>
  <si>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</si>
  <si>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</si>
  <si>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</si>
  <si>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</si>
  <si>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</si>
  <si>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</si>
  <si>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</si>
  <si>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</si>
  <si>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</si>
  <si>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</si>
  <si>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</si>
  <si>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</si>
  <si>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</si>
  <si>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</si>
  <si>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</si>
  <si>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</si>
  <si>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</si>
  <si>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</si>
  <si>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</si>
  <si>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</si>
  <si>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</si>
  <si>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</si>
  <si>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</si>
  <si>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</si>
  <si>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</si>
  <si>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</si>
  <si>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</si>
  <si>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</si>
  <si>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</si>
  <si>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</si>
  <si>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</si>
  <si>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</si>
  <si>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</si>
  <si>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</si>
  <si>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</si>
  <si>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</si>
  <si>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</si>
  <si>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</si>
  <si>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</si>
  <si>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</si>
  <si>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</si>
  <si>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</si>
  <si>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</si>
  <si>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</si>
  <si>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</si>
  <si>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</si>
  <si>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</si>
  <si>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</si>
  <si>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</si>
  <si>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</si>
  <si>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</si>
  <si>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</si>
  <si>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</si>
  <si>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</si>
  <si>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</si>
  <si>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</si>
  <si>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</si>
  <si>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</si>
  <si>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</si>
  <si>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</si>
  <si>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</si>
  <si>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</si>
  <si>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</si>
  <si>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</si>
  <si>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</si>
  <si>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</si>
  <si>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</si>
  <si>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</si>
  <si>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</si>
  <si>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</si>
  <si>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</si>
  <si>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</si>
  <si>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</si>
  <si>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</si>
  <si>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</si>
  <si>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</si>
  <si>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</si>
  <si>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</si>
  <si>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</si>
  <si>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</si>
  <si>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</si>
  <si>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</si>
  <si>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</si>
  <si>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</si>
  <si>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</si>
  <si>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</si>
  <si>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</si>
  <si>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</si>
  <si>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</si>
  <si>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</si>
  <si>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</si>
  <si>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</si>
  <si>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</si>
  <si>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</si>
  <si>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</si>
  <si>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</si>
  <si>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</si>
  <si>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</si>
  <si>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</si>
  <si>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</si>
  <si>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</si>
  <si>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</si>
  <si>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</si>
  <si>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</si>
  <si>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</si>
  <si>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</si>
  <si>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</si>
  <si>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</si>
  <si>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</si>
  <si>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</si>
  <si>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</si>
  <si>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</si>
  <si>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</si>
  <si>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</si>
  <si>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</si>
  <si>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</si>
  <si>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</si>
  <si>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</si>
  <si>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</si>
  <si>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</si>
  <si>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</si>
  <si>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</si>
  <si>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</si>
  <si>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</si>
  <si>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</si>
  <si>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</si>
  <si>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</si>
  <si>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</si>
  <si>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</si>
  <si>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</si>
  <si>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</si>
  <si>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</si>
  <si>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</si>
  <si>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</si>
  <si>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</si>
  <si>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</si>
  <si>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</si>
  <si>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</si>
  <si>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</si>
  <si>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</si>
  <si>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</si>
  <si>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</si>
  <si>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</si>
  <si>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</si>
  <si>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</si>
  <si>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</si>
  <si>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</si>
  <si>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</si>
  <si>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</si>
  <si>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</si>
  <si>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</si>
  <si>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</si>
  <si>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</si>
  <si>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</si>
  <si>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</si>
  <si>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</si>
  <si>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</si>
  <si>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</si>
  <si>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</si>
  <si>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</si>
  <si>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</si>
  <si>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</si>
  <si>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</si>
  <si>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</si>
  <si>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</si>
  <si>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</si>
  <si>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</si>
  <si>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</si>
  <si>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</si>
  <si>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</si>
  <si>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</si>
  <si>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</si>
  <si>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</si>
  <si>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</si>
  <si>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</si>
  <si>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</si>
  <si>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</si>
  <si>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</si>
  <si>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</si>
  <si>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</si>
  <si>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</si>
  <si>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</si>
  <si>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</si>
  <si>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</si>
  <si>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</si>
  <si>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</si>
  <si>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</si>
  <si>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</si>
  <si>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</si>
  <si>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</si>
  <si>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</si>
  <si>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</si>
  <si>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</si>
  <si>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</si>
  <si>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</si>
  <si>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</si>
  <si>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</si>
  <si>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</si>
  <si>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</si>
  <si>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</si>
  <si>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</si>
  <si>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</si>
  <si>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</si>
  <si>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</si>
  <si>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</si>
  <si>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</si>
  <si>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</si>
  <si>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</si>
  <si>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</si>
  <si>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</si>
  <si>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</si>
  <si>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</si>
  <si>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</si>
  <si>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</si>
  <si>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</si>
  <si>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</si>
  <si>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</si>
  <si>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</si>
  <si>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</si>
  <si>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</si>
  <si>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</si>
  <si>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</si>
  <si>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</si>
  <si>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</si>
  <si>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</si>
  <si>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</si>
  <si>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</si>
  <si>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</si>
  <si>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</si>
  <si>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</si>
  <si>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</si>
  <si>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</si>
  <si>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</si>
  <si>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</si>
  <si>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</si>
  <si>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</si>
  <si>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</si>
  <si>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</si>
  <si>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</si>
  <si>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</si>
  <si>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</si>
  <si>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</si>
  <si>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</si>
  <si>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</si>
  <si>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</si>
  <si>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</si>
  <si>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</si>
  <si>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</si>
  <si>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</si>
  <si>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</si>
  <si>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</si>
  <si>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</si>
  <si>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</si>
  <si>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</si>
  <si>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</si>
  <si>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</si>
  <si>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</si>
  <si>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</si>
  <si>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</si>
  <si>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</si>
  <si>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</si>
  <si>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</si>
  <si>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</si>
  <si>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</si>
  <si>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</si>
  <si>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</si>
  <si>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</si>
  <si>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</si>
  <si>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</si>
  <si>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</si>
  <si>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</si>
  <si>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</si>
  <si>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</si>
  <si>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</si>
  <si>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</si>
  <si>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</si>
  <si>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</si>
  <si>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</si>
  <si>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</si>
  <si>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</si>
  <si>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</si>
  <si>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</si>
  <si>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</si>
  <si>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</si>
  <si>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</si>
  <si>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</si>
  <si>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</si>
  <si>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</si>
  <si>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</si>
  <si>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</si>
  <si>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</si>
  <si>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</si>
  <si>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</si>
  <si>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</si>
  <si>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</si>
  <si>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</si>
  <si>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</si>
  <si>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</si>
  <si>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</si>
  <si>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</si>
  <si>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</si>
  <si>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</si>
  <si>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</si>
  <si>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</si>
  <si>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</si>
  <si>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</si>
  <si>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</si>
  <si>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</si>
  <si>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</si>
  <si>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</si>
  <si>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</si>
  <si>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</si>
  <si>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</si>
  <si>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</si>
  <si>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</si>
  <si>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</si>
  <si>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</si>
  <si>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</si>
  <si>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</si>
  <si>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</si>
  <si>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</si>
  <si>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</si>
  <si>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</si>
  <si>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</si>
  <si>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</si>
  <si>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</si>
  <si>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</si>
  <si>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</si>
  <si>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</si>
  <si>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</si>
  <si>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</si>
  <si>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</si>
  <si>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</si>
  <si>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</si>
  <si>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</si>
  <si>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</si>
  <si>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</si>
  <si>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</si>
  <si>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</si>
  <si>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</si>
  <si>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</si>
  <si>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</si>
  <si>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</si>
  <si>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</si>
  <si>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</si>
  <si>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</si>
  <si>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</si>
  <si>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</si>
  <si>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</si>
  <si>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</si>
  <si>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</si>
  <si>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</si>
  <si>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</si>
  <si>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</si>
  <si>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</si>
  <si>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</si>
  <si>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</si>
  <si>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</si>
  <si>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</si>
  <si>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</si>
  <si>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</si>
  <si>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</si>
  <si>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</si>
  <si>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</si>
  <si>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</si>
  <si>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</si>
  <si>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</si>
  <si>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</si>
  <si>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</si>
  <si>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</si>
  <si>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</si>
  <si>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</si>
  <si>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</si>
  <si>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</si>
  <si>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</si>
  <si>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</si>
  <si>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</si>
  <si>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</si>
  <si>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</si>
  <si>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</si>
  <si>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</si>
  <si>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</si>
  <si>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</si>
  <si>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</si>
  <si>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</si>
  <si>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</si>
  <si>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</si>
  <si>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</si>
  <si>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</si>
  <si>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</si>
  <si>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</si>
  <si>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</si>
  <si>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</si>
  <si>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</si>
  <si>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</si>
  <si>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</si>
  <si>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</si>
  <si>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</si>
  <si>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</si>
  <si>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</si>
  <si>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</si>
  <si>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</si>
  <si>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</si>
  <si>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</si>
  <si>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</si>
  <si>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</si>
  <si>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</si>
  <si>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</si>
  <si>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</si>
  <si>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</si>
  <si>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</si>
  <si>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</si>
  <si>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</si>
  <si>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</si>
  <si>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</si>
  <si>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</si>
  <si>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</si>
  <si>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</si>
  <si>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</si>
  <si>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</si>
  <si>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</si>
  <si>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</si>
  <si>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</si>
  <si>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</si>
  <si>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</si>
  <si>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</si>
  <si>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</si>
  <si>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</si>
  <si>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</si>
  <si>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</si>
  <si>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</si>
  <si>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</si>
  <si>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</si>
  <si>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</si>
  <si>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</si>
  <si>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</si>
  <si>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</si>
  <si>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</si>
  <si>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</si>
  <si>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</si>
  <si>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</si>
  <si>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</si>
  <si>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</si>
  <si>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</si>
  <si>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</si>
  <si>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</si>
  <si>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</si>
  <si>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</si>
  <si>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</si>
  <si>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</si>
  <si>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</si>
  <si>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</si>
  <si>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</si>
  <si>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</si>
  <si>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</si>
  <si>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</si>
  <si>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</si>
  <si>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</si>
  <si>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</si>
  <si>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</si>
  <si>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</si>
  <si>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</si>
  <si>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</si>
  <si>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</si>
  <si>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</si>
  <si>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</si>
  <si>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</si>
  <si>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</si>
  <si>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</si>
  <si>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</si>
  <si>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</si>
  <si>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</si>
  <si>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</si>
  <si>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</si>
  <si>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</si>
  <si>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</si>
  <si>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</si>
  <si>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</si>
  <si>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</si>
  <si>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</si>
  <si>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</si>
  <si>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</si>
  <si>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</si>
  <si>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</si>
  <si>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</si>
  <si>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</si>
  <si>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</si>
  <si>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</si>
  <si>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</si>
  <si>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</si>
  <si>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</si>
  <si>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</si>
  <si>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</si>
  <si>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</si>
  <si>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</si>
  <si>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</si>
  <si>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</si>
  <si>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</si>
  <si>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</si>
  <si>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</si>
  <si>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</si>
  <si>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</si>
  <si>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</si>
  <si>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</si>
  <si>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</si>
  <si>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</si>
  <si>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</si>
  <si>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</si>
  <si>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</si>
  <si>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</si>
  <si>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</si>
  <si>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</si>
  <si>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</si>
  <si>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</si>
  <si>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</si>
  <si>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</si>
  <si>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</si>
  <si>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</si>
  <si>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</si>
  <si>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</si>
  <si>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</si>
  <si>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</si>
  <si>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</si>
  <si>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</si>
  <si>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</si>
  <si>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</si>
  <si>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</si>
  <si>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</si>
  <si>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</si>
  <si>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</si>
  <si>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</si>
  <si>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</si>
  <si>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</si>
  <si>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</si>
  <si>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</si>
  <si>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</si>
  <si>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</si>
  <si>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</si>
  <si>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</si>
  <si>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</si>
  <si>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</si>
  <si>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</si>
  <si>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</si>
  <si>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</si>
  <si>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</si>
  <si>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</si>
  <si>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</si>
  <si>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</si>
  <si>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</si>
  <si>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</si>
  <si>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</si>
  <si>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</si>
  <si>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</si>
  <si>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</si>
  <si>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</si>
  <si>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</si>
  <si>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</si>
  <si>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</si>
  <si>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</si>
  <si>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</si>
  <si>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</si>
  <si>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</si>
  <si>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</si>
  <si>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</si>
  <si>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</si>
  <si>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</si>
  <si>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</si>
  <si>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</si>
  <si>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</si>
  <si>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</si>
  <si>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</si>
  <si>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</si>
  <si>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</si>
  <si>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</si>
  <si>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</si>
  <si>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</si>
  <si>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</si>
  <si>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</si>
  <si>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</si>
  <si>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</si>
  <si>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</si>
  <si>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</si>
  <si>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</si>
  <si>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</si>
  <si>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</si>
  <si>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</si>
  <si>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</si>
  <si>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</si>
  <si>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</si>
  <si>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</si>
  <si>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</si>
  <si>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</si>
  <si>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</si>
  <si>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</si>
  <si>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</si>
  <si>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</si>
  <si>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</si>
  <si>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</si>
  <si>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</si>
  <si>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</si>
  <si>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</si>
  <si>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</si>
  <si>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</si>
  <si>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</si>
  <si>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</si>
  <si>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</si>
  <si>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</si>
  <si>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</si>
  <si>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</si>
  <si>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</si>
  <si>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</si>
  <si>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</si>
  <si>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</si>
  <si>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</si>
  <si>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</si>
  <si>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</si>
  <si>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</si>
  <si>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</si>
  <si>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</si>
  <si>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</si>
  <si>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</si>
  <si>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</si>
  <si>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</si>
  <si>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</si>
  <si>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</si>
  <si>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</si>
  <si>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</si>
  <si>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</si>
  <si>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</si>
  <si>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</si>
  <si>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</si>
  <si>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</si>
  <si>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</si>
  <si>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</si>
  <si>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</si>
  <si>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</si>
  <si>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</si>
  <si>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</si>
  <si>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</si>
  <si>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</si>
  <si>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</si>
  <si>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</si>
  <si>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</si>
  <si>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</si>
  <si>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</si>
  <si>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</si>
  <si>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</si>
  <si>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</si>
  <si>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</si>
  <si>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</si>
  <si>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</si>
  <si>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</si>
  <si>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</si>
  <si>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</si>
  <si>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</si>
  <si>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</si>
  <si>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</si>
  <si>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</si>
  <si>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</si>
  <si>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</si>
  <si>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</si>
  <si>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</si>
  <si>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</si>
  <si>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</si>
  <si>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</si>
  <si>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</si>
  <si>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</si>
  <si>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</si>
  <si>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</si>
  <si>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</si>
  <si>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</si>
  <si>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</si>
  <si>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</si>
  <si>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</si>
  <si>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</si>
  <si>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</si>
  <si>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</si>
  <si>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</si>
  <si>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</si>
  <si>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</si>
  <si>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</si>
  <si>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</si>
  <si>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</si>
  <si>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</si>
  <si>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</si>
  <si>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</si>
  <si>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</si>
  <si>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</si>
  <si>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</si>
  <si>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</si>
  <si>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</si>
  <si>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</si>
  <si>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</si>
  <si>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</si>
  <si>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</si>
  <si>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</si>
  <si>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</si>
  <si>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</si>
  <si>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</si>
  <si>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</si>
  <si>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</si>
  <si>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</si>
  <si>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</si>
  <si>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</si>
  <si>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</si>
  <si>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</si>
  <si>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</si>
  <si>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</si>
  <si>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</si>
  <si>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</si>
  <si>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</si>
  <si>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</si>
  <si>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</si>
  <si>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</si>
  <si>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</si>
  <si>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</si>
  <si>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</si>
  <si>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</si>
  <si>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</si>
  <si>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</si>
  <si>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</si>
  <si>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</si>
  <si>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</si>
  <si>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</si>
  <si>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</si>
  <si>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</si>
  <si>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</si>
  <si>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</si>
  <si>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</si>
  <si>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</si>
  <si>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</si>
  <si>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</si>
  <si>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</si>
  <si>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</si>
  <si>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</si>
  <si>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</si>
  <si>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</si>
  <si>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</si>
  <si>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</si>
  <si>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</si>
  <si>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</si>
  <si>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</si>
  <si>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</si>
  <si>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</si>
  <si>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</si>
  <si>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</si>
  <si>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</si>
  <si>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</si>
  <si>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</si>
  <si>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</si>
  <si>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</si>
  <si>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</si>
  <si>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</si>
  <si>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</si>
  <si>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</si>
  <si>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</si>
  <si>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</si>
  <si>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</si>
  <si>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</si>
  <si>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</si>
  <si>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</si>
  <si>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</si>
  <si>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</si>
  <si>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</si>
  <si>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</si>
  <si>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</si>
  <si>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</si>
  <si>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</si>
  <si>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</si>
  <si>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</si>
  <si>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</si>
  <si>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</si>
  <si>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</si>
  <si>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</si>
  <si>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</si>
  <si>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</si>
  <si>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</si>
  <si>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</si>
  <si>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</si>
  <si>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</si>
  <si>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</si>
  <si>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</si>
  <si>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</si>
  <si>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</si>
  <si>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</si>
  <si>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</si>
  <si>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</si>
  <si>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</si>
  <si>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</si>
  <si>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</si>
  <si>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</si>
  <si>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</si>
  <si>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</si>
  <si>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</si>
  <si>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</si>
  <si>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</si>
  <si>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</si>
  <si>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</si>
  <si>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</si>
  <si>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</si>
  <si>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</si>
  <si>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</si>
  <si>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</si>
  <si>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</si>
  <si>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</si>
  <si>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</si>
  <si>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</si>
  <si>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</si>
  <si>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</si>
  <si>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</si>
  <si>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</si>
  <si>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</si>
  <si>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</si>
  <si>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</si>
  <si>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</si>
  <si>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</si>
  <si>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</si>
  <si>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</si>
  <si>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</si>
  <si>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</si>
  <si>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</si>
  <si>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</si>
  <si>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</si>
  <si>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</si>
  <si>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</si>
  <si>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</si>
  <si>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</si>
  <si>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</si>
  <si>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</si>
  <si>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</si>
  <si>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</si>
  <si>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</si>
  <si>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</si>
  <si>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</si>
  <si>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</si>
  <si>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</si>
  <si>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</si>
  <si>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</si>
  <si>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</si>
  <si>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</si>
  <si>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</si>
  <si>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</si>
  <si>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</si>
  <si>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</si>
  <si>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</si>
  <si>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</si>
  <si>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</si>
  <si>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</si>
  <si>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</si>
  <si>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</si>
  <si>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</si>
  <si>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</si>
  <si>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</si>
  <si>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</si>
  <si>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</si>
  <si>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</si>
  <si>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</si>
  <si>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</si>
  <si>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</si>
  <si>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</si>
  <si>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</si>
  <si>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</si>
  <si>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</si>
  <si>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</si>
  <si>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</si>
  <si>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</si>
  <si>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</si>
  <si>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</si>
  <si>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</si>
  <si>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</si>
  <si>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</si>
  <si>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</si>
  <si>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</si>
  <si>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</si>
  <si>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</si>
  <si>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</si>
  <si>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</si>
  <si>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</si>
  <si>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</si>
  <si>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</si>
  <si>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</si>
  <si>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</si>
  <si>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</si>
  <si>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</si>
  <si>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</si>
  <si>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</si>
  <si>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</si>
  <si>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</si>
  <si>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</si>
  <si>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</si>
  <si>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</si>
  <si>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</si>
  <si>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</si>
  <si>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</si>
  <si>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</si>
  <si>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</si>
  <si>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</si>
  <si>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</si>
  <si>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</si>
  <si>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</si>
  <si>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</si>
  <si>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</si>
  <si>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</si>
  <si>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</si>
  <si>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</si>
  <si>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</si>
  <si>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</si>
  <si>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</si>
  <si>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</si>
  <si>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</si>
  <si>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</si>
  <si>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</si>
  <si>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</si>
  <si>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</si>
  <si>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</si>
  <si>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</si>
  <si>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</si>
  <si>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</si>
  <si>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</si>
  <si>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</si>
  <si>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</si>
  <si>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</si>
  <si>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</si>
  <si>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</si>
  <si>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</si>
  <si>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</si>
  <si>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</si>
  <si>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</si>
  <si>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</si>
  <si>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</si>
  <si>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</si>
  <si>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</si>
  <si>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</si>
  <si>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</si>
  <si>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</si>
  <si>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</si>
  <si>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</si>
  <si>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</si>
  <si>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</si>
  <si>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</si>
  <si>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</si>
  <si>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</si>
  <si>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</si>
  <si>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</si>
  <si>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</si>
  <si>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</si>
  <si>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</si>
  <si>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</si>
  <si>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</si>
  <si>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</si>
  <si>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</si>
  <si>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</si>
  <si>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</si>
  <si>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</si>
  <si>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</si>
  <si>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</si>
  <si>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</si>
  <si>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</si>
  <si>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</si>
  <si>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</si>
  <si>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</si>
  <si>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</si>
  <si>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</si>
  <si>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</si>
  <si>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</si>
  <si>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</si>
  <si>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</si>
  <si>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</si>
  <si>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</si>
  <si>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</si>
  <si>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</si>
  <si>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</si>
  <si>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</si>
  <si>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</si>
  <si>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</si>
  <si>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</si>
  <si>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</si>
  <si>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</si>
  <si>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</si>
  <si>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</si>
  <si>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</si>
  <si>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</si>
  <si>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</si>
  <si>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</si>
  <si>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</si>
  <si>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</si>
  <si>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</si>
  <si>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</si>
  <si>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</si>
  <si>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</si>
  <si>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</si>
  <si>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</si>
  <si>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</si>
  <si>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</si>
  <si>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</si>
  <si>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</si>
  <si>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</si>
  <si>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</si>
  <si>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</si>
  <si>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</si>
  <si>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</si>
  <si>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</si>
  <si>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</si>
  <si>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</si>
  <si>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</si>
  <si>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</si>
  <si>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</si>
  <si>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</si>
  <si>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</si>
  <si>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</si>
  <si>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</si>
  <si>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</si>
  <si>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</si>
  <si>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</si>
  <si>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</si>
  <si>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</si>
  <si>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</si>
  <si>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</si>
  <si>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</si>
  <si>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</si>
  <si>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</si>
  <si>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</si>
  <si>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</si>
  <si>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</si>
  <si>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</si>
  <si>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</si>
  <si>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</si>
  <si>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</si>
  <si>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</si>
  <si>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</si>
  <si>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</si>
  <si>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</si>
  <si>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</si>
  <si>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</si>
  <si>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</si>
  <si>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</si>
  <si>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</si>
  <si>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</si>
  <si>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</si>
  <si>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</si>
  <si>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</si>
  <si>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</si>
  <si>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</si>
  <si>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</si>
  <si>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</si>
  <si>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</si>
  <si>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</si>
  <si>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</si>
  <si>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</si>
  <si>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</si>
  <si>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</si>
  <si>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</si>
  <si>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</si>
  <si>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</si>
  <si>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</si>
  <si>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</si>
  <si>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</si>
  <si>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</si>
  <si>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</si>
  <si>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</si>
  <si>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</si>
  <si>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</si>
  <si>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</si>
  <si>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</si>
  <si>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</si>
  <si>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</si>
  <si>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</si>
  <si>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</si>
  <si>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</si>
  <si>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</si>
  <si>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</si>
  <si>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</si>
  <si>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</si>
  <si>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</si>
  <si>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</si>
  <si>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</si>
  <si>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</si>
  <si>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</si>
  <si>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</si>
  <si>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</si>
  <si>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</si>
  <si>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</si>
  <si>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</si>
  <si>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</si>
  <si>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</si>
  <si>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</si>
  <si>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</si>
  <si>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</si>
  <si>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</si>
  <si>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</si>
  <si>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</si>
  <si>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</si>
  <si>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</si>
  <si>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</si>
  <si>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</si>
  <si>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</si>
  <si>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</si>
  <si>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</si>
  <si>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</si>
  <si>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</si>
  <si>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</si>
  <si>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</si>
  <si>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</si>
  <si>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</si>
  <si>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</si>
  <si>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</si>
  <si>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</si>
  <si>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</si>
  <si>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</si>
  <si>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</si>
  <si>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</si>
  <si>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</si>
  <si>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</si>
  <si>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</si>
  <si>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</si>
  <si>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</si>
  <si>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</si>
  <si>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</si>
  <si>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</si>
  <si>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</si>
  <si>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</si>
  <si>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</si>
  <si>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</si>
  <si>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</si>
  <si>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</si>
  <si>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</si>
  <si>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</si>
  <si>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</si>
  <si>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</si>
  <si>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</si>
  <si>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</si>
  <si>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</si>
  <si>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</si>
  <si>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</si>
  <si>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</si>
  <si>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</si>
  <si>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</si>
  <si>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</si>
  <si>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</si>
  <si>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</si>
  <si>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</si>
  <si>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</si>
  <si>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</si>
  <si>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</si>
  <si>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</si>
  <si>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</si>
  <si>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</si>
  <si>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</si>
  <si>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</si>
  <si>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</si>
  <si>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</si>
  <si>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</si>
  <si>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</si>
  <si>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</si>
  <si>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</si>
  <si>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</si>
  <si>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</si>
  <si>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</si>
  <si>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</si>
  <si>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</si>
  <si>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</si>
  <si>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</si>
  <si>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</si>
  <si>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</si>
  <si>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</si>
  <si>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</si>
  <si>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</si>
  <si>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</si>
  <si>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</si>
  <si>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</si>
  <si>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</si>
  <si>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</si>
  <si>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</si>
  <si>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</si>
  <si>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</si>
  <si>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</si>
  <si>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</si>
  <si>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</si>
  <si>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</si>
  <si>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</si>
  <si>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</si>
  <si>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</si>
  <si>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</si>
  <si>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</si>
  <si>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</si>
  <si>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</si>
  <si>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</si>
  <si>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</si>
  <si>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</si>
  <si>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</si>
  <si>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</si>
  <si>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</si>
  <si>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</si>
  <si>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</si>
  <si>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</si>
  <si>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</si>
  <si>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</si>
  <si>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</si>
  <si>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</si>
  <si>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</si>
  <si>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</si>
  <si>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</si>
  <si>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</si>
  <si>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</si>
  <si>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</si>
  <si>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</si>
  <si>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</si>
  <si>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</si>
  <si>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</si>
  <si>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</si>
  <si>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</si>
  <si>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</si>
  <si>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</si>
  <si>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</si>
  <si>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</si>
  <si>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</si>
  <si>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</si>
  <si>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</si>
  <si>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</si>
  <si>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</si>
  <si>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</si>
  <si>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</si>
  <si>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</si>
  <si>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</si>
  <si>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</si>
  <si>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</si>
  <si>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</si>
  <si>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</si>
  <si>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</si>
  <si>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</si>
  <si>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</si>
  <si>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</si>
  <si>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</si>
  <si>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</si>
  <si>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</si>
  <si>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</si>
  <si>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</si>
  <si>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</si>
  <si>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</si>
  <si>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</si>
  <si>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</si>
  <si>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</si>
  <si>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</si>
  <si>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</si>
  <si>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</si>
  <si>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</si>
  <si>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</si>
  <si>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</si>
  <si>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</si>
  <si>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</si>
  <si>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</si>
  <si>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</si>
  <si>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</si>
  <si>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</si>
  <si>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</si>
  <si>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</si>
  <si>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</si>
  <si>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</si>
  <si>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</si>
  <si>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</si>
  <si>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</si>
  <si>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</si>
  <si>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</si>
  <si>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</si>
  <si>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</si>
  <si>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</si>
  <si>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</si>
  <si>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</si>
  <si>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</si>
  <si>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</si>
  <si>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</si>
  <si>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</si>
  <si>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</si>
  <si>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</si>
  <si>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</si>
  <si>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</si>
  <si>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</si>
  <si>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</si>
  <si>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</si>
  <si>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</si>
  <si>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</si>
  <si>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</si>
  <si>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</si>
  <si>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</si>
  <si>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</si>
  <si>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</si>
  <si>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</si>
  <si>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</si>
  <si>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</si>
  <si>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</si>
  <si>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</si>
  <si>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</si>
  <si>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</si>
  <si>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</si>
  <si>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</si>
  <si>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</si>
  <si>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</si>
  <si>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</si>
  <si>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</si>
  <si>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</si>
  <si>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</si>
  <si>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</si>
  <si>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</si>
  <si>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</si>
  <si>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</si>
  <si>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</si>
  <si>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</si>
  <si>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</si>
  <si>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</si>
  <si>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</si>
  <si>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</si>
  <si>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</si>
  <si>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</si>
  <si>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</si>
  <si>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</si>
  <si>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</si>
  <si>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</si>
  <si>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</si>
  <si>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</si>
  <si>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</si>
  <si>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</si>
  <si>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</si>
  <si>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</si>
  <si>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</si>
  <si>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</si>
  <si>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</si>
  <si>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</si>
  <si>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</si>
  <si>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</si>
  <si>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</si>
  <si>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</si>
  <si>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</si>
  <si>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</si>
  <si>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</si>
  <si>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</si>
  <si>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</si>
  <si>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</si>
  <si>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</si>
  <si>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</si>
  <si>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</si>
  <si>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</si>
  <si>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</si>
  <si>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</si>
  <si>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</si>
  <si>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</si>
  <si>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</si>
  <si>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</si>
  <si>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</si>
  <si>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</si>
  <si>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</si>
  <si>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</si>
  <si>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</si>
  <si>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</si>
  <si>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</si>
  <si>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</si>
  <si>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</si>
  <si>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</si>
  <si>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</si>
  <si>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</si>
  <si>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</si>
  <si>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</si>
  <si>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</si>
  <si>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</si>
  <si>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</si>
  <si>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</si>
  <si>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</si>
  <si>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</si>
  <si>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</si>
  <si>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</si>
  <si>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</si>
  <si>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</si>
  <si>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</si>
  <si>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</si>
  <si>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</si>
  <si>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</si>
  <si>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</si>
  <si>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</si>
  <si>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</si>
  <si>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</si>
  <si>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</si>
  <si>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</si>
  <si>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</si>
  <si>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</si>
  <si>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</si>
  <si>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</si>
  <si>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</si>
  <si>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</si>
  <si>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</si>
  <si>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</si>
  <si>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</si>
  <si>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</si>
  <si>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</si>
  <si>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</si>
  <si>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</si>
  <si>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</si>
  <si>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</si>
  <si>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</si>
  <si>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</si>
  <si>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</si>
  <si>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</si>
  <si>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</si>
  <si>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</si>
  <si>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</si>
  <si>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</si>
  <si>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</si>
  <si>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</si>
  <si>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</si>
  <si>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</si>
  <si>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</si>
  <si>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</si>
  <si>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</si>
  <si>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</si>
  <si>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</si>
  <si>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</si>
  <si>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</si>
  <si>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</si>
  <si>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</si>
  <si>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</si>
  <si>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</si>
  <si>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</si>
  <si>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</si>
  <si>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</si>
  <si>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</si>
  <si>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</si>
  <si>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</si>
  <si>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</si>
  <si>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</si>
  <si>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</si>
  <si>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</si>
  <si>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</si>
  <si>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</si>
  <si>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</si>
  <si>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</si>
  <si>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</si>
  <si>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</si>
  <si>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</si>
  <si>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</si>
  <si>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</si>
  <si>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</si>
  <si>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</si>
  <si>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</si>
  <si>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</si>
  <si>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</si>
  <si>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</si>
  <si>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</si>
  <si>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</si>
  <si>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</si>
  <si>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</si>
  <si>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</si>
  <si>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</si>
  <si>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</si>
  <si>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</si>
  <si>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</si>
  <si>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</si>
  <si>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</si>
  <si>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</si>
  <si>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</si>
  <si>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</si>
  <si>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</si>
  <si>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</si>
  <si>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</si>
  <si>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</si>
  <si>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</si>
  <si>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</si>
  <si>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</si>
  <si>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</si>
  <si>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</si>
  <si>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</si>
  <si>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</si>
  <si>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</si>
  <si>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</si>
  <si>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</si>
  <si>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</si>
  <si>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</si>
  <si>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</si>
  <si>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</si>
  <si>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</si>
  <si>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</si>
  <si>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</si>
  <si>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</si>
  <si>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</si>
  <si>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</si>
  <si>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</si>
  <si>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</si>
  <si>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</si>
  <si>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</si>
  <si>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</si>
  <si>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</si>
  <si>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</si>
  <si>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</si>
  <si>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</si>
  <si>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</si>
  <si>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</si>
  <si>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</si>
  <si>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</si>
  <si>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</si>
  <si>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</si>
  <si>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</si>
  <si>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</si>
  <si>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</si>
  <si>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</si>
  <si>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</si>
  <si>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</si>
  <si>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</si>
  <si>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</si>
  <si>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</si>
  <si>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</si>
  <si>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</si>
  <si>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</si>
  <si>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</si>
  <si>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</si>
  <si>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</si>
  <si>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</si>
  <si>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</si>
  <si>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</si>
  <si>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</si>
  <si>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</si>
  <si>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</si>
  <si>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</si>
  <si>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</si>
  <si>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</si>
  <si>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</si>
  <si>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</si>
  <si>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</si>
  <si>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</si>
  <si>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</si>
  <si>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</si>
  <si>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</si>
  <si>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</si>
  <si>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</si>
  <si>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</si>
  <si>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</si>
  <si>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</si>
  <si>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</si>
  <si>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</si>
  <si>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</si>
  <si>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</si>
  <si>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</si>
  <si>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</si>
  <si>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</si>
  <si>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</si>
  <si>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</si>
  <si>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</si>
  <si>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</si>
  <si>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</si>
  <si>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</si>
  <si>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</si>
  <si>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</si>
  <si>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</si>
  <si>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</si>
  <si>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</si>
  <si>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</si>
  <si>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</si>
  <si>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</si>
  <si>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</si>
  <si>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</si>
  <si>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</si>
  <si>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</si>
  <si>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</si>
  <si>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</si>
  <si>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</si>
  <si>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</si>
  <si>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</si>
  <si>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</si>
  <si>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</si>
  <si>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</si>
  <si>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</si>
  <si>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</si>
  <si>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</si>
  <si>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</si>
  <si>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</si>
  <si>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</si>
  <si>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</si>
  <si>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</si>
  <si>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</si>
  <si>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</si>
  <si>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</si>
  <si>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</si>
  <si>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</si>
  <si>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</si>
  <si>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</si>
  <si>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</si>
  <si>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</si>
  <si>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</si>
  <si>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</si>
  <si>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</si>
  <si>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</si>
  <si>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</si>
  <si>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</si>
  <si>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</si>
  <si>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</si>
  <si>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</si>
  <si>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</si>
  <si>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</si>
  <si>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</si>
  <si>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</si>
  <si>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</si>
  <si>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</si>
  <si>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</si>
  <si>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</si>
  <si>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</si>
  <si>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</si>
  <si>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</si>
  <si>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</si>
  <si>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</si>
  <si>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</si>
  <si>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</si>
  <si>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</si>
  <si>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</si>
  <si>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</si>
  <si>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</si>
  <si>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</si>
  <si>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</si>
  <si>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</si>
  <si>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</si>
  <si>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</si>
  <si>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</si>
  <si>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</si>
  <si>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</si>
  <si>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</si>
  <si>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</si>
  <si>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</si>
  <si>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</si>
  <si>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</si>
  <si>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</si>
  <si>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</si>
  <si>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</si>
  <si>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</si>
  <si>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</si>
  <si>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</si>
  <si>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</si>
  <si>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</si>
  <si>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</si>
  <si>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</si>
  <si>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</si>
  <si>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</si>
  <si>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</si>
  <si>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</si>
  <si>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</si>
  <si>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</si>
  <si>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</si>
  <si>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</si>
  <si>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</si>
  <si>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</si>
  <si>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</si>
  <si>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</si>
  <si>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</si>
  <si>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</si>
  <si>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</si>
  <si>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</si>
  <si>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</si>
  <si>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</si>
  <si>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</si>
  <si>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</si>
  <si>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</si>
  <si>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</si>
  <si>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</si>
  <si>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</si>
  <si>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</si>
  <si>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</si>
  <si>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</si>
  <si>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</si>
  <si>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</si>
  <si>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</si>
  <si>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</si>
  <si>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</si>
  <si>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</si>
  <si>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</si>
  <si>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</si>
  <si>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</si>
  <si>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</si>
  <si>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</si>
  <si>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</si>
  <si>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</si>
  <si>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</si>
  <si>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</si>
  <si>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</si>
  <si>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</si>
  <si>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</si>
  <si>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</si>
  <si>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</si>
  <si>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</si>
  <si>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</si>
  <si>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</si>
  <si>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</si>
  <si>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</si>
  <si>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</si>
  <si>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</si>
  <si>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</si>
  <si>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</si>
  <si>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</si>
  <si>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</si>
  <si>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</si>
  <si>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</si>
  <si>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</si>
  <si>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</si>
  <si>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</si>
  <si>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</si>
  <si>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</si>
  <si>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</si>
  <si>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</si>
  <si>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</si>
  <si>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</si>
  <si>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</si>
  <si>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</si>
  <si>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</si>
  <si>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</si>
  <si>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</si>
  <si>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</si>
  <si>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</si>
  <si>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</si>
  <si>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</si>
  <si>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</si>
  <si>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</si>
  <si>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</si>
  <si>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</si>
  <si>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</si>
  <si>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</si>
  <si>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</si>
  <si>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</si>
  <si>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</si>
  <si>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</si>
  <si>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</si>
  <si>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</si>
  <si>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</si>
  <si>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</si>
  <si>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</si>
  <si>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</si>
  <si>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</si>
  <si>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</si>
  <si>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</si>
  <si>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</si>
  <si>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</si>
  <si>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</si>
  <si>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</si>
  <si>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</si>
  <si>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</si>
  <si>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</si>
  <si>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</si>
  <si>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</si>
  <si>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</si>
  <si>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</si>
  <si>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</si>
  <si>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</si>
  <si>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</si>
  <si>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</si>
  <si>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</si>
  <si>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</si>
  <si>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</si>
  <si>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</si>
  <si>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</si>
  <si>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</si>
  <si>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</si>
  <si>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</si>
  <si>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</si>
  <si>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</si>
  <si>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</si>
  <si>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</si>
  <si>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</si>
  <si>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</si>
  <si>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</si>
  <si>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</si>
  <si>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</si>
  <si>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</si>
  <si>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</si>
  <si>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</si>
  <si>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</si>
  <si>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</si>
  <si>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</si>
  <si>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</si>
  <si>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</si>
  <si>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</si>
  <si>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</si>
  <si>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</si>
  <si>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</si>
  <si>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</si>
  <si>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</si>
  <si>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</si>
  <si>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</si>
  <si>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</si>
  <si>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</si>
  <si>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</si>
  <si>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</si>
  <si>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</si>
  <si>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</si>
  <si>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</si>
  <si>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</si>
  <si>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</si>
  <si>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</si>
  <si>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</si>
  <si>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</si>
  <si>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</si>
  <si>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</si>
  <si>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</si>
  <si>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</si>
  <si>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</si>
  <si>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</si>
  <si>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</si>
  <si>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</si>
  <si>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</si>
  <si>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</si>
  <si>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</si>
  <si>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</si>
  <si>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</si>
  <si>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</si>
  <si>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</si>
  <si>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</si>
  <si>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</si>
  <si>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</si>
  <si>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</si>
  <si>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</si>
  <si>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</si>
  <si>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</si>
  <si>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</si>
  <si>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</si>
  <si>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</si>
  <si>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</si>
  <si>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</si>
  <si>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</si>
  <si>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</si>
  <si>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</si>
  <si>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</si>
  <si>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</si>
  <si>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</si>
  <si>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</si>
  <si>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</si>
  <si>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</si>
  <si>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</si>
  <si>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</si>
  <si>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</si>
  <si>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</si>
  <si>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</si>
  <si>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</si>
  <si>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</si>
  <si>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</si>
  <si>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</si>
  <si>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</si>
  <si>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</si>
  <si>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</si>
  <si>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</si>
  <si>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</si>
  <si>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</si>
  <si>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</si>
  <si>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</si>
  <si>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</si>
  <si>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</si>
  <si>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</si>
  <si>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</si>
  <si>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</si>
  <si>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</si>
  <si>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</si>
  <si>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</si>
  <si>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</si>
  <si>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</si>
  <si>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</si>
  <si>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</si>
  <si>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</si>
  <si>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</si>
  <si>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</si>
  <si>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</si>
  <si>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</si>
  <si>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</si>
  <si>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</si>
  <si>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</si>
  <si>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</si>
  <si>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</si>
  <si>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</si>
  <si>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</si>
  <si>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</si>
  <si>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</si>
  <si>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</si>
  <si>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</si>
  <si>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</si>
  <si>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</si>
  <si>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</si>
  <si>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</si>
  <si>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</si>
  <si>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</si>
  <si>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</si>
  <si>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</si>
  <si>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</si>
  <si>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</si>
  <si>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</si>
  <si>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</si>
  <si>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</si>
  <si>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</si>
  <si>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</si>
  <si>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</si>
  <si>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</si>
  <si>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</si>
  <si>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</si>
  <si>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</si>
  <si>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</si>
  <si>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</si>
  <si>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</si>
  <si>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</si>
  <si>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</si>
  <si>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</si>
  <si>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</si>
  <si>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</si>
  <si>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</si>
  <si>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</si>
  <si>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</si>
  <si>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</si>
  <si>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</si>
  <si>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</si>
  <si>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</si>
  <si>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</si>
  <si>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</si>
  <si>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</si>
  <si>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</si>
  <si>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</si>
  <si>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</si>
  <si>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</si>
  <si>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</si>
  <si>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</si>
  <si>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</si>
  <si>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</si>
  <si>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</si>
  <si>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</si>
  <si>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</si>
  <si>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</si>
  <si>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</si>
  <si>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</si>
  <si>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</si>
  <si>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</si>
  <si>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</si>
  <si>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</si>
  <si>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</si>
  <si>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</si>
  <si>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</si>
  <si>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</si>
  <si>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</si>
  <si>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</si>
  <si>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</si>
  <si>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</si>
  <si>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</si>
  <si>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</si>
  <si>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</si>
  <si>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</si>
  <si>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</si>
  <si>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</si>
  <si>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</si>
  <si>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</si>
  <si>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</si>
  <si>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</si>
  <si>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</si>
  <si>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</si>
  <si>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</si>
  <si>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</si>
  <si>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</si>
  <si>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</si>
  <si>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</si>
  <si>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</si>
  <si>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</si>
  <si>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</si>
  <si>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</si>
  <si>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</si>
  <si>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</si>
  <si>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</si>
  <si>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</si>
  <si>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</si>
  <si>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</si>
  <si>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</si>
  <si>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</si>
  <si>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</si>
  <si>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</si>
  <si>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</si>
  <si>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</si>
  <si>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</si>
  <si>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</si>
  <si>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</si>
  <si>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</si>
  <si>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</si>
  <si>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</si>
  <si>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</si>
  <si>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</si>
  <si>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</si>
  <si>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</si>
  <si>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</si>
  <si>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</si>
  <si>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</si>
  <si>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</si>
  <si>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</si>
  <si>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</si>
  <si>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</si>
  <si>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</si>
  <si>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</si>
  <si>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</si>
  <si>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</si>
  <si>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</si>
  <si>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</si>
  <si>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</si>
  <si>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</si>
  <si>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</si>
  <si>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</si>
  <si>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</si>
  <si>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</si>
  <si>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</si>
  <si>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</si>
  <si>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</si>
  <si>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</si>
  <si>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</si>
  <si>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</si>
  <si>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</si>
  <si>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</si>
  <si>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</si>
  <si>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</si>
  <si>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</si>
  <si>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</si>
  <si>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</si>
  <si>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</si>
  <si>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</si>
  <si>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</si>
  <si>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</si>
  <si>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</si>
  <si>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</si>
  <si>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</si>
  <si>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</si>
  <si>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</si>
  <si>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</si>
  <si>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</si>
  <si>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</si>
  <si>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</si>
  <si>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</si>
  <si>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</si>
  <si>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</si>
  <si>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</si>
  <si>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</si>
  <si>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</si>
  <si>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</si>
  <si>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</si>
  <si>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</si>
  <si>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</si>
  <si>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</si>
  <si>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</si>
  <si>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</si>
  <si>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</si>
  <si>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</si>
  <si>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</si>
  <si>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</si>
  <si>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</si>
  <si>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</si>
  <si>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</si>
  <si>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</si>
  <si>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</si>
  <si>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</si>
  <si>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</si>
  <si>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</si>
  <si>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</si>
  <si>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</si>
  <si>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</si>
  <si>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</si>
  <si>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</si>
  <si>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</si>
  <si>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</si>
  <si>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</si>
  <si>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</si>
  <si>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</si>
  <si>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</si>
  <si>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</si>
  <si>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</si>
  <si>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</si>
  <si>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</si>
  <si>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</si>
  <si>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</si>
  <si>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</si>
  <si>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</si>
  <si>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</si>
  <si>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</si>
  <si>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</si>
  <si>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</si>
  <si>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</si>
  <si>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</si>
  <si>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</si>
  <si>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</si>
  <si>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</si>
  <si>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</si>
  <si>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</si>
  <si>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</si>
  <si>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</si>
  <si>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</si>
  <si>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</si>
  <si>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</si>
  <si>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</si>
  <si>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</si>
  <si>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</si>
  <si>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</si>
  <si>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</si>
  <si>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</si>
  <si>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</si>
  <si>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</si>
  <si>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</si>
  <si>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</si>
  <si>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</si>
  <si>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</si>
  <si>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</si>
  <si>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</si>
  <si>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</si>
  <si>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</si>
  <si>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</si>
  <si>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</si>
  <si>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</si>
  <si>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</si>
  <si>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</si>
  <si>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</si>
  <si>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</si>
  <si>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</si>
  <si>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</si>
  <si>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</si>
  <si>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</si>
  <si>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</si>
  <si>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</si>
  <si>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</si>
  <si>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</si>
  <si>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</si>
  <si>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</si>
  <si>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</si>
  <si>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</si>
  <si>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</si>
  <si>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</si>
  <si>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</si>
  <si>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</si>
  <si>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</si>
  <si>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</si>
  <si>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</si>
  <si>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</si>
  <si>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</si>
  <si>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</si>
  <si>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</si>
  <si>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</si>
  <si>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</si>
  <si>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</si>
  <si>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</si>
  <si>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</si>
  <si>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</si>
  <si>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</si>
  <si>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</si>
  <si>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</si>
  <si>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</si>
  <si>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</si>
  <si>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</si>
  <si>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</si>
  <si>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</si>
  <si>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</si>
  <si>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</si>
  <si>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</si>
  <si>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</si>
  <si>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</si>
  <si>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</si>
  <si>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</si>
  <si>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</si>
  <si>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</si>
  <si>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</si>
  <si>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</si>
  <si>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</si>
  <si>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</si>
  <si>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</si>
  <si>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</si>
  <si>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</si>
  <si>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</si>
  <si>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</si>
  <si>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</si>
  <si>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</si>
  <si>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</si>
  <si>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</si>
  <si>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</si>
  <si>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</si>
  <si>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</si>
  <si>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</si>
  <si>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</si>
  <si>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</si>
  <si>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</si>
  <si>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</si>
  <si>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</si>
  <si>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</si>
  <si>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</si>
  <si>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</si>
  <si>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</si>
  <si>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</si>
  <si>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</si>
  <si>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</si>
  <si>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</si>
  <si>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</si>
  <si>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</si>
  <si>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</si>
  <si>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</si>
  <si>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</si>
  <si>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</si>
  <si>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</si>
  <si>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</si>
  <si>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</si>
  <si>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</si>
  <si>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</si>
  <si>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</si>
  <si>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</si>
  <si>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</si>
  <si>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</si>
  <si>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</si>
  <si>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</si>
  <si>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</si>
  <si>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</si>
  <si>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</si>
  <si>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</si>
  <si>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</si>
  <si>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</si>
  <si>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</si>
  <si>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</si>
  <si>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</si>
  <si>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</si>
  <si>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</si>
  <si>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</si>
  <si>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</si>
  <si>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</si>
  <si>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</si>
  <si>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</si>
  <si>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</si>
  <si>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</si>
  <si>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</si>
  <si>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</si>
  <si>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</si>
  <si>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</si>
  <si>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</si>
  <si>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</si>
  <si>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</si>
  <si>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</si>
  <si>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</si>
  <si>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</si>
  <si>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</si>
  <si>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</si>
  <si>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</si>
  <si>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</si>
  <si>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</si>
  <si>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</si>
  <si>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</si>
  <si>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</si>
  <si>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</si>
  <si>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</si>
  <si>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</si>
  <si>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</si>
  <si>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</si>
  <si>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</si>
  <si>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</si>
  <si>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</si>
  <si>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</si>
  <si>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</si>
  <si>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</si>
  <si>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</si>
  <si>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</si>
  <si>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</si>
  <si>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</si>
  <si>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</si>
  <si>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</si>
  <si>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</si>
  <si>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</si>
  <si>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</si>
  <si>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</si>
  <si>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</si>
  <si>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</si>
  <si>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</si>
  <si>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</si>
  <si>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</si>
  <si>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</si>
  <si>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</si>
  <si>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</si>
  <si>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</si>
  <si>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</si>
  <si>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</si>
  <si>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</si>
  <si>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</si>
  <si>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</si>
  <si>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</si>
  <si>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</si>
  <si>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</si>
  <si>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</si>
  <si>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</si>
  <si>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</si>
  <si>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</si>
  <si>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</si>
  <si>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</si>
  <si>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</si>
  <si>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</si>
  <si>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</si>
  <si>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</si>
  <si>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</si>
  <si>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</si>
  <si>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</si>
  <si>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</si>
  <si>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</si>
  <si>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</si>
  <si>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</si>
  <si>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</si>
  <si>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</si>
  <si>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</si>
  <si>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</si>
  <si>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</si>
  <si>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</si>
  <si>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</si>
  <si>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</si>
  <si>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</si>
  <si>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</si>
  <si>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</si>
  <si>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</si>
  <si>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</si>
  <si>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</si>
  <si>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</si>
  <si>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</si>
  <si>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</si>
  <si>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</si>
  <si>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</si>
  <si>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</si>
  <si>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</si>
  <si>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</si>
  <si>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</si>
  <si>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</si>
  <si>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</si>
  <si>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</si>
  <si>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</si>
  <si>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</si>
  <si>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</si>
  <si>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</si>
  <si>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</si>
  <si>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</si>
  <si>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</si>
  <si>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</si>
  <si>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</si>
  <si>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</si>
  <si>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</si>
  <si>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</si>
  <si>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</si>
  <si>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</si>
  <si>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</si>
  <si>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</si>
  <si>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</si>
  <si>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</si>
  <si>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</si>
  <si>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</si>
  <si>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</si>
  <si>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</si>
  <si>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</si>
  <si>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</si>
  <si>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</si>
  <si>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</si>
  <si>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</si>
  <si>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</si>
  <si>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</si>
  <si>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</si>
  <si>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</si>
  <si>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</si>
  <si>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</si>
  <si>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</si>
  <si>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</si>
  <si>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</si>
  <si>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</si>
  <si>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</si>
  <si>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</si>
  <si>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</si>
  <si>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</si>
  <si>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</si>
  <si>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</si>
  <si>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</si>
  <si>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</si>
  <si>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</si>
  <si>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</si>
  <si>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</si>
  <si>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</si>
  <si>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</si>
  <si>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</si>
  <si>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</si>
  <si>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</si>
  <si>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</si>
  <si>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</si>
  <si>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</si>
  <si>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</si>
  <si>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</si>
  <si>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</si>
  <si>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</si>
  <si>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</si>
  <si>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</si>
  <si>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</si>
  <si>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</si>
  <si>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</si>
  <si>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</si>
  <si>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</si>
  <si>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</si>
  <si>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</si>
  <si>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</si>
  <si>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</si>
  <si>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</si>
  <si>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</si>
  <si>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</si>
  <si>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</si>
  <si>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</si>
  <si>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</si>
  <si>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</si>
  <si>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</si>
  <si>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</si>
  <si>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</si>
  <si>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</si>
  <si>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</si>
  <si>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</si>
  <si>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</si>
  <si>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</si>
  <si>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</si>
  <si>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</si>
  <si>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</si>
  <si>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</si>
  <si>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</si>
  <si>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</si>
  <si>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</si>
  <si>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</si>
  <si>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</si>
  <si>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</si>
  <si>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</si>
  <si>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</si>
  <si>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</si>
  <si>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</si>
  <si>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</si>
  <si>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</si>
  <si>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</si>
  <si>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</si>
  <si>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</si>
  <si>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</si>
  <si>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</si>
  <si>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</si>
  <si>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</si>
  <si>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</si>
  <si>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</si>
  <si>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</si>
  <si>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</si>
  <si>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</si>
  <si>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</si>
  <si>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</si>
  <si>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</si>
  <si>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</si>
  <si>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</si>
  <si>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</si>
  <si>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</si>
  <si>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</si>
  <si>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</si>
  <si>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</si>
  <si>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</si>
  <si>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</si>
  <si>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</si>
  <si>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</si>
  <si>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</si>
  <si>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</si>
  <si>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</si>
  <si>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</si>
  <si>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</si>
  <si>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</si>
  <si>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</si>
  <si>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</si>
  <si>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</si>
  <si>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</si>
  <si>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</si>
  <si>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</si>
  <si>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</si>
  <si>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</si>
  <si>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</si>
  <si>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</si>
  <si>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</si>
  <si>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</si>
  <si>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</si>
  <si>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</si>
  <si>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</si>
  <si>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</si>
  <si>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</si>
  <si>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</si>
  <si>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</si>
  <si>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</si>
  <si>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</si>
  <si>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</si>
  <si>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</si>
  <si>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</si>
  <si>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</si>
  <si>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</si>
  <si>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</si>
  <si>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</si>
  <si>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</si>
  <si>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</si>
  <si>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</si>
  <si>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</si>
  <si>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</si>
  <si>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</si>
  <si>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</si>
  <si>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</si>
  <si>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</si>
  <si>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</si>
  <si>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</si>
  <si>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</si>
  <si>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</si>
  <si>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</si>
  <si>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</si>
  <si>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</si>
  <si>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</si>
  <si>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</si>
  <si>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</si>
  <si>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</si>
  <si>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</si>
  <si>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</si>
  <si>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</si>
  <si>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</si>
  <si>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</si>
  <si>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</si>
  <si>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</si>
  <si>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</si>
  <si>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</si>
  <si>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</si>
  <si>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</si>
  <si>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</si>
  <si>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</si>
  <si>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</si>
  <si>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</si>
  <si>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</si>
  <si>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</si>
  <si>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</si>
  <si>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</si>
  <si>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</si>
  <si>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</si>
  <si>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</si>
  <si>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</si>
  <si>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</si>
  <si>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</si>
  <si>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</si>
  <si>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</si>
  <si>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</si>
  <si>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</si>
  <si>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</si>
  <si>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</si>
  <si>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</si>
  <si>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</si>
  <si>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</si>
  <si>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</si>
  <si>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</si>
  <si>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</si>
  <si>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</si>
  <si>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</si>
  <si>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</si>
  <si>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</si>
  <si>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</si>
  <si>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</si>
  <si>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</si>
  <si>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</si>
  <si>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</si>
  <si>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</si>
  <si>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</si>
  <si>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</si>
  <si>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</si>
  <si>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</si>
  <si>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</si>
  <si>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</si>
  <si>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</si>
  <si>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</si>
  <si>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</si>
  <si>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</si>
  <si>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</si>
  <si>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</si>
  <si>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</si>
  <si>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</si>
  <si>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</si>
  <si>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</si>
  <si>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</si>
  <si>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</si>
  <si>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</si>
  <si>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</si>
  <si>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</si>
  <si>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</si>
  <si>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</si>
  <si>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</si>
  <si>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</si>
  <si>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</si>
  <si>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</si>
  <si>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</si>
  <si>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</si>
  <si>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</si>
  <si>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</si>
  <si>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</si>
  <si>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</si>
  <si>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</si>
  <si>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</si>
  <si>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</si>
  <si>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</si>
  <si>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</si>
  <si>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</si>
  <si>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</si>
  <si>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</si>
  <si>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</si>
  <si>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</si>
  <si>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</si>
  <si>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</si>
  <si>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</si>
  <si>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</si>
  <si>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</si>
  <si>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</si>
  <si>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</si>
  <si>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</si>
  <si>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</si>
  <si>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</si>
  <si>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</si>
  <si>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</si>
  <si>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</si>
  <si>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</si>
  <si>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</si>
  <si>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</si>
  <si>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</si>
  <si>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</si>
  <si>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</si>
  <si>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</si>
  <si>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</si>
  <si>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</si>
  <si>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</si>
  <si>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</si>
  <si>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</si>
  <si>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</si>
  <si>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</si>
  <si>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</si>
  <si>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</si>
  <si>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</si>
  <si>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</si>
  <si>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</si>
  <si>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</si>
  <si>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</si>
  <si>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</si>
  <si>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</si>
  <si>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</si>
  <si>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</si>
  <si>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</si>
  <si>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</si>
  <si>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</si>
  <si>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</si>
  <si>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</si>
  <si>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</si>
  <si>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</si>
  <si>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</si>
  <si>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</si>
  <si>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</si>
  <si>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</si>
  <si>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</si>
  <si>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</si>
  <si>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</si>
  <si>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</si>
  <si>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</si>
  <si>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</si>
  <si>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</si>
  <si>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</si>
  <si>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</si>
  <si>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</si>
  <si>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</si>
  <si>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</si>
  <si>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</si>
  <si>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</si>
  <si>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</si>
  <si>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</si>
  <si>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</si>
  <si>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</si>
  <si>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</si>
  <si>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</si>
  <si>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</si>
  <si>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</si>
  <si>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</si>
  <si>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</si>
  <si>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</si>
  <si>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</si>
  <si>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</si>
  <si>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</si>
  <si>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</si>
  <si>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</si>
  <si>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</si>
  <si>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</si>
  <si>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</si>
  <si>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</si>
  <si>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</si>
  <si>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</si>
  <si>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</si>
  <si>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</si>
  <si>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</si>
  <si>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</si>
  <si>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</si>
  <si>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</si>
  <si>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</si>
  <si>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</si>
  <si>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</si>
  <si>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</si>
  <si>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</si>
  <si>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</si>
  <si>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</si>
  <si>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</si>
  <si>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</si>
  <si>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</si>
  <si>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</si>
  <si>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</si>
  <si>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</si>
  <si>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</si>
  <si>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</si>
  <si>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</si>
  <si>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</si>
  <si>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</si>
  <si>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</si>
  <si>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</si>
  <si>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</si>
  <si>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</si>
  <si>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</si>
  <si>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</si>
  <si>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</si>
  <si>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</si>
  <si>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</si>
  <si>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</si>
  <si>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</si>
  <si>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</si>
  <si>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</si>
  <si>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</si>
  <si>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</si>
  <si>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</si>
  <si>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</si>
  <si>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</si>
  <si>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</si>
  <si>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</si>
  <si>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</si>
  <si>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</si>
  <si>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</si>
  <si>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</si>
  <si>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</si>
  <si>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</si>
  <si>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</si>
  <si>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</si>
  <si>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</si>
  <si>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</si>
  <si>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</si>
  <si>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</si>
  <si>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</si>
  <si>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</si>
  <si>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</si>
  <si>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</si>
  <si>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</si>
  <si>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</si>
  <si>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</si>
  <si>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</si>
  <si>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</si>
  <si>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</si>
  <si>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</si>
  <si>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</si>
  <si>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</si>
  <si>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</si>
  <si>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</si>
  <si>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</si>
  <si>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</si>
  <si>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</si>
  <si>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</si>
  <si>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</si>
  <si>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</si>
  <si>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</si>
  <si>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</si>
  <si>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</si>
  <si>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</si>
  <si>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</si>
  <si>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</si>
  <si>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</si>
  <si>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</si>
  <si>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</si>
  <si>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</si>
  <si>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</si>
  <si>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</si>
  <si>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</si>
  <si>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</si>
  <si>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</si>
  <si>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</si>
  <si>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</si>
  <si>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</si>
  <si>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</si>
  <si>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</si>
  <si>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</si>
  <si>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</si>
  <si>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</si>
  <si>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</si>
  <si>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</si>
  <si>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</si>
  <si>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</si>
  <si>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</si>
  <si>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</si>
  <si>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</si>
  <si>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</si>
  <si>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</si>
  <si>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</si>
  <si>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</si>
  <si>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</si>
  <si>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</si>
  <si>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</si>
  <si>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</si>
  <si>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</si>
  <si>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</si>
  <si>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</si>
  <si>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</si>
  <si>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</si>
  <si>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</si>
  <si>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</si>
  <si>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</si>
  <si>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</si>
  <si>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</si>
  <si>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</si>
  <si>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</si>
  <si>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</si>
  <si>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</si>
  <si>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</si>
  <si>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</si>
  <si>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</si>
  <si>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</si>
  <si>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</si>
  <si>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</si>
  <si>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</si>
  <si>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</si>
  <si>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</si>
  <si>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</si>
  <si>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</si>
  <si>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</si>
  <si>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</si>
  <si>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</si>
  <si>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</si>
  <si>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</si>
  <si>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</si>
  <si>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</si>
  <si>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</si>
  <si>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</si>
  <si>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</si>
  <si>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</si>
  <si>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</si>
  <si>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</si>
  <si>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</si>
  <si>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</si>
  <si>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</si>
  <si>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</si>
  <si>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</si>
  <si>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</si>
  <si>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</si>
  <si>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</si>
  <si>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</si>
  <si>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</si>
  <si>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</si>
  <si>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</si>
  <si>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</si>
  <si>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</si>
  <si>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</si>
  <si>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</si>
  <si>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</si>
  <si>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</si>
  <si>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</si>
  <si>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</si>
  <si>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</si>
  <si>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</si>
  <si>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</si>
  <si>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</si>
  <si>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</si>
  <si>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</si>
  <si>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</si>
  <si>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</si>
  <si>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</si>
  <si>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</si>
  <si>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</si>
  <si>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</si>
  <si>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</si>
  <si>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</si>
  <si>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</si>
  <si>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</si>
  <si>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</si>
  <si>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</si>
  <si>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</si>
  <si>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</si>
  <si>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</si>
  <si>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</si>
  <si>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</si>
  <si>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</si>
  <si>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</si>
  <si>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</si>
  <si>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</si>
  <si>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</si>
  <si>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</si>
  <si>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</si>
  <si>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</si>
  <si>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</si>
  <si>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</si>
  <si>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</si>
  <si>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</si>
  <si>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</si>
  <si>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</si>
  <si>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</si>
  <si>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</si>
  <si>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</si>
  <si>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</si>
  <si>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</si>
  <si>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</si>
  <si>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</si>
  <si>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</si>
  <si>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</si>
  <si>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</si>
  <si>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</si>
  <si>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</si>
  <si>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</si>
  <si>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</si>
  <si>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</si>
  <si>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</si>
  <si>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</si>
  <si>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</si>
  <si>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</si>
  <si>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</si>
  <si>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</si>
  <si>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</si>
  <si>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</si>
  <si>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</si>
  <si>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</si>
  <si>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</si>
  <si>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</si>
  <si>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</si>
  <si>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</si>
  <si>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</si>
  <si>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</si>
  <si>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</si>
  <si>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</si>
  <si>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</si>
  <si>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</si>
  <si>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</si>
  <si>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</si>
  <si>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</si>
  <si>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</si>
  <si>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</si>
  <si>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</si>
  <si>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</si>
  <si>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</si>
  <si>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</si>
  <si>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</si>
  <si>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</si>
  <si>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</si>
  <si>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</si>
  <si>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</si>
  <si>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</si>
  <si>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</si>
  <si>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</si>
  <si>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</si>
  <si>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</si>
  <si>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</si>
  <si>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</si>
  <si>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</si>
  <si>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</si>
  <si>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</si>
  <si>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</si>
  <si>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</si>
  <si>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</si>
  <si>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</si>
  <si>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</si>
  <si>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</si>
  <si>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</si>
  <si>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</si>
  <si>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</si>
  <si>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</si>
  <si>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</si>
  <si>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</si>
  <si>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</si>
  <si>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</si>
  <si>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</si>
  <si>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</si>
  <si>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</si>
  <si>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</si>
  <si>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</si>
  <si>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</si>
  <si>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</si>
  <si>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</si>
  <si>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</si>
  <si>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</si>
  <si>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</si>
  <si>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</si>
  <si>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</si>
  <si>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</si>
  <si>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</si>
  <si>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</si>
  <si>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</si>
  <si>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</si>
  <si>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</si>
  <si>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</si>
  <si>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</si>
  <si>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</si>
  <si>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</si>
  <si>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</si>
  <si>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</si>
  <si>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</si>
  <si>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</si>
  <si>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</si>
  <si>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</si>
  <si>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</si>
  <si>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</si>
  <si>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</si>
  <si>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</si>
  <si>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</si>
  <si>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</si>
  <si>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</si>
  <si>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</si>
  <si>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</si>
  <si>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</si>
  <si>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</si>
  <si>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</si>
  <si>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</si>
  <si>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</si>
  <si>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</si>
  <si>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</si>
  <si>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</si>
  <si>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</si>
  <si>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</si>
  <si>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</si>
  <si>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</si>
  <si>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</si>
  <si>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</si>
  <si>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</si>
  <si>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</si>
  <si>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</si>
  <si>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</si>
  <si>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</si>
  <si>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</si>
  <si>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</si>
  <si>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</si>
  <si>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</si>
  <si>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</si>
  <si>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</si>
  <si>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</si>
  <si>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</si>
  <si>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</si>
  <si>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</si>
  <si>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</si>
  <si>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</si>
  <si>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</si>
  <si>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</si>
  <si>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</si>
  <si>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</si>
  <si>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</si>
  <si>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</si>
  <si>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</si>
  <si>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</si>
  <si>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</si>
  <si>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</si>
  <si>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</si>
  <si>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</si>
  <si>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</si>
  <si>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</si>
  <si>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</si>
  <si>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</si>
  <si>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</si>
  <si>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</si>
  <si>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</si>
  <si>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</si>
  <si>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</si>
  <si>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</si>
  <si>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</si>
  <si>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</si>
  <si>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</si>
  <si>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</si>
  <si>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</si>
  <si>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</si>
  <si>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</si>
  <si>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</si>
  <si>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</si>
  <si>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</si>
  <si>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</si>
  <si>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</si>
  <si>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</si>
  <si>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</si>
  <si>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</si>
  <si>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</si>
  <si>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</si>
  <si>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</si>
  <si>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</si>
  <si>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</si>
  <si>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</si>
  <si>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</si>
  <si>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</si>
  <si>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</si>
  <si>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</si>
  <si>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</si>
  <si>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</si>
  <si>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</si>
  <si>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</si>
  <si>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</si>
  <si>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</si>
  <si>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</si>
  <si>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</si>
  <si>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</si>
  <si>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</si>
  <si>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</si>
  <si>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</si>
  <si>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</si>
  <si>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</si>
  <si>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</si>
  <si>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</si>
  <si>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</si>
  <si>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</si>
  <si>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</si>
  <si>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</si>
  <si>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</si>
  <si>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</si>
  <si>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</si>
  <si>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</si>
  <si>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</si>
  <si>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</si>
  <si>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</si>
  <si>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</si>
  <si>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</si>
  <si>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</si>
  <si>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</si>
  <si>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</si>
  <si>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</si>
  <si>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</si>
  <si>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</si>
  <si>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</si>
  <si>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</si>
  <si>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</si>
  <si>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</si>
  <si>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</si>
  <si>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</si>
  <si>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</si>
  <si>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</si>
  <si>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</si>
  <si>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</si>
  <si>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</si>
  <si>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</si>
  <si>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</si>
  <si>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</si>
  <si>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</si>
  <si>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</si>
  <si>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</si>
  <si>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</si>
  <si>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</si>
  <si>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</si>
  <si>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</si>
  <si>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</si>
  <si>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</si>
  <si>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</si>
  <si>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</si>
  <si>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</si>
  <si>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</si>
  <si>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</si>
  <si>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</si>
  <si>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</si>
  <si>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</si>
  <si>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</si>
  <si>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</si>
  <si>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</si>
  <si>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</si>
  <si>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</si>
  <si>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</si>
  <si>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</si>
  <si>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</si>
  <si>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</si>
  <si>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</si>
  <si>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</si>
  <si>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</si>
  <si>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</si>
  <si>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</si>
  <si>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</si>
  <si>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</si>
  <si>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</si>
  <si>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</si>
  <si>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</si>
  <si>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</si>
  <si>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</si>
  <si>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</si>
  <si>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</si>
  <si>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</si>
  <si>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</si>
  <si>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</si>
  <si>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</si>
  <si>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</si>
  <si>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</si>
  <si>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</si>
  <si>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</si>
  <si>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</si>
  <si>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</si>
  <si>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</si>
  <si>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</si>
  <si>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</si>
  <si>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</si>
  <si>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</si>
  <si>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</si>
  <si>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</si>
  <si>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</si>
  <si>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</si>
  <si>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</si>
  <si>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</si>
  <si>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</si>
  <si>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</si>
  <si>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</si>
  <si>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</si>
  <si>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</si>
  <si>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</si>
  <si>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</si>
  <si>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</si>
  <si>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</si>
  <si>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</si>
  <si>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</si>
  <si>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</si>
  <si>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</si>
  <si>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</si>
  <si>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</si>
  <si>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</si>
  <si>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</si>
  <si>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</si>
  <si>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</si>
  <si>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</si>
  <si>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</si>
  <si>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</si>
  <si>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</si>
  <si>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</si>
  <si>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</si>
  <si>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</si>
  <si>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</si>
  <si>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</si>
  <si>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</si>
  <si>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</si>
  <si>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</si>
  <si>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</si>
  <si>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</si>
  <si>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</si>
  <si>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</si>
  <si>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</si>
  <si>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</si>
  <si>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</si>
  <si>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</si>
  <si>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</si>
  <si>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</si>
  <si>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</si>
  <si>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</si>
  <si>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</si>
  <si>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</si>
  <si>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</si>
  <si>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</si>
  <si>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</si>
  <si>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</si>
  <si>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</si>
  <si>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</si>
  <si>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</si>
  <si>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</si>
  <si>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</si>
  <si>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</si>
  <si>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</si>
  <si>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</si>
  <si>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</si>
  <si>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</si>
  <si>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</si>
  <si>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</si>
  <si>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</si>
  <si>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</si>
  <si>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</si>
  <si>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</si>
  <si>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</si>
  <si>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</si>
  <si>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</si>
  <si>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</si>
  <si>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</si>
  <si>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</si>
  <si>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</si>
  <si>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</si>
  <si>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</si>
  <si>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</si>
  <si>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</si>
  <si>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</si>
  <si>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</si>
  <si>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</si>
  <si>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</si>
  <si>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</si>
  <si>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</si>
  <si>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</si>
  <si>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</si>
  <si>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</si>
  <si>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</si>
  <si>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</si>
  <si>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</si>
  <si>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</si>
  <si>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</si>
  <si>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</si>
  <si>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</si>
  <si>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</si>
  <si>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</si>
  <si>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</si>
  <si>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</si>
  <si>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</si>
  <si>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</si>
  <si>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</si>
  <si>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</si>
  <si>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</si>
  <si>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</si>
  <si>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</si>
  <si>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</si>
  <si>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</si>
  <si>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</si>
  <si>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</si>
  <si>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</si>
  <si>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</si>
  <si>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</si>
  <si>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</si>
  <si>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</si>
  <si>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</si>
  <si>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</si>
  <si>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</si>
  <si>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</si>
  <si>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</si>
  <si>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</si>
  <si>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</si>
  <si>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</si>
  <si>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</si>
  <si>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</si>
  <si>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</si>
  <si>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</si>
  <si>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</si>
  <si>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</si>
  <si>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</si>
  <si>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</si>
  <si>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</si>
  <si>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</si>
  <si>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</si>
  <si>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</si>
  <si>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</si>
  <si>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</si>
  <si>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</si>
  <si>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</si>
  <si>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</si>
  <si>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</si>
  <si>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</si>
  <si>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</si>
  <si>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</si>
  <si>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</si>
  <si>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</si>
  <si>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</si>
  <si>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</si>
  <si>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</si>
  <si>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</si>
  <si>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</si>
  <si>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</si>
  <si>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</si>
  <si>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</si>
  <si>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</si>
  <si>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</si>
  <si>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</si>
  <si>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</si>
  <si>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</si>
  <si>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</si>
  <si>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</si>
  <si>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</si>
  <si>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</si>
  <si>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</si>
  <si>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</si>
  <si>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</si>
  <si>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</si>
  <si>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</si>
  <si>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</si>
  <si>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</si>
  <si>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</si>
  <si>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</si>
  <si>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</si>
  <si>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</si>
  <si>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</si>
  <si>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</si>
  <si>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</si>
  <si>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</si>
  <si>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</si>
  <si>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</si>
  <si>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</si>
  <si>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</si>
  <si>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</si>
  <si>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</si>
  <si>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</si>
  <si>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</si>
  <si>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</si>
  <si>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</si>
  <si>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</si>
  <si>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</si>
  <si>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</si>
  <si>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</si>
  <si>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</si>
  <si>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</si>
  <si>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</si>
  <si>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</si>
  <si>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</si>
  <si>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</si>
  <si>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</si>
  <si>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</si>
  <si>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</si>
  <si>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</si>
  <si>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</si>
  <si>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</si>
  <si>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</si>
  <si>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</si>
  <si>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</si>
  <si>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</si>
  <si>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</si>
  <si>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</si>
  <si>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</si>
  <si>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</si>
  <si>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</si>
  <si>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</si>
  <si>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</si>
  <si>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</si>
  <si>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</si>
  <si>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</si>
  <si>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</si>
  <si>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</si>
  <si>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</si>
  <si>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</si>
  <si>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</si>
  <si>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</si>
  <si>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</si>
  <si>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</si>
  <si>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</si>
  <si>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</si>
  <si>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</si>
  <si>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</si>
  <si>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</si>
  <si>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</si>
  <si>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</si>
  <si>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</si>
  <si>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</si>
  <si>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</si>
  <si>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</si>
  <si>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</si>
  <si>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</si>
  <si>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</si>
  <si>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</si>
  <si>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</si>
  <si>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</si>
  <si>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</si>
  <si>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</si>
  <si>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</si>
  <si>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</si>
  <si>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</si>
  <si>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</si>
  <si>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</si>
  <si>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</si>
  <si>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</si>
  <si>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</si>
  <si>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</si>
  <si>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</si>
  <si>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</si>
  <si>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</si>
  <si>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</si>
  <si>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</si>
  <si>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</si>
  <si>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</si>
  <si>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</si>
  <si>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</si>
  <si>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</si>
  <si>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</si>
  <si>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</si>
  <si>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</si>
  <si>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</si>
  <si>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</si>
  <si>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</si>
  <si>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</si>
  <si>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</si>
  <si>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</si>
  <si>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</si>
  <si>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</si>
  <si>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</si>
  <si>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</si>
  <si>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</si>
  <si>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</si>
  <si>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</si>
  <si>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</si>
  <si>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</si>
  <si>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</si>
  <si>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</si>
  <si>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</si>
  <si>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</si>
  <si>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</si>
  <si>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</si>
  <si>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</si>
  <si>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</si>
  <si>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</si>
  <si>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</si>
  <si>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</si>
  <si>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</si>
  <si>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</si>
  <si>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</si>
  <si>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</si>
  <si>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</si>
  <si>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</si>
  <si>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</si>
  <si>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</si>
  <si>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</si>
  <si>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</si>
  <si>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</si>
  <si>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</si>
  <si>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</si>
  <si>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</si>
  <si>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</si>
  <si>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</si>
  <si>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</si>
  <si>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</si>
  <si>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</si>
  <si>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</si>
  <si>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</si>
  <si>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</si>
  <si>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</si>
  <si>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</si>
  <si>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</si>
  <si>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</si>
  <si>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</si>
  <si>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</si>
  <si>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</si>
  <si>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</si>
  <si>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</si>
  <si>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</si>
  <si>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</si>
  <si>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</si>
  <si>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</si>
  <si>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</si>
  <si>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</si>
  <si>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</si>
  <si>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</si>
  <si>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</si>
  <si>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</si>
  <si>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</si>
  <si>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</si>
  <si>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</si>
  <si>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</si>
  <si>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</si>
  <si>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</si>
  <si>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</si>
  <si>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</si>
  <si>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</si>
  <si>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</si>
  <si>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</si>
  <si>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</si>
  <si>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</si>
  <si>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</si>
  <si>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</si>
  <si>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</si>
  <si>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</si>
  <si>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</si>
  <si>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</si>
  <si>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</si>
  <si>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</si>
  <si>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</si>
  <si>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</si>
  <si>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</si>
  <si>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</si>
  <si>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</si>
  <si>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</si>
  <si>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</si>
  <si>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</si>
  <si>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</si>
  <si>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</si>
  <si>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</si>
  <si>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</si>
  <si>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</si>
  <si>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</si>
  <si>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</si>
  <si>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</si>
  <si>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</si>
  <si>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</si>
  <si>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</si>
  <si>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</si>
  <si>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</si>
  <si>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</si>
  <si>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</si>
  <si>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</si>
  <si>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</si>
  <si>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</si>
  <si>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</si>
  <si>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</si>
  <si>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</si>
  <si>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</si>
  <si>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</si>
  <si>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</si>
  <si>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</si>
  <si>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</si>
  <si>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</si>
  <si>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</si>
  <si>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</si>
  <si>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</si>
  <si>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</si>
  <si>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</si>
  <si>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</si>
  <si>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</si>
  <si>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</si>
  <si>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</si>
  <si>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</si>
  <si>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</si>
  <si>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</si>
  <si>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</si>
  <si>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</si>
  <si>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</si>
  <si>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</si>
  <si>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</si>
  <si>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</si>
  <si>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</si>
  <si>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</si>
  <si>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</si>
  <si>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</si>
  <si>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</si>
  <si>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</si>
  <si>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</si>
  <si>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</si>
  <si>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</si>
  <si>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</si>
  <si>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</si>
  <si>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</si>
  <si>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</si>
  <si>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</si>
  <si>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</si>
  <si>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</si>
  <si>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</si>
  <si>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</si>
  <si>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</si>
  <si>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</si>
  <si>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</si>
  <si>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</si>
  <si>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</si>
  <si>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</si>
  <si>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</si>
  <si>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</si>
  <si>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</si>
  <si>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</si>
  <si>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</si>
  <si>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</si>
  <si>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</si>
  <si>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</si>
  <si>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</si>
  <si>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</si>
  <si>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</si>
  <si>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</si>
  <si>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</si>
  <si>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</si>
  <si>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</si>
  <si>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</si>
  <si>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</si>
  <si>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</si>
  <si>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</si>
  <si>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</si>
  <si>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</si>
  <si>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</si>
  <si>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</si>
  <si>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</si>
  <si>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</si>
  <si>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</si>
  <si>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</si>
  <si>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</si>
  <si>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</si>
  <si>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</si>
  <si>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</si>
  <si>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</si>
  <si>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</si>
  <si>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</si>
  <si>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</si>
  <si>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</si>
  <si>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</si>
  <si>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</si>
  <si>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</si>
  <si>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</si>
  <si>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</si>
  <si>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</si>
  <si>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</si>
  <si>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</si>
  <si>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</si>
  <si>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</si>
  <si>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</si>
  <si>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</si>
  <si>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</si>
  <si>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</si>
  <si>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</si>
  <si>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</si>
  <si>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</si>
  <si>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</si>
  <si>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</si>
  <si>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</si>
  <si>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</si>
  <si>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</si>
  <si>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</si>
  <si>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</si>
  <si>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</si>
  <si>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</si>
  <si>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</si>
  <si>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</si>
  <si>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</si>
  <si>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</si>
  <si>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</si>
  <si>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</si>
  <si>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</si>
  <si>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</si>
  <si>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</si>
  <si>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</si>
  <si>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</si>
  <si>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</si>
  <si>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</si>
  <si>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</si>
  <si>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</si>
  <si>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</si>
  <si>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</si>
  <si>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</si>
  <si>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</si>
  <si>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</si>
  <si>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</si>
  <si>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</si>
  <si>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</si>
  <si>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</si>
  <si>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</si>
  <si>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</si>
  <si>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</si>
  <si>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</si>
  <si>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</si>
  <si>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</si>
  <si>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</si>
  <si>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</si>
  <si>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</si>
  <si>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</si>
  <si>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</si>
  <si>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</si>
  <si>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</si>
  <si>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</si>
  <si>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</si>
  <si>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</si>
  <si>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</si>
  <si>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</si>
  <si>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</si>
  <si>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</si>
  <si>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</si>
  <si>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</si>
  <si>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</si>
  <si>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</si>
  <si>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</si>
  <si>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</si>
  <si>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</si>
  <si>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</si>
  <si>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</si>
  <si>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</si>
  <si>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</si>
  <si>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</si>
  <si>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</si>
  <si>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</si>
  <si>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</si>
  <si>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</si>
  <si>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</si>
  <si>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</si>
  <si>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</si>
  <si>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</si>
  <si>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</si>
  <si>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</si>
  <si>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</si>
  <si>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</si>
  <si>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</si>
  <si>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</si>
  <si>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</si>
  <si>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</si>
  <si>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</si>
  <si>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</si>
  <si>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</si>
  <si>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</si>
  <si>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</si>
  <si>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</si>
  <si>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</si>
  <si>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</si>
  <si>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</si>
  <si>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</si>
  <si>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</si>
  <si>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</si>
  <si>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</si>
  <si>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</si>
  <si>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</si>
  <si>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</si>
  <si>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</si>
  <si>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</si>
  <si>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</si>
  <si>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</si>
  <si>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</si>
  <si>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</si>
  <si>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</si>
  <si>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</si>
  <si>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</si>
  <si>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</si>
  <si>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</si>
  <si>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</si>
  <si>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</si>
  <si>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</si>
  <si>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</si>
  <si>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</si>
  <si>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</si>
  <si>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</si>
  <si>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</si>
  <si>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</si>
  <si>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</si>
  <si>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</si>
  <si>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</si>
  <si>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</si>
  <si>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</si>
  <si>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</si>
  <si>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</si>
  <si>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</si>
  <si>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</si>
  <si>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</si>
  <si>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</si>
  <si>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</si>
  <si>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</si>
  <si>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</si>
  <si>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</si>
  <si>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</si>
  <si>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</si>
  <si>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</si>
  <si>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</si>
  <si>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</si>
  <si>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</si>
  <si>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</si>
  <si>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</si>
  <si>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</si>
  <si>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</si>
  <si>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</si>
  <si>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</si>
  <si>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</si>
  <si>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</si>
  <si>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</si>
  <si>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</si>
  <si>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</si>
  <si>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</si>
  <si>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</si>
  <si>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</si>
  <si>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</si>
  <si>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</si>
  <si>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</si>
  <si>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</si>
  <si>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</si>
  <si>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</si>
  <si>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</si>
  <si>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</si>
  <si>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</si>
  <si>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</si>
  <si>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</si>
  <si>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</si>
  <si>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</si>
  <si>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</si>
  <si>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</si>
  <si>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</si>
  <si>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</si>
  <si>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</si>
  <si>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</si>
  <si>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</si>
  <si>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</si>
  <si>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</si>
  <si>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</si>
  <si>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</si>
  <si>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</si>
  <si>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</si>
  <si>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</si>
  <si>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</si>
  <si>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</si>
  <si>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</si>
  <si>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</si>
  <si>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</si>
  <si>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</si>
  <si>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</si>
  <si>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</si>
  <si>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</si>
  <si>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</si>
  <si>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</si>
  <si>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</si>
  <si>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</si>
  <si>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</si>
  <si>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</si>
  <si>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</si>
  <si>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</si>
  <si>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</si>
  <si>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</si>
  <si>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</si>
  <si>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</si>
  <si>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</si>
  <si>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</si>
  <si>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</si>
  <si>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</si>
  <si>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</si>
  <si>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</si>
  <si>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</si>
  <si>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</si>
  <si>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</si>
  <si>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</si>
  <si>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</si>
  <si>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</si>
  <si>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</si>
  <si>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</si>
  <si>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</si>
  <si>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</si>
  <si>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</si>
  <si>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</si>
  <si>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</si>
  <si>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</si>
  <si>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</si>
  <si>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</si>
  <si>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</si>
  <si>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</si>
  <si>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</si>
  <si>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</si>
  <si>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</si>
  <si>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</si>
  <si>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</si>
  <si>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</si>
  <si>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</si>
  <si>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</si>
  <si>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</si>
  <si>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</si>
  <si>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</si>
  <si>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</si>
  <si>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</si>
  <si>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</si>
  <si>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</si>
  <si>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</si>
  <si>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</si>
  <si>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</si>
  <si>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</si>
  <si>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</si>
  <si>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</si>
  <si>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</si>
  <si>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</si>
  <si>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</si>
  <si>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</si>
  <si>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</si>
  <si>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</si>
  <si>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</si>
  <si>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</si>
  <si>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</si>
  <si>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</si>
  <si>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</si>
  <si>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</si>
  <si>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</si>
  <si>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</si>
  <si>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</si>
  <si>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</si>
  <si>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</si>
  <si>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</si>
  <si>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</si>
  <si>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</si>
  <si>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</si>
  <si>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</si>
  <si>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</si>
  <si>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</si>
  <si>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</si>
  <si>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</si>
  <si>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</si>
  <si>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</si>
  <si>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</si>
  <si>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</si>
  <si>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</si>
  <si>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</si>
  <si>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</si>
  <si>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</si>
  <si>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</si>
  <si>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</si>
  <si>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</si>
  <si>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</si>
  <si>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</si>
  <si>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</si>
  <si>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</si>
  <si>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</si>
  <si>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</si>
  <si>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</si>
  <si>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</si>
  <si>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</si>
  <si>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</si>
  <si>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</si>
  <si>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</si>
  <si>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</si>
  <si>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</si>
  <si>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</si>
  <si>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</si>
  <si>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</si>
  <si>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</si>
  <si>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</si>
  <si>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</si>
  <si>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</si>
  <si>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</si>
  <si>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</si>
  <si>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</si>
  <si>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</si>
  <si>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</si>
  <si>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</si>
  <si>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</si>
  <si>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</si>
  <si>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</si>
  <si>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</si>
  <si>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</si>
  <si>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</si>
  <si>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</si>
  <si>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</si>
  <si>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</si>
  <si>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</si>
  <si>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</si>
  <si>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</si>
  <si>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</si>
  <si>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</si>
  <si>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</si>
  <si>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</si>
  <si>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</si>
  <si>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</si>
  <si>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</si>
  <si>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</si>
  <si>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</si>
  <si>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</si>
  <si>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</si>
  <si>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</si>
  <si>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</si>
  <si>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</si>
  <si>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</si>
  <si>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</si>
  <si>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</si>
  <si>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</si>
  <si>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</si>
  <si>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</si>
  <si>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</si>
  <si>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</si>
  <si>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</si>
  <si>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</si>
  <si>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</si>
  <si>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</si>
  <si>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</si>
  <si>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</si>
  <si>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</si>
  <si>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</si>
  <si>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</si>
  <si>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</si>
  <si>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</si>
  <si>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</si>
  <si>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</si>
  <si>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</si>
  <si>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</si>
  <si>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</si>
  <si>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</si>
  <si>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</si>
  <si>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</si>
  <si>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</si>
  <si>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</si>
  <si>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</si>
  <si>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</si>
  <si>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</si>
  <si>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</si>
  <si>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</si>
  <si>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</si>
  <si>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</si>
  <si>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</si>
  <si>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</si>
  <si>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</si>
  <si>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</si>
  <si>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</si>
  <si>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</si>
  <si>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</si>
  <si>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</si>
  <si>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</si>
  <si>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</si>
  <si>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</si>
  <si>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</si>
  <si>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</si>
  <si>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</si>
  <si>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</si>
  <si>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</si>
  <si>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</si>
  <si>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</si>
  <si>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</si>
  <si>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</si>
  <si>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</si>
  <si>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</si>
  <si>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</si>
  <si>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</si>
  <si>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</si>
  <si>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</si>
  <si>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</si>
  <si>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</si>
  <si>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</si>
  <si>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</si>
  <si>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</si>
  <si>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</si>
  <si>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</si>
  <si>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</si>
  <si>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</si>
  <si>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</si>
  <si>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</si>
  <si>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</si>
  <si>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</si>
  <si>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</si>
  <si>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</si>
  <si>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</si>
  <si>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</si>
  <si>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</si>
  <si>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</si>
  <si>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</si>
  <si>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</si>
  <si>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</si>
  <si>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</si>
  <si>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</si>
  <si>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</si>
  <si>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</si>
  <si>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</si>
  <si>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</si>
  <si>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</si>
  <si>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</si>
  <si>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</si>
  <si>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</si>
  <si>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</si>
  <si>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</si>
  <si>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</si>
  <si>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</si>
  <si>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</si>
  <si>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</si>
  <si>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</si>
  <si>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</si>
  <si>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</si>
  <si>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</si>
  <si>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</si>
  <si>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</si>
  <si>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</si>
  <si>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</si>
  <si>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</si>
  <si>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</si>
  <si>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</si>
  <si>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</si>
  <si>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</si>
  <si>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</si>
  <si>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</si>
  <si>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</si>
  <si>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</si>
  <si>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</si>
  <si>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</si>
  <si>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</si>
  <si>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</si>
  <si>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</si>
  <si>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</si>
  <si>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</si>
  <si>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</si>
  <si>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</si>
  <si>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</si>
  <si>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</si>
  <si>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</si>
  <si>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</si>
  <si>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</si>
  <si>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</si>
  <si>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</si>
  <si>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</si>
  <si>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</si>
  <si>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</si>
  <si>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</si>
  <si>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</si>
  <si>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</si>
  <si>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</si>
  <si>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</si>
  <si>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</si>
  <si>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</si>
  <si>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</si>
  <si>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</si>
  <si>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</si>
  <si>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</si>
  <si>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</si>
  <si>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</si>
  <si>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</si>
  <si>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</si>
  <si>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</si>
  <si>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</si>
  <si>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</si>
  <si>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</si>
  <si>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</si>
  <si>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</si>
  <si>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</si>
  <si>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</si>
  <si>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</si>
  <si>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</si>
  <si>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</si>
  <si>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</si>
  <si>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</si>
  <si>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</si>
  <si>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</si>
  <si>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</si>
  <si>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</si>
  <si>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</si>
  <si>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</si>
  <si>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</si>
  <si>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</si>
  <si>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</si>
  <si>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</si>
  <si>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</si>
  <si>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</si>
  <si>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</si>
  <si>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</si>
  <si>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</si>
  <si>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</si>
  <si>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</si>
  <si>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</si>
  <si>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</si>
  <si>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</si>
  <si>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</si>
  <si>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</si>
  <si>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</si>
  <si>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</si>
  <si>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</si>
  <si>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</si>
  <si>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</si>
  <si>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</si>
  <si>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</si>
  <si>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</si>
  <si>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</si>
  <si>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</si>
  <si>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</si>
  <si>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</si>
  <si>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</si>
  <si>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</si>
  <si>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</si>
  <si>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</si>
  <si>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</si>
  <si>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</si>
  <si>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</si>
  <si>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</si>
  <si>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</si>
  <si>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</si>
  <si>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</si>
  <si>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</si>
  <si>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</si>
  <si>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</si>
  <si>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</si>
  <si>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</si>
  <si>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</si>
  <si>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</si>
  <si>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</si>
  <si>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</si>
  <si>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</si>
  <si>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</si>
  <si>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</si>
  <si>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</si>
  <si>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</si>
  <si>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</si>
  <si>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</si>
  <si>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</si>
  <si>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</si>
  <si>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</si>
  <si>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</si>
  <si>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</si>
  <si>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</si>
  <si>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</si>
  <si>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</si>
  <si>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</si>
  <si>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</si>
  <si>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</si>
  <si>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</si>
  <si>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</si>
  <si>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</si>
  <si>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</si>
  <si>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</si>
  <si>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</si>
  <si>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</si>
  <si>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</si>
  <si>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</si>
  <si>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</si>
  <si>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</si>
  <si>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</si>
  <si>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</si>
  <si>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</si>
  <si>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</si>
  <si>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</si>
  <si>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</si>
  <si>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</si>
  <si>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</si>
  <si>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</si>
  <si>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</si>
  <si>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</si>
  <si>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</si>
  <si>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</si>
  <si>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</si>
  <si>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</si>
  <si>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</si>
  <si>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</si>
  <si>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</si>
  <si>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</si>
  <si>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</si>
  <si>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</si>
  <si>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</si>
  <si>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</si>
  <si>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</si>
  <si>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</si>
  <si>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</si>
  <si>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</si>
  <si>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</si>
  <si>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</si>
  <si>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</si>
  <si>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</si>
  <si>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</si>
  <si>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</si>
  <si>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</si>
  <si>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</si>
  <si>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</si>
  <si>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</si>
  <si>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</si>
  <si>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</si>
  <si>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</si>
  <si>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</si>
  <si>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</si>
  <si>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</si>
  <si>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</si>
  <si>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</si>
  <si>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</si>
  <si>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</si>
  <si>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</si>
  <si>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</si>
  <si>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</si>
  <si>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</si>
  <si>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</si>
  <si>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</si>
  <si>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</si>
  <si>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</si>
  <si>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</si>
  <si>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</si>
  <si>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</si>
  <si>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</si>
  <si>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</si>
  <si>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</si>
  <si>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</si>
  <si>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</si>
  <si>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</si>
  <si>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</si>
  <si>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</si>
  <si>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</si>
  <si>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</si>
  <si>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</si>
  <si>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</si>
  <si>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</si>
  <si>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</si>
  <si>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</si>
  <si>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</si>
  <si>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</si>
  <si>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</si>
  <si>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</si>
  <si>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</si>
  <si>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</si>
  <si>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</si>
  <si>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</si>
  <si>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</si>
  <si>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</si>
  <si>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</si>
  <si>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</si>
  <si>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</si>
  <si>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</si>
  <si>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</si>
  <si>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</si>
  <si>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</si>
  <si>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</si>
  <si>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</si>
  <si>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</si>
  <si>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</si>
  <si>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</si>
  <si>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</si>
  <si>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</si>
  <si>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</si>
  <si>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</si>
  <si>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</si>
  <si>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</si>
  <si>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</si>
  <si>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</si>
  <si>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</si>
  <si>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</si>
  <si>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</si>
  <si>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</si>
  <si>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</si>
  <si>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</si>
  <si>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</si>
  <si>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</si>
  <si>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</si>
  <si>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</si>
  <si>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</si>
  <si>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</si>
  <si>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</si>
  <si>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</si>
  <si>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</si>
  <si>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</si>
  <si>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</si>
  <si>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</si>
  <si>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</si>
  <si>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</si>
  <si>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</si>
  <si>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</si>
  <si>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</si>
  <si>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</si>
  <si>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</si>
  <si>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</si>
  <si>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</si>
  <si>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</si>
  <si>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</si>
  <si>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</si>
  <si>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</si>
  <si>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</si>
  <si>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</si>
  <si>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</si>
  <si>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</si>
  <si>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</si>
  <si>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</si>
  <si>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</si>
  <si>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</si>
  <si>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</si>
  <si>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</si>
  <si>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</si>
  <si>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</si>
  <si>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</si>
  <si>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</si>
  <si>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</si>
  <si>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</si>
  <si>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</si>
  <si>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</si>
  <si>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</si>
  <si>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</si>
  <si>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</si>
  <si>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</si>
  <si>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</si>
  <si>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</si>
  <si>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</si>
  <si>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</si>
  <si>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</si>
  <si>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</si>
  <si>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</si>
  <si>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</si>
  <si>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</si>
  <si>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</si>
  <si>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</si>
  <si>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</si>
  <si>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</si>
  <si>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</si>
  <si>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</si>
  <si>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</si>
  <si>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</si>
  <si>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</si>
  <si>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</si>
  <si>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</si>
  <si>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</si>
  <si>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</si>
  <si>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</si>
  <si>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</si>
  <si>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</si>
  <si>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</si>
  <si>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</si>
  <si>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</si>
  <si>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</si>
  <si>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</si>
  <si>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</si>
  <si>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</si>
  <si>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</si>
  <si>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</si>
  <si>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</si>
  <si>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</si>
  <si>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</si>
  <si>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</si>
  <si>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</si>
  <si>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</si>
  <si>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</si>
  <si>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</si>
  <si>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</si>
  <si>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</si>
  <si>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</si>
  <si>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</si>
  <si>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</si>
  <si>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</si>
  <si>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</si>
  <si>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</si>
  <si>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</si>
  <si>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</si>
  <si>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</si>
  <si>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</si>
  <si>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</si>
  <si>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</si>
  <si>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</si>
  <si>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</si>
  <si>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</si>
  <si>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</si>
  <si>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</si>
  <si>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</si>
  <si>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</si>
  <si>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</si>
  <si>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</si>
  <si>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</si>
  <si>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</si>
  <si>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</si>
  <si>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</si>
  <si>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</si>
  <si>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</si>
  <si>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</si>
  <si>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</si>
  <si>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</si>
  <si>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</si>
  <si>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</si>
  <si>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</si>
  <si>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</si>
  <si>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</si>
  <si>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</si>
  <si>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</si>
  <si>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</si>
  <si>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</si>
  <si>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</si>
  <si>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</si>
  <si>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</si>
  <si>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</si>
  <si>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</si>
  <si>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</si>
  <si>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</si>
  <si>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</si>
  <si>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</si>
  <si>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</si>
  <si>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</si>
  <si>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</si>
  <si>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</si>
  <si>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</si>
  <si>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</si>
  <si>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</si>
  <si>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</si>
  <si>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</si>
  <si>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</si>
  <si>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</si>
  <si>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</si>
  <si>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</si>
  <si>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</si>
  <si>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</si>
  <si>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</si>
  <si>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</si>
  <si>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</si>
  <si>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</si>
  <si>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</si>
  <si>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</si>
  <si>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</si>
  <si>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</si>
  <si>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</si>
  <si>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</si>
  <si>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</si>
  <si>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</si>
  <si>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</si>
  <si>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</si>
  <si>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</si>
  <si>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</si>
  <si>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</si>
  <si>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</si>
  <si>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</si>
  <si>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</si>
  <si>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</si>
  <si>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</si>
  <si>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</si>
  <si>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</si>
  <si>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</si>
  <si>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</si>
  <si>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</si>
  <si>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</si>
  <si>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</si>
  <si>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</si>
  <si>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</si>
  <si>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</si>
  <si>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</si>
  <si>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</si>
  <si>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</si>
  <si>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</si>
  <si>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</si>
  <si>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</si>
  <si>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</si>
  <si>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</si>
  <si>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</si>
  <si>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</si>
  <si>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</si>
  <si>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</si>
  <si>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</si>
  <si>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</si>
  <si>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</si>
  <si>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</si>
  <si>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</si>
  <si>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</si>
  <si>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</si>
  <si>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</si>
  <si>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</si>
  <si>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</si>
  <si>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</si>
  <si>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</si>
  <si>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</si>
  <si>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</si>
  <si>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</si>
  <si>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</si>
  <si>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</si>
  <si>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</si>
  <si>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</si>
  <si>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</si>
  <si>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</si>
  <si>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</si>
  <si>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</si>
  <si>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</si>
  <si>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</si>
  <si>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</si>
  <si>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</si>
  <si>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</si>
  <si>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</si>
  <si>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</si>
  <si>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</si>
  <si>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</si>
  <si>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</si>
  <si>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</si>
  <si>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</si>
  <si>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</si>
  <si>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</si>
  <si>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</si>
  <si>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</si>
  <si>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</si>
  <si>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</si>
  <si>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</si>
  <si>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</si>
  <si>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</si>
  <si>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</si>
  <si>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</si>
  <si>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</si>
  <si>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</si>
  <si>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</si>
  <si>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</si>
  <si>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</si>
  <si>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</si>
  <si>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</si>
  <si>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</si>
  <si>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</si>
  <si>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</si>
  <si>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</si>
  <si>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</si>
  <si>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</si>
  <si>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</si>
  <si>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</si>
  <si>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</si>
  <si>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</si>
  <si>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</si>
  <si>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</si>
  <si>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</si>
  <si>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</si>
  <si>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</si>
  <si>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</si>
  <si>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</si>
  <si>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</si>
  <si>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</si>
  <si>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</si>
  <si>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</si>
  <si>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</si>
  <si>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</si>
  <si>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</si>
  <si>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</si>
  <si>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</si>
  <si>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</si>
  <si>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</si>
  <si>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</si>
  <si>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</si>
  <si>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</si>
  <si>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</si>
  <si>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</si>
  <si>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</si>
  <si>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</si>
  <si>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</si>
  <si>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</si>
  <si>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</si>
  <si>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</si>
  <si>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</si>
  <si>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</si>
  <si>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</si>
  <si>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</si>
  <si>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</si>
  <si>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</si>
  <si>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</si>
  <si>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</si>
  <si>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</si>
  <si>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</si>
  <si>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</si>
  <si>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</si>
  <si>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</si>
  <si>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</si>
  <si>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</si>
  <si>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</si>
  <si>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</si>
  <si>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</si>
  <si>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</si>
  <si>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</si>
  <si>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</si>
  <si>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</si>
  <si>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</si>
  <si>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</si>
  <si>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</si>
  <si>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</si>
  <si>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</si>
  <si>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</si>
  <si>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</si>
  <si>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</si>
  <si>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</si>
  <si>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</si>
  <si>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</si>
  <si>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</si>
  <si>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</si>
  <si>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</si>
  <si>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</si>
  <si>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</si>
  <si>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</si>
  <si>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</si>
  <si>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</si>
  <si>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</si>
  <si>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</si>
  <si>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</si>
  <si>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</si>
  <si>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</si>
  <si>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</si>
  <si>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</si>
  <si>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</si>
  <si>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</si>
  <si>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</si>
  <si>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</si>
  <si>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</si>
  <si>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</si>
  <si>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</si>
  <si>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</si>
  <si>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</si>
  <si>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</si>
  <si>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</si>
  <si>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</si>
  <si>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</si>
  <si>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</si>
  <si>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</si>
  <si>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</si>
  <si>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</si>
  <si>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</si>
  <si>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</si>
  <si>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</si>
  <si>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</si>
  <si>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</si>
  <si>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</si>
  <si>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</si>
  <si>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</si>
  <si>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</si>
  <si>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</si>
  <si>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</si>
  <si>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</si>
  <si>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</si>
  <si>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</si>
  <si>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</si>
  <si>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</si>
  <si>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</si>
  <si>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</si>
  <si>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</si>
  <si>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</si>
  <si>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</si>
  <si>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</si>
  <si>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</si>
  <si>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</si>
  <si>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</si>
  <si>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</si>
  <si>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</si>
  <si>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</si>
  <si>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</si>
  <si>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</si>
  <si>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</si>
  <si>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</si>
  <si>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</si>
  <si>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</si>
  <si>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</si>
  <si>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</si>
  <si>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</si>
  <si>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</si>
  <si>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</si>
  <si>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</si>
  <si>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</si>
  <si>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</si>
  <si>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</si>
  <si>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</si>
  <si>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</si>
  <si>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</si>
  <si>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</si>
  <si>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</si>
  <si>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</si>
  <si>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</si>
  <si>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</si>
  <si>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</si>
  <si>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</si>
  <si>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</si>
  <si>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</si>
  <si>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</si>
  <si>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</si>
  <si>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</si>
  <si>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</si>
  <si>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</si>
  <si>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</si>
  <si>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</si>
  <si>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</si>
  <si>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</si>
  <si>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</si>
  <si>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</si>
  <si>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</si>
  <si>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</si>
  <si>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</si>
  <si>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</si>
  <si>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</si>
  <si>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</si>
  <si>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</si>
  <si>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</si>
  <si>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</si>
  <si>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</si>
  <si>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</si>
  <si>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</si>
  <si>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</si>
  <si>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</si>
  <si>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</si>
  <si>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</si>
  <si>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</si>
  <si>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</si>
  <si>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</si>
  <si>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</si>
  <si>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</si>
  <si>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</si>
  <si>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</si>
  <si>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</si>
  <si>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</si>
  <si>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</si>
  <si>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</si>
  <si>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</si>
  <si>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</si>
  <si>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</si>
  <si>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</si>
  <si>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</si>
  <si>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</si>
  <si>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</si>
  <si>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</si>
  <si>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</si>
  <si>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</si>
  <si>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</si>
  <si>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</si>
  <si>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</si>
  <si>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</si>
  <si>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</si>
  <si>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</si>
  <si>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</si>
  <si>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</si>
  <si>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</si>
  <si>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</si>
  <si>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</si>
  <si>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</si>
  <si>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</si>
  <si>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</si>
  <si>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</si>
  <si>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</si>
  <si>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</si>
  <si>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</si>
  <si>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</si>
  <si>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</si>
  <si>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</si>
  <si>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</si>
  <si>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</si>
  <si>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</si>
  <si>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</si>
  <si>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</si>
  <si>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</si>
  <si>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</si>
  <si>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</si>
  <si>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</si>
  <si>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</si>
  <si>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</si>
  <si>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</si>
  <si>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</si>
  <si>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</si>
  <si>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</si>
  <si>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</si>
  <si>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</si>
  <si>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</si>
  <si>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</si>
  <si>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</si>
  <si>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</si>
  <si>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</si>
  <si>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</si>
  <si>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</si>
  <si>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</si>
  <si>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</si>
  <si>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</si>
  <si>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</si>
  <si>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</si>
  <si>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</si>
  <si>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</si>
  <si>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</si>
  <si>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</si>
  <si>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</si>
  <si>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</si>
  <si>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</si>
  <si>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</si>
  <si>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</si>
  <si>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</si>
  <si>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</si>
  <si>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</si>
  <si>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</si>
  <si>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</si>
  <si>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</si>
  <si>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</si>
  <si>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</si>
  <si>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</si>
  <si>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</si>
  <si>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</si>
  <si>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</si>
  <si>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</si>
  <si>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</si>
  <si>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</si>
  <si>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</si>
  <si>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</si>
  <si>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</si>
  <si>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</si>
  <si>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</si>
  <si>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</si>
  <si>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</si>
  <si>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</si>
  <si>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</si>
  <si>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</si>
  <si>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</si>
  <si>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</si>
  <si>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</si>
  <si>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</si>
  <si>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</si>
  <si>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</si>
  <si>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</si>
  <si>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</si>
  <si>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</si>
  <si>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</si>
  <si>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</si>
  <si>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</si>
  <si>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</si>
  <si>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</si>
  <si>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</si>
  <si>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</si>
  <si>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</si>
  <si>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</si>
  <si>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</si>
  <si>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</si>
  <si>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</si>
  <si>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</si>
  <si>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</si>
  <si>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</si>
  <si>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</si>
  <si>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</si>
  <si>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</si>
  <si>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</si>
  <si>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</si>
  <si>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</si>
  <si>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</si>
  <si>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</si>
  <si>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</si>
  <si>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</si>
  <si>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</si>
  <si>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</si>
  <si>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</si>
  <si>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</si>
  <si>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</si>
  <si>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</si>
  <si>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</si>
  <si>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</si>
  <si>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</si>
  <si>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</si>
  <si>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</si>
  <si>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</si>
  <si>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</si>
  <si>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</si>
  <si>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</si>
  <si>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</si>
  <si>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</si>
  <si>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</si>
  <si>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</si>
  <si>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</si>
  <si>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</si>
  <si>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</si>
  <si>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</si>
  <si>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</si>
  <si>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</si>
  <si>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</si>
  <si>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</si>
  <si>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</si>
  <si>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</si>
  <si>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</si>
  <si>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</si>
  <si>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</si>
  <si>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</si>
  <si>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</si>
  <si>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</si>
  <si>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</si>
  <si>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</si>
  <si>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</si>
  <si>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</si>
  <si>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</si>
  <si>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</si>
  <si>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</si>
  <si>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</si>
  <si>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</si>
  <si>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</si>
  <si>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</si>
  <si>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</si>
  <si>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</si>
  <si>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</si>
  <si>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</si>
  <si>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</si>
  <si>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</si>
  <si>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</si>
  <si>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</si>
  <si>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</si>
  <si>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</si>
  <si>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</si>
  <si>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</si>
  <si>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</si>
  <si>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</si>
  <si>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</si>
  <si>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</si>
  <si>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</si>
  <si>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</si>
  <si>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</si>
  <si>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</si>
  <si>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</si>
  <si>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</si>
  <si>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</si>
  <si>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</si>
  <si>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</si>
  <si>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</si>
  <si>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</si>
  <si>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</si>
  <si>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</si>
  <si>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</si>
  <si>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</si>
  <si>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</si>
  <si>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</si>
  <si>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</si>
  <si>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</si>
  <si>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</si>
  <si>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</si>
  <si>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</si>
  <si>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</si>
  <si>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</si>
  <si>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</si>
  <si>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</si>
  <si>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</si>
  <si>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</si>
  <si>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</si>
  <si>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</si>
  <si>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</si>
  <si>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</si>
  <si>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</si>
  <si>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</si>
  <si>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</si>
  <si>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</si>
  <si>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</si>
  <si>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</si>
  <si>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</si>
  <si>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</si>
  <si>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</si>
  <si>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</si>
  <si>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</si>
  <si>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</si>
  <si>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</si>
  <si>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</si>
  <si>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</si>
  <si>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</si>
  <si>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</si>
  <si>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</si>
  <si>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</si>
  <si>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</si>
  <si>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</si>
  <si>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</si>
  <si>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</si>
  <si>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</si>
  <si>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</si>
  <si>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</si>
  <si>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</si>
  <si>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</si>
  <si>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</si>
  <si>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</si>
  <si>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</si>
  <si>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</si>
  <si>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</si>
  <si>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</si>
  <si>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</si>
  <si>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</si>
  <si>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</si>
  <si>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</si>
  <si>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</si>
  <si>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</si>
  <si>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</si>
  <si>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</si>
  <si>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</si>
  <si>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</si>
  <si>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</si>
  <si>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</si>
  <si>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</si>
  <si>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</si>
  <si>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</si>
  <si>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</si>
  <si>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</si>
  <si>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</si>
  <si>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</si>
  <si>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</si>
  <si>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</si>
  <si>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</si>
  <si>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</si>
  <si>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</si>
  <si>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</si>
  <si>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</si>
  <si>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</si>
  <si>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</si>
  <si>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</si>
  <si>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</si>
  <si>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</si>
  <si>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</si>
  <si>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</si>
  <si>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</si>
  <si>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</si>
  <si>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</si>
  <si>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</si>
  <si>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</si>
  <si>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</si>
  <si>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</si>
  <si>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</si>
  <si>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</si>
  <si>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</si>
  <si>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</si>
  <si>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</si>
  <si>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</si>
  <si>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</si>
  <si>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</si>
  <si>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</si>
  <si>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</si>
  <si>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</si>
  <si>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</si>
  <si>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</si>
  <si>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</si>
  <si>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</si>
  <si>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</si>
  <si>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</si>
  <si>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</si>
  <si>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</si>
  <si>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</si>
  <si>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</si>
  <si>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</si>
  <si>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</si>
  <si>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</si>
  <si>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</si>
  <si>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</si>
  <si>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</si>
  <si>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</si>
  <si>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</si>
  <si>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</si>
  <si>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</si>
  <si>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</si>
  <si>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</si>
  <si>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</si>
  <si>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</si>
  <si>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</si>
  <si>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</si>
  <si>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</si>
  <si>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</si>
  <si>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</si>
  <si>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</si>
  <si>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</si>
  <si>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</si>
  <si>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</si>
  <si>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</si>
  <si>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</si>
  <si>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</si>
  <si>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</si>
  <si>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</si>
  <si>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</si>
  <si>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</si>
  <si>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</si>
  <si>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</si>
  <si>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</si>
  <si>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</si>
  <si>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</si>
  <si>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</si>
  <si>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</si>
  <si>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</si>
  <si>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</si>
  <si>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</si>
  <si>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</si>
  <si>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</si>
  <si>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</si>
  <si>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</si>
  <si>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</si>
  <si>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</si>
  <si>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</si>
  <si>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</si>
  <si>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</si>
  <si>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</si>
  <si>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</si>
  <si>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</si>
  <si>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</si>
  <si>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</si>
  <si>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</si>
  <si>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</si>
  <si>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</si>
  <si>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</si>
  <si>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</si>
  <si>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</si>
  <si>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</si>
  <si>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</si>
  <si>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</si>
  <si>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</si>
  <si>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</si>
  <si>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</si>
  <si>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</si>
  <si>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</si>
  <si>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</si>
  <si>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</si>
  <si>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</si>
  <si>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</si>
  <si>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</si>
  <si>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</si>
  <si>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</si>
  <si>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</si>
  <si>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</si>
  <si>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</si>
  <si>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</si>
  <si>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</si>
  <si>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</si>
  <si>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</si>
  <si>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</si>
  <si>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</si>
  <si>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</si>
  <si>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</si>
  <si>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</si>
  <si>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</si>
  <si>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</si>
  <si>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</si>
  <si>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</si>
  <si>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</si>
  <si>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</si>
  <si>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</si>
  <si>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</si>
  <si>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</si>
  <si>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</si>
  <si>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</si>
  <si>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</si>
  <si>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</si>
  <si>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</si>
  <si>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</si>
  <si>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</si>
  <si>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</si>
  <si>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</si>
  <si>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</si>
  <si>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</si>
  <si>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</si>
  <si>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</si>
  <si>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</si>
  <si>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</si>
  <si>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</si>
  <si>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</si>
  <si>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</si>
  <si>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</si>
  <si>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</si>
  <si>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</si>
  <si>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</si>
  <si>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</si>
  <si>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</si>
  <si>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</si>
  <si>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</si>
  <si>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</si>
  <si>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</si>
  <si>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</si>
  <si>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</si>
  <si>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</si>
  <si>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</si>
  <si>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</si>
  <si>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</si>
  <si>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</si>
  <si>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</si>
  <si>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</si>
  <si>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</si>
  <si>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</si>
  <si>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</si>
  <si>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</si>
  <si>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</si>
  <si>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</si>
  <si>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</si>
  <si>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</si>
  <si>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</si>
  <si>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</si>
  <si>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</si>
  <si>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</si>
  <si>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</si>
  <si>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</si>
  <si>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</si>
  <si>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</si>
  <si>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</si>
  <si>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</si>
  <si>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</si>
  <si>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</si>
  <si>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</si>
  <si>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</si>
  <si>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</si>
  <si>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</si>
  <si>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</si>
  <si>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</si>
  <si>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</si>
  <si>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</si>
  <si>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</si>
  <si>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</si>
  <si>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</si>
  <si>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</si>
  <si>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</si>
  <si>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</si>
  <si>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</si>
  <si>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</si>
  <si>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</si>
  <si>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</si>
  <si>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</si>
  <si>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</si>
  <si>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</si>
  <si>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</si>
  <si>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</si>
  <si>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</si>
  <si>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</si>
  <si>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</si>
  <si>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</si>
  <si>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</si>
  <si>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</si>
  <si>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</si>
  <si>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</si>
  <si>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</si>
  <si>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</si>
  <si>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</si>
  <si>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</si>
  <si>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</si>
  <si>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</si>
  <si>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</si>
  <si>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</si>
  <si>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</si>
  <si>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</si>
  <si>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</si>
  <si>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</si>
  <si>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</si>
  <si>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</si>
  <si>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</si>
  <si>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</si>
  <si>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</si>
  <si>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</si>
  <si>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</si>
  <si>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</si>
  <si>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</si>
  <si>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</si>
  <si>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</si>
  <si>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</si>
  <si>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</si>
  <si>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</si>
  <si>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</si>
  <si>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</si>
  <si>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</si>
  <si>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</si>
  <si>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</si>
  <si>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</si>
  <si>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</si>
  <si>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</si>
  <si>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</si>
  <si>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</si>
  <si>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</si>
  <si>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</si>
  <si>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</si>
  <si>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</si>
  <si>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</si>
  <si>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</si>
  <si>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</si>
  <si>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</si>
  <si>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</si>
  <si>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</si>
  <si>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</si>
  <si>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</si>
  <si>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</si>
  <si>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</si>
  <si>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</si>
  <si>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</si>
  <si>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</si>
  <si>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</si>
  <si>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</si>
  <si>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</si>
  <si>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</si>
  <si>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</si>
  <si>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</si>
  <si>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</si>
  <si>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</si>
  <si>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</si>
  <si>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</si>
  <si>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</si>
  <si>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</si>
  <si>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</si>
  <si>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</si>
  <si>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</si>
  <si>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</si>
  <si>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</si>
  <si>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</si>
  <si>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</si>
  <si>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</si>
  <si>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</si>
  <si>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</si>
  <si>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</si>
  <si>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</si>
  <si>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</si>
  <si>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</si>
  <si>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</si>
  <si>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</si>
  <si>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</si>
  <si>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</si>
  <si>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</si>
  <si>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</si>
  <si>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</si>
  <si>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</si>
  <si>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</si>
  <si>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</si>
  <si>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</si>
  <si>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</si>
  <si>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</si>
  <si>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</si>
  <si>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</si>
  <si>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</si>
  <si>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</si>
  <si>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</si>
  <si>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</si>
  <si>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</si>
  <si>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</si>
  <si>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</si>
  <si>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</si>
  <si>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</si>
  <si>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</si>
  <si>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</si>
  <si>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</si>
  <si>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</si>
  <si>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</si>
  <si>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</si>
  <si>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</si>
  <si>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</si>
  <si>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</si>
  <si>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</si>
  <si>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</si>
  <si>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</si>
  <si>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</si>
  <si>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</si>
  <si>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</si>
  <si>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</si>
  <si>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</si>
  <si>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</si>
  <si>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</si>
  <si>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</si>
  <si>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</si>
  <si>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</si>
  <si>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</si>
  <si>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</si>
  <si>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</si>
  <si>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</si>
  <si>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</si>
  <si>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</si>
  <si>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</si>
  <si>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</si>
  <si>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</si>
  <si>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</si>
  <si>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</si>
  <si>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</si>
  <si>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</si>
  <si>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</si>
  <si>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</si>
  <si>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</si>
  <si>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</si>
  <si>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</si>
  <si>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</si>
  <si>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</si>
  <si>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</si>
  <si>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</si>
  <si>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</si>
  <si>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</si>
  <si>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</si>
  <si>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</si>
  <si>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</si>
  <si>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</si>
  <si>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</si>
  <si>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</si>
  <si>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</si>
  <si>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</si>
  <si>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</si>
  <si>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</si>
  <si>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</si>
  <si>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</si>
  <si>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</si>
  <si>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</si>
  <si>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</si>
  <si>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</si>
  <si>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</si>
  <si>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</si>
  <si>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</si>
  <si>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</si>
  <si>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</si>
  <si>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</si>
  <si>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</si>
  <si>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</si>
  <si>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</si>
  <si>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</si>
  <si>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</si>
  <si>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</si>
  <si>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</si>
  <si>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</si>
  <si>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</si>
  <si>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</si>
  <si>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</si>
  <si>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</si>
  <si>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</si>
  <si>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</si>
  <si>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</si>
  <si>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</si>
  <si>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</si>
  <si>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</si>
  <si>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</si>
  <si>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</si>
  <si>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</si>
  <si>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</si>
  <si>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</si>
  <si>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</si>
  <si>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</si>
  <si>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</si>
  <si>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</si>
  <si>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</si>
  <si>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</si>
  <si>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</si>
  <si>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</si>
  <si>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</si>
  <si>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</si>
  <si>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</si>
  <si>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</si>
  <si>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</si>
  <si>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</si>
  <si>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</si>
  <si>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</si>
  <si>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</si>
  <si>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</si>
  <si>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</si>
  <si>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</si>
  <si>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</si>
  <si>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</si>
  <si>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</si>
  <si>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</si>
  <si>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</si>
  <si>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</si>
  <si>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</si>
  <si>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</si>
  <si>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</si>
  <si>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</si>
  <si>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</si>
  <si>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</si>
  <si>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</si>
  <si>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</si>
  <si>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</si>
  <si>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</si>
  <si>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</si>
  <si>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</si>
  <si>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</si>
  <si>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</si>
  <si>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</si>
  <si>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</si>
  <si>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</si>
  <si>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</si>
  <si>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</si>
  <si>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</si>
  <si>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</si>
  <si>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</si>
  <si>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</si>
  <si>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</si>
  <si>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</si>
  <si>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</si>
  <si>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</si>
  <si>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</si>
  <si>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</si>
  <si>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</si>
  <si>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</si>
  <si>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</si>
  <si>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</si>
  <si>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</si>
  <si>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</si>
  <si>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</si>
  <si>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</si>
  <si>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</si>
  <si>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</si>
  <si>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</si>
  <si>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</si>
  <si>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</si>
  <si>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</si>
  <si>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</si>
  <si>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</si>
  <si>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</si>
  <si>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</si>
  <si>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</si>
  <si>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</si>
  <si>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</si>
  <si>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</si>
  <si>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</si>
  <si>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</si>
  <si>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</si>
  <si>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</si>
  <si>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</si>
  <si>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</si>
  <si>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</si>
  <si>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</si>
  <si>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</si>
  <si>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</si>
  <si>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</si>
  <si>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</si>
  <si>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</si>
  <si>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</si>
  <si>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</si>
  <si>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</si>
  <si>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</si>
  <si>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</si>
  <si>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</si>
  <si>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</si>
  <si>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</si>
  <si>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</si>
  <si>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</si>
  <si>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</si>
  <si>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</si>
  <si>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</si>
  <si>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</si>
  <si>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</si>
  <si>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</si>
  <si>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</si>
  <si>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</si>
  <si>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</si>
  <si>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</si>
  <si>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</si>
  <si>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</si>
  <si>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</si>
  <si>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</si>
  <si>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</si>
  <si>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</si>
  <si>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</si>
  <si>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</si>
  <si>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</si>
  <si>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</si>
  <si>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</si>
  <si>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</si>
  <si>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</si>
  <si>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</si>
  <si>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</si>
  <si>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</si>
  <si>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</si>
  <si>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</si>
  <si>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</si>
  <si>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</si>
  <si>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</si>
  <si>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</si>
  <si>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</si>
  <si>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</si>
  <si>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</si>
  <si>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</si>
  <si>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</si>
  <si>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</si>
  <si>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</si>
  <si>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</si>
  <si>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</si>
  <si>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</si>
  <si>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</si>
  <si>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</si>
  <si>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</si>
  <si>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</si>
  <si>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</si>
  <si>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</si>
  <si>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</si>
  <si>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</si>
  <si>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</si>
  <si>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</si>
  <si>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</si>
  <si>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</si>
  <si>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</si>
  <si>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</si>
  <si>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</si>
  <si>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</si>
  <si>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</si>
  <si>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</si>
  <si>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</si>
  <si>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</si>
  <si>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</si>
  <si>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</si>
  <si>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</si>
  <si>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</si>
  <si>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</si>
  <si>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</si>
  <si>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</si>
  <si>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</si>
  <si>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</si>
  <si>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</si>
  <si>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</si>
  <si>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</si>
  <si>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</si>
  <si>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</si>
  <si>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</si>
  <si>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</si>
  <si>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</si>
  <si>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</si>
  <si>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</si>
  <si>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</si>
  <si>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</si>
  <si>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</si>
  <si>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</si>
  <si>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</si>
  <si>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</si>
  <si>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</si>
  <si>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</si>
  <si>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</si>
  <si>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</si>
  <si>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</si>
  <si>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</si>
  <si>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</si>
  <si>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</si>
  <si>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</si>
  <si>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</si>
  <si>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</si>
  <si>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</si>
  <si>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</si>
  <si>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</si>
  <si>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</si>
  <si>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</si>
  <si>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</si>
  <si>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</si>
  <si>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</si>
  <si>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</si>
  <si>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</si>
  <si>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</si>
  <si>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</si>
  <si>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</si>
  <si>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</si>
  <si>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</si>
  <si>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</si>
  <si>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</si>
  <si>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</si>
  <si>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</si>
  <si>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</si>
  <si>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</si>
  <si>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</si>
  <si>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</si>
  <si>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</si>
  <si>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</si>
  <si>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</si>
  <si>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</si>
  <si>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</si>
  <si>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</si>
  <si>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</si>
  <si>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</si>
  <si>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</si>
  <si>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</si>
  <si>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</si>
  <si>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</si>
  <si>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</si>
  <si>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</si>
  <si>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</si>
  <si>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</si>
  <si>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</si>
  <si>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</si>
  <si>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</si>
  <si>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</si>
  <si>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</si>
  <si>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</si>
  <si>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</si>
  <si>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</si>
  <si>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</si>
  <si>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</si>
  <si>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</si>
  <si>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</si>
  <si>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</si>
  <si>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</si>
  <si>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</si>
  <si>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</si>
  <si>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</si>
  <si>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</si>
  <si>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</si>
  <si>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</si>
  <si>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</si>
  <si>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</si>
  <si>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</si>
  <si>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</si>
  <si>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</si>
  <si>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</si>
  <si>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</si>
  <si>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</si>
  <si>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</si>
  <si>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</si>
  <si>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</si>
  <si>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</si>
  <si>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</si>
  <si>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</si>
  <si>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</si>
  <si>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</si>
  <si>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</si>
  <si>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</si>
  <si>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</si>
  <si>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</si>
  <si>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</si>
  <si>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</si>
  <si>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</si>
  <si>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</si>
  <si>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</si>
  <si>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</si>
  <si>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</si>
  <si>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</si>
  <si>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</si>
  <si>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</si>
  <si>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</si>
  <si>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</si>
  <si>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</si>
  <si>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</si>
  <si>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</si>
  <si>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</si>
  <si>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</si>
  <si>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</si>
  <si>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</si>
  <si>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</si>
  <si>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</si>
  <si>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</si>
  <si>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</si>
  <si>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</si>
  <si>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</si>
  <si>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</si>
  <si>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</si>
  <si>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</si>
  <si>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</si>
  <si>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</si>
  <si>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</si>
  <si>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</si>
  <si>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</si>
  <si>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</si>
  <si>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</si>
  <si>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</si>
  <si>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</si>
  <si>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</si>
  <si>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</si>
  <si>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</si>
  <si>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</si>
  <si>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</si>
  <si>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</si>
  <si>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</si>
  <si>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</si>
  <si>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</si>
  <si>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</si>
  <si>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</si>
  <si>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</si>
  <si>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</si>
  <si>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</si>
  <si>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</si>
  <si>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</si>
  <si>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</si>
  <si>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</si>
  <si>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</si>
  <si>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</si>
  <si>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</si>
  <si>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</si>
  <si>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</si>
  <si>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</si>
  <si>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</si>
  <si>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</si>
  <si>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</si>
  <si>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</si>
  <si>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</si>
  <si>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</si>
  <si>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</si>
  <si>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</si>
  <si>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</si>
  <si>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</si>
  <si>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</si>
  <si>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</si>
  <si>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</si>
  <si>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</si>
  <si>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</si>
  <si>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</si>
  <si>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</si>
  <si>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</si>
  <si>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</si>
  <si>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</si>
  <si>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</si>
  <si>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</si>
  <si>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</si>
  <si>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</si>
  <si>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</si>
  <si>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</si>
  <si>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</si>
  <si>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</si>
  <si>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</si>
  <si>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</si>
  <si>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</si>
  <si>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</si>
  <si>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</si>
  <si>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</si>
  <si>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</si>
  <si>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</si>
  <si>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</si>
  <si>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</si>
  <si>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</si>
  <si>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</si>
  <si>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</si>
  <si>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</si>
  <si>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</si>
  <si>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</si>
  <si>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</si>
  <si>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</si>
  <si>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</si>
  <si>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</si>
  <si>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</si>
  <si>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</si>
  <si>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</si>
  <si>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</si>
  <si>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</si>
  <si>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</si>
  <si>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</si>
  <si>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</si>
  <si>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</si>
  <si>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</si>
  <si>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</si>
  <si>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</si>
  <si>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</si>
  <si>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</si>
  <si>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</si>
  <si>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</si>
  <si>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</si>
  <si>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</si>
  <si>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</si>
  <si>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</si>
  <si>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</si>
  <si>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</si>
  <si>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</si>
  <si>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</si>
  <si>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</si>
  <si>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</si>
  <si>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</si>
  <si>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</si>
  <si>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</si>
  <si>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</si>
  <si>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</si>
  <si>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</si>
  <si>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</si>
  <si>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</si>
  <si>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</si>
  <si>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</si>
  <si>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</si>
  <si>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</si>
  <si>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</si>
  <si>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</si>
  <si>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</si>
  <si>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</si>
  <si>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</si>
  <si>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</si>
  <si>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</si>
  <si>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</si>
  <si>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</si>
  <si>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</si>
  <si>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</si>
  <si>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</si>
  <si>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</si>
  <si>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</si>
  <si>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</si>
  <si>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</si>
  <si>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</si>
  <si>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</si>
  <si>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</si>
  <si>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</si>
  <si>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</si>
  <si>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</si>
  <si>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</si>
  <si>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</si>
  <si>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</si>
  <si>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</si>
  <si>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</si>
  <si>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</si>
  <si>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</si>
  <si>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</si>
  <si>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</si>
  <si>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</si>
  <si>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</si>
  <si>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</si>
  <si>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</si>
  <si>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</si>
  <si>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</si>
  <si>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</si>
  <si>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</si>
  <si>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</si>
  <si>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</si>
  <si>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</si>
  <si>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</si>
  <si>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</si>
  <si>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</si>
  <si>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</si>
  <si>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</si>
  <si>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</si>
  <si>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</si>
  <si>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</si>
  <si>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</si>
  <si>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</si>
  <si>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</si>
  <si>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</si>
  <si>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</si>
  <si>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</si>
  <si>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</si>
  <si>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</si>
  <si>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</si>
  <si>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</si>
  <si>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</si>
  <si>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</si>
  <si>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</si>
  <si>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</si>
  <si>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</si>
  <si>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</si>
  <si>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</si>
  <si>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</si>
  <si>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</si>
  <si>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</si>
  <si>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</si>
  <si>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</si>
  <si>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</si>
  <si>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</si>
  <si>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</si>
  <si>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</si>
  <si>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</si>
  <si>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</si>
  <si>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</si>
  <si>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</si>
  <si>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</si>
  <si>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</si>
  <si>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</si>
  <si>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</si>
  <si>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</si>
  <si>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</si>
  <si>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</si>
  <si>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</si>
  <si>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</si>
  <si>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</si>
  <si>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</si>
  <si>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</si>
  <si>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</si>
  <si>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</si>
  <si>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</si>
  <si>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</si>
  <si>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</si>
  <si>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</si>
  <si>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</si>
  <si>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</si>
  <si>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</si>
  <si>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</si>
  <si>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</si>
  <si>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</si>
  <si>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</si>
  <si>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</si>
  <si>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</si>
  <si>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</si>
  <si>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</si>
  <si>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</si>
  <si>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</si>
  <si>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</si>
  <si>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</si>
  <si>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</si>
  <si>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</si>
  <si>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</si>
  <si>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</si>
  <si>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</si>
  <si>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</si>
  <si>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</si>
  <si>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</si>
  <si>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</si>
  <si>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</si>
  <si>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</si>
  <si>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</si>
  <si>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</si>
  <si>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</si>
  <si>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</si>
  <si>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</si>
  <si>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</si>
  <si>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</si>
  <si>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</si>
  <si>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</si>
  <si>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</si>
  <si>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</si>
  <si>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</si>
  <si>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</si>
  <si>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</si>
  <si>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</si>
  <si>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</si>
  <si>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</si>
  <si>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</si>
  <si>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</si>
  <si>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</si>
  <si>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</si>
  <si>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</si>
  <si>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</si>
  <si>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</si>
  <si>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</si>
  <si>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</si>
  <si>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</si>
  <si>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</si>
  <si>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</si>
  <si>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</si>
  <si>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</si>
  <si>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</si>
  <si>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</si>
  <si>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</si>
  <si>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</si>
  <si>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</si>
  <si>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</si>
  <si>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</si>
  <si>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</si>
  <si>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</si>
  <si>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</si>
  <si>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</si>
  <si>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</si>
  <si>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</si>
  <si>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</si>
  <si>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</si>
  <si>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</si>
  <si>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</si>
  <si>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</si>
  <si>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</si>
  <si>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</si>
  <si>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</si>
  <si>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</si>
  <si>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</si>
  <si>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</si>
  <si>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</si>
  <si>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</si>
  <si>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</si>
  <si>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</si>
  <si>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</si>
  <si>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</si>
  <si>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</si>
  <si>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</si>
  <si>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</si>
  <si>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</si>
  <si>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</si>
  <si>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</si>
  <si>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</si>
  <si>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</si>
  <si>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</si>
  <si>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</si>
  <si>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</si>
  <si>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</si>
  <si>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</si>
  <si>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</si>
  <si>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</si>
  <si>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</si>
  <si>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</si>
  <si>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</si>
  <si>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</si>
  <si>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</si>
  <si>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</si>
  <si>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</si>
  <si>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</si>
  <si>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</si>
  <si>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</si>
  <si>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</si>
  <si>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</si>
  <si>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</si>
  <si>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</si>
  <si>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</si>
  <si>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</si>
  <si>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</si>
  <si>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</si>
  <si>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</si>
  <si>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</si>
  <si>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</si>
  <si>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</si>
  <si>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</si>
  <si>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</si>
  <si>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</si>
  <si>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</si>
  <si>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</si>
  <si>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</si>
  <si>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</si>
  <si>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</si>
  <si>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</si>
  <si>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</si>
  <si>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</si>
  <si>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</si>
  <si>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</si>
  <si>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</si>
  <si>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</si>
  <si>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</si>
  <si>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</si>
  <si>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</si>
  <si>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</si>
  <si>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</si>
  <si>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</si>
  <si>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</si>
  <si>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</si>
  <si>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</si>
  <si>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</si>
  <si>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</si>
  <si>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</si>
  <si>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</si>
  <si>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</si>
  <si>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</si>
  <si>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</si>
  <si>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</si>
  <si>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</si>
  <si>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</si>
  <si>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</si>
  <si>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</si>
  <si>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</si>
  <si>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</si>
  <si>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</si>
  <si>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</si>
  <si>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</si>
  <si>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</si>
  <si>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</si>
  <si>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</si>
  <si>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</si>
  <si>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</si>
  <si>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</si>
  <si>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</si>
  <si>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</si>
  <si>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</si>
  <si>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</si>
  <si>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</si>
  <si>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</si>
  <si>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</si>
  <si>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</si>
  <si>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</si>
  <si>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</si>
  <si>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</si>
  <si>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</si>
  <si>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</si>
  <si>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</si>
  <si>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</si>
  <si>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</si>
  <si>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</si>
  <si>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</si>
  <si>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</si>
  <si>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</si>
  <si>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</si>
  <si>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</si>
  <si>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</si>
  <si>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</si>
  <si>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</si>
  <si>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</si>
  <si>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</si>
  <si>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</si>
  <si>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</si>
  <si>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</si>
  <si>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</si>
  <si>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</si>
  <si>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</si>
  <si>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</si>
  <si>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</si>
  <si>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</si>
  <si>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</si>
  <si>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</si>
  <si>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</si>
  <si>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</si>
  <si>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</si>
  <si>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</si>
  <si>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</si>
  <si>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</si>
  <si>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</si>
  <si>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</si>
  <si>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</si>
  <si>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</si>
  <si>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</si>
  <si>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</si>
  <si>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</si>
  <si>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</si>
  <si>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</si>
  <si>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</si>
  <si>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</si>
  <si>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</si>
  <si>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</si>
  <si>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</si>
  <si>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</si>
  <si>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</si>
  <si>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</si>
  <si>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</si>
  <si>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</si>
  <si>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</si>
  <si>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</si>
  <si>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</si>
  <si>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</si>
  <si>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</si>
  <si>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</si>
  <si>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</si>
  <si>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</si>
  <si>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</si>
  <si>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</si>
  <si>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</si>
  <si>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</si>
  <si>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</si>
  <si>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</si>
  <si>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</si>
  <si>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</si>
  <si>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</si>
  <si>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</si>
  <si>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</si>
  <si>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</si>
  <si>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</si>
  <si>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</si>
  <si>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</si>
  <si>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</si>
  <si>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</si>
  <si>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</si>
  <si>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</si>
  <si>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</si>
  <si>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</si>
  <si>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</si>
  <si>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</si>
  <si>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</si>
  <si>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</si>
  <si>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</si>
  <si>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</si>
  <si>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</si>
  <si>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</si>
  <si>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</si>
  <si>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</si>
  <si>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</si>
  <si>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</si>
  <si>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</si>
  <si>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</si>
  <si>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</si>
  <si>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</si>
  <si>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</si>
  <si>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</si>
  <si>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</si>
  <si>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</si>
  <si>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</si>
  <si>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</si>
  <si>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</si>
  <si>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</si>
  <si>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</si>
  <si>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</si>
  <si>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</si>
  <si>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</si>
  <si>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</si>
  <si>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</si>
  <si>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</si>
  <si>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</si>
  <si>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</si>
  <si>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</si>
  <si>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</si>
  <si>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</si>
  <si>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</si>
  <si>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</si>
  <si>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</si>
  <si>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</si>
  <si>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</si>
  <si>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</si>
  <si>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</si>
  <si>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</si>
  <si>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</si>
  <si>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</si>
  <si>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</si>
  <si>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</si>
  <si>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</si>
  <si>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</si>
  <si>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</si>
  <si>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</si>
  <si>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</si>
  <si>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</si>
  <si>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</si>
  <si>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</si>
  <si>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</si>
  <si>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</si>
  <si>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</si>
  <si>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</si>
  <si>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</si>
  <si>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</si>
  <si>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</si>
  <si>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</si>
  <si>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</si>
  <si>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</si>
  <si>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</si>
  <si>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</si>
  <si>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</si>
  <si>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</si>
  <si>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</si>
  <si>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</si>
  <si>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</si>
  <si>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</si>
  <si>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</si>
  <si>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</si>
  <si>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</si>
  <si>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</si>
  <si>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</si>
  <si>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</si>
  <si>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</si>
  <si>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</si>
  <si>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</si>
  <si>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</si>
  <si>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</si>
  <si>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</si>
  <si>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</si>
  <si>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</si>
  <si>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</si>
  <si>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</si>
  <si>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</si>
  <si>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</si>
  <si>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</si>
  <si>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</si>
  <si>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</si>
  <si>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</si>
  <si>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</si>
  <si>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</si>
  <si>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</si>
  <si>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</si>
  <si>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</si>
  <si>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</si>
  <si>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</si>
  <si>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</si>
  <si>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</si>
  <si>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</si>
  <si>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</si>
  <si>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</si>
  <si>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</si>
  <si>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</si>
  <si>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</si>
  <si>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</si>
  <si>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</si>
  <si>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</si>
  <si>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</si>
  <si>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</si>
  <si>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</si>
  <si>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</si>
  <si>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</si>
  <si>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</si>
  <si>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</si>
  <si>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</si>
  <si>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</si>
  <si>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</si>
  <si>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</si>
  <si>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</si>
  <si>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</si>
  <si>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</si>
  <si>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</si>
  <si>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</si>
  <si>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</si>
  <si>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</si>
  <si>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</si>
  <si>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</si>
  <si>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</si>
  <si>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</si>
  <si>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</si>
  <si>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</si>
  <si>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</si>
  <si>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</si>
  <si>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</si>
  <si>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</si>
  <si>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</si>
  <si>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</si>
  <si>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</si>
  <si>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</si>
  <si>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</si>
  <si>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</si>
  <si>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</si>
  <si>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</si>
  <si>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</si>
  <si>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</si>
  <si>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</si>
  <si>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</si>
  <si>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</si>
  <si>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</si>
  <si>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</si>
  <si>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</si>
  <si>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</si>
  <si>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</si>
  <si>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</si>
  <si>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</si>
  <si>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</si>
  <si>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</si>
  <si>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</si>
  <si>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</si>
  <si>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</si>
  <si>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</si>
  <si>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</si>
  <si>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</si>
  <si>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</si>
  <si>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</si>
  <si>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</si>
  <si>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</si>
  <si>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</si>
  <si>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</si>
  <si>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</si>
  <si>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</si>
  <si>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</si>
  <si>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</si>
  <si>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</si>
  <si>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</si>
  <si>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</si>
  <si>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</si>
  <si>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</si>
  <si>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</si>
  <si>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</si>
  <si>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</si>
  <si>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</si>
  <si>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</si>
  <si>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</si>
  <si>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</si>
  <si>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</si>
  <si>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</si>
  <si>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</si>
  <si>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</si>
  <si>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</si>
  <si>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</si>
  <si>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</si>
  <si>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</si>
  <si>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</si>
  <si>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</si>
  <si>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</si>
  <si>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</si>
  <si>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</si>
  <si>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</si>
  <si>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</si>
  <si>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</si>
  <si>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</si>
  <si>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</si>
  <si>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</si>
  <si>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</si>
  <si>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</si>
  <si>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</si>
  <si>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</si>
  <si>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</si>
  <si>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</si>
  <si>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</si>
  <si>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</si>
  <si>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</si>
  <si>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</si>
  <si>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</si>
  <si>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</si>
  <si>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</si>
  <si>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</si>
  <si>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</si>
  <si>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</si>
  <si>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</si>
  <si>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</si>
  <si>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</si>
  <si>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</si>
  <si>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</si>
  <si>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</si>
  <si>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</si>
  <si>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</si>
  <si>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</si>
  <si>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</si>
  <si>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</si>
  <si>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</si>
  <si>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</si>
  <si>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</si>
  <si>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</si>
  <si>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</si>
  <si>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</si>
  <si>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</si>
  <si>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</si>
  <si>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</si>
  <si>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</si>
  <si>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</si>
  <si>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</si>
  <si>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</si>
  <si>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</si>
  <si>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</si>
  <si>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</si>
  <si>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</si>
  <si>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</si>
  <si>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</si>
  <si>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</si>
  <si>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</si>
  <si>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</si>
  <si>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</si>
  <si>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</si>
  <si>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</si>
  <si>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</si>
  <si>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</si>
  <si>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</si>
  <si>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</si>
  <si>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</si>
  <si>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</si>
  <si>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</si>
  <si>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</si>
  <si>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</si>
  <si>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</si>
  <si>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</si>
  <si>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</si>
  <si>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</si>
  <si>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</si>
  <si>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</si>
  <si>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</si>
  <si>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</si>
  <si>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</si>
  <si>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</si>
  <si>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</si>
  <si>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</si>
  <si>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</si>
  <si>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</si>
  <si>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</si>
  <si>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</si>
  <si>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</si>
  <si>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</si>
  <si>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</si>
  <si>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</si>
  <si>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</si>
  <si>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</si>
  <si>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</si>
  <si>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</si>
  <si>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</si>
  <si>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</si>
  <si>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</si>
  <si>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</si>
  <si>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</si>
  <si>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</si>
  <si>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</si>
  <si>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</si>
  <si>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</si>
  <si>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</si>
  <si>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</si>
  <si>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</si>
  <si>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</si>
  <si>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</si>
  <si>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</si>
  <si>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</si>
  <si>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</si>
  <si>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</si>
  <si>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</si>
  <si>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</si>
  <si>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</si>
  <si>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</si>
  <si>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</si>
  <si>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</si>
  <si>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</si>
  <si>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</si>
  <si>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</si>
  <si>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</si>
  <si>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</si>
  <si>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</si>
  <si>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</si>
  <si>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</si>
  <si>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</si>
  <si>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</si>
  <si>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</si>
  <si>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</si>
  <si>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</si>
  <si>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</si>
  <si>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</si>
  <si>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</si>
  <si>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</si>
  <si>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</si>
  <si>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</si>
  <si>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</si>
  <si>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</si>
  <si>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</si>
  <si>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</si>
  <si>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</si>
  <si>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</si>
  <si>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</si>
  <si>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</si>
  <si>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</si>
  <si>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</si>
  <si>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</si>
  <si>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</si>
  <si>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</si>
  <si>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</si>
  <si>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</si>
  <si>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</si>
  <si>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</si>
  <si>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</si>
  <si>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</si>
  <si>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</si>
  <si>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</si>
  <si>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</si>
  <si>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</si>
  <si>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</si>
  <si>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</si>
  <si>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</si>
  <si>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</si>
  <si>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</si>
  <si>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</si>
  <si>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</si>
  <si>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</si>
  <si>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</si>
  <si>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</si>
  <si>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</si>
  <si>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</si>
  <si>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</si>
  <si>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</si>
  <si>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</si>
  <si>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</si>
  <si>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</si>
  <si>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</si>
  <si>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</si>
  <si>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</si>
  <si>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</si>
  <si>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</si>
  <si>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</si>
  <si>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</si>
  <si>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</si>
  <si>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</si>
  <si>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</si>
  <si>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</si>
  <si>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</si>
  <si>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</si>
  <si>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</si>
  <si>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</si>
  <si>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</si>
  <si>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</si>
  <si>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</si>
  <si>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</si>
  <si>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</si>
  <si>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</si>
  <si>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</si>
  <si>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</si>
  <si>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</si>
  <si>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</si>
  <si>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</si>
  <si>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</si>
  <si>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</si>
  <si>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</si>
  <si>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</si>
  <si>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</si>
  <si>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</si>
  <si>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</si>
  <si>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</si>
  <si>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</si>
  <si>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</si>
  <si>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</si>
  <si>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</si>
  <si>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</si>
  <si>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</si>
  <si>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</si>
  <si>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</si>
  <si>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</si>
  <si>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</si>
  <si>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</si>
  <si>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</si>
  <si>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</si>
  <si>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</si>
  <si>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</si>
  <si>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</si>
  <si>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</si>
  <si>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</si>
  <si>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</si>
  <si>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</si>
  <si>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</si>
  <si>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</si>
  <si>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</si>
  <si>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</si>
  <si>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</si>
  <si>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</si>
  <si>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</si>
  <si>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</si>
  <si>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</si>
  <si>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</si>
  <si>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</si>
  <si>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</si>
  <si>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</si>
  <si>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</si>
  <si>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</si>
  <si>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</si>
  <si>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</si>
  <si>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</si>
  <si>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</si>
  <si>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</si>
  <si>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</si>
  <si>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</si>
  <si>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</si>
  <si>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</si>
  <si>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</si>
  <si>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</si>
  <si>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</si>
  <si>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</si>
  <si>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</si>
  <si>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</si>
  <si>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</si>
  <si>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</si>
  <si>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</si>
  <si>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</si>
  <si>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</si>
  <si>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</si>
  <si>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</si>
  <si>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</si>
  <si>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</si>
  <si>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</si>
  <si>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</si>
  <si>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</si>
  <si>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</si>
  <si>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</si>
  <si>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</si>
  <si>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</si>
  <si>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</si>
  <si>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</si>
  <si>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</si>
  <si>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</si>
  <si>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</si>
  <si>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</si>
  <si>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</si>
  <si>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</si>
  <si>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</si>
  <si>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</si>
  <si>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</si>
  <si>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</si>
  <si>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</si>
  <si>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</si>
  <si>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</si>
  <si>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</si>
  <si>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</si>
  <si>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</si>
  <si>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</si>
  <si>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</si>
  <si>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</si>
  <si>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</si>
  <si>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</si>
  <si>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</si>
  <si>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</si>
  <si>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</si>
  <si>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</si>
  <si>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</si>
  <si>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</si>
  <si>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</si>
  <si>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</si>
  <si>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</si>
  <si>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</si>
  <si>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</si>
  <si>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</si>
  <si>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</si>
  <si>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</si>
  <si>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</si>
  <si>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</si>
  <si>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</si>
  <si>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</si>
  <si>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</si>
  <si>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</si>
  <si>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</si>
  <si>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</si>
  <si>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</si>
  <si>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</si>
  <si>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</si>
  <si>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</si>
  <si>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</si>
  <si>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</si>
  <si>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</si>
  <si>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</si>
  <si>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</si>
  <si>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</si>
  <si>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</si>
  <si>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</si>
  <si>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</si>
  <si>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</si>
  <si>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</si>
  <si>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</si>
  <si>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</si>
  <si>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</si>
  <si>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</si>
  <si>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</si>
  <si>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</si>
  <si>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</si>
  <si>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</si>
  <si>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</si>
  <si>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</si>
  <si>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</si>
  <si>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</si>
  <si>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</si>
  <si>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</si>
  <si>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</si>
  <si>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</si>
  <si>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</si>
  <si>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</si>
  <si>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</si>
  <si>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</si>
  <si>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</si>
  <si>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</si>
  <si>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</si>
  <si>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</si>
  <si>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</si>
  <si>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</si>
  <si>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</si>
  <si>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</si>
  <si>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</si>
  <si>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</si>
  <si>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</si>
  <si>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</si>
  <si>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</si>
  <si>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</si>
  <si>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</si>
  <si>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</si>
  <si>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</si>
  <si>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</si>
  <si>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</si>
  <si>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</si>
  <si>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</si>
  <si>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</si>
  <si>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</si>
  <si>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</si>
  <si>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</si>
  <si>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</si>
  <si>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</si>
  <si>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</si>
  <si>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</si>
  <si>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</si>
  <si>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</si>
  <si>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</si>
  <si>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</si>
  <si>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</si>
  <si>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</si>
  <si>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</si>
  <si>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</si>
  <si>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</si>
  <si>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</si>
  <si>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</si>
  <si>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</si>
  <si>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</si>
  <si>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</si>
  <si>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</si>
  <si>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</si>
  <si>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</si>
  <si>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</si>
  <si>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</si>
  <si>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</si>
  <si>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</si>
  <si>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</si>
  <si>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</si>
  <si>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</si>
  <si>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</si>
  <si>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</si>
  <si>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</si>
  <si>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</si>
  <si>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</si>
  <si>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</si>
  <si>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</si>
  <si>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</si>
  <si>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</si>
  <si>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</si>
  <si>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</si>
  <si>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</si>
  <si>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</si>
  <si>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</si>
  <si>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</si>
  <si>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</si>
  <si>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</si>
  <si>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</si>
  <si>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</si>
  <si>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</si>
  <si>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</si>
  <si>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</si>
  <si>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</si>
  <si>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</si>
  <si>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</si>
  <si>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</si>
  <si>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</si>
  <si>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</si>
  <si>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</si>
  <si>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</si>
  <si>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</si>
  <si>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</si>
  <si>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</si>
  <si>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</si>
  <si>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</si>
  <si>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</si>
  <si>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</si>
  <si>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</si>
  <si>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</si>
  <si>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</si>
  <si>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</si>
  <si>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</si>
  <si>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</si>
  <si>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</si>
  <si>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</si>
  <si>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</si>
  <si>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</si>
  <si>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</si>
  <si>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</si>
  <si>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</si>
  <si>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</si>
  <si>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</si>
  <si>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</si>
  <si>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</si>
  <si>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</si>
  <si>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</si>
  <si>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</si>
  <si>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</si>
  <si>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</si>
  <si>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</si>
  <si>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</si>
  <si>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</si>
  <si>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</si>
  <si>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</si>
  <si>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</si>
  <si>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</si>
  <si>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</si>
  <si>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</si>
  <si>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</si>
  <si>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</si>
  <si>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</si>
  <si>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</si>
  <si>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</si>
  <si>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</si>
  <si>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</si>
  <si>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</si>
  <si>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</si>
  <si>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</si>
  <si>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</si>
  <si>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</si>
  <si>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</si>
  <si>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</si>
  <si>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</si>
  <si>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</si>
  <si>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</si>
  <si>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</si>
  <si>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</si>
  <si>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</si>
  <si>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</si>
  <si>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</si>
  <si>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</si>
  <si>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</si>
  <si>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</si>
  <si>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</si>
  <si>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</si>
  <si>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</si>
  <si>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</si>
  <si>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</si>
  <si>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</si>
  <si>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</si>
  <si>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</si>
  <si>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</si>
  <si>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</si>
  <si>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</si>
  <si>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</si>
  <si>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</si>
  <si>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</si>
  <si>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</si>
  <si>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</si>
  <si>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</si>
  <si>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</si>
  <si>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</si>
  <si>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</si>
  <si>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</si>
  <si>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</si>
  <si>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</si>
  <si>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</si>
  <si>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</si>
  <si>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</si>
  <si>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</si>
  <si>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</si>
  <si>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</si>
  <si>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</si>
  <si>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</si>
  <si>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</si>
  <si>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</si>
  <si>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</si>
  <si>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</si>
  <si>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</si>
  <si>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</si>
  <si>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</si>
  <si>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</si>
  <si>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</si>
  <si>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</si>
  <si>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</si>
  <si>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</si>
  <si>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</si>
  <si>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</si>
  <si>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</si>
  <si>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</si>
  <si>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</si>
  <si>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</si>
  <si>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</si>
  <si>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</si>
  <si>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</si>
  <si>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</si>
  <si>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</si>
  <si>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</si>
  <si>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</si>
  <si>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</si>
  <si>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</si>
  <si>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</si>
  <si>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</si>
  <si>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</si>
  <si>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</si>
  <si>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</si>
  <si>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</si>
  <si>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</si>
  <si>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</si>
  <si>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</si>
  <si>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</si>
  <si>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</si>
  <si>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</si>
  <si>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</si>
  <si>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</si>
  <si>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</si>
  <si>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</si>
  <si>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</si>
  <si>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</si>
  <si>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</si>
  <si>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</si>
  <si>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</si>
  <si>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</si>
  <si>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</si>
  <si>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</si>
  <si>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</si>
  <si>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</si>
  <si>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</si>
  <si>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</si>
  <si>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</si>
  <si>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</si>
  <si>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</si>
  <si>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</si>
  <si>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</si>
  <si>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</si>
  <si>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</si>
  <si>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</si>
  <si>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</si>
  <si>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</si>
  <si>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</si>
  <si>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</si>
  <si>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</si>
  <si>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</si>
  <si>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</si>
  <si>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</si>
  <si>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</si>
  <si>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</si>
  <si>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</si>
  <si>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</si>
  <si>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</si>
  <si>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</si>
  <si>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</si>
  <si>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</si>
  <si>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</si>
  <si>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</si>
  <si>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</si>
  <si>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</si>
  <si>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</si>
  <si>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</si>
  <si>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</si>
  <si>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</si>
  <si>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</si>
  <si>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</si>
  <si>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</si>
  <si>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</si>
  <si>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</si>
  <si>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</si>
  <si>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</si>
  <si>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</si>
  <si>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</si>
  <si>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</si>
  <si>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</si>
  <si>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</si>
  <si>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</si>
  <si>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</si>
  <si>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</si>
  <si>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</si>
  <si>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</si>
  <si>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</si>
  <si>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</si>
  <si>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</si>
  <si>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</si>
  <si>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</si>
  <si>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</si>
  <si>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</si>
  <si>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</si>
  <si>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</si>
  <si>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</si>
  <si>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</si>
  <si>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</si>
  <si>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</si>
  <si>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</si>
  <si>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</si>
  <si>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</si>
  <si>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</si>
  <si>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</si>
  <si>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</si>
  <si>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</si>
  <si>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</si>
  <si>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</si>
  <si>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</si>
  <si>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</si>
  <si>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</si>
  <si>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</si>
  <si>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</si>
  <si>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</si>
  <si>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</si>
  <si>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</si>
  <si>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</si>
  <si>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</si>
  <si>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</si>
  <si>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</si>
  <si>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</si>
  <si>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</si>
  <si>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</si>
  <si>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</si>
  <si>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</si>
  <si>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</si>
  <si>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</si>
  <si>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</si>
  <si>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</si>
  <si>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</si>
  <si>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</si>
  <si>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</si>
  <si>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</si>
  <si>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</si>
  <si>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</si>
  <si>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</si>
  <si>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</si>
  <si>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</si>
  <si>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</si>
  <si>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</si>
  <si>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</si>
  <si>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</si>
  <si>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</si>
  <si>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</si>
  <si>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</si>
  <si>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</si>
  <si>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</si>
  <si>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</si>
  <si>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</si>
  <si>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</si>
  <si>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</si>
  <si>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</si>
  <si>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</si>
  <si>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</si>
  <si>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</si>
  <si>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</si>
  <si>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</si>
  <si>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</si>
  <si>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</si>
  <si>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</si>
  <si>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</si>
  <si>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</si>
  <si>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</si>
  <si>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</si>
  <si>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</si>
  <si>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</si>
  <si>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</si>
  <si>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</si>
  <si>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</si>
  <si>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</si>
  <si>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</si>
  <si>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</si>
  <si>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</si>
  <si>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</si>
  <si>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</si>
  <si>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</si>
  <si>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</si>
  <si>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</si>
  <si>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</si>
  <si>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</si>
  <si>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</si>
  <si>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</si>
  <si>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</si>
  <si>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</si>
  <si>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</si>
  <si>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</si>
  <si>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</si>
  <si>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</si>
  <si>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</si>
  <si>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</si>
  <si>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</si>
  <si>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</si>
  <si>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</si>
  <si>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</si>
  <si>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</si>
  <si>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</si>
  <si>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</si>
  <si>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</si>
  <si>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</si>
  <si>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</si>
  <si>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</si>
  <si>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</si>
  <si>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</si>
  <si>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</si>
  <si>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</si>
  <si>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</si>
  <si>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</si>
  <si>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</si>
  <si>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</si>
  <si>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</si>
  <si>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</si>
  <si>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</si>
  <si>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</si>
  <si>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</si>
  <si>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</si>
  <si>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</si>
  <si>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</si>
  <si>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</si>
  <si>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</si>
  <si>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</si>
  <si>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</si>
  <si>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</si>
  <si>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</si>
  <si>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</si>
  <si>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</si>
  <si>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</si>
  <si>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</si>
  <si>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</si>
  <si>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</si>
  <si>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</si>
  <si>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</si>
  <si>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</si>
  <si>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</si>
  <si>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</si>
  <si>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</si>
  <si>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</si>
  <si>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</si>
  <si>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</si>
  <si>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</si>
  <si>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</si>
  <si>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</si>
  <si>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</si>
  <si>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</si>
  <si>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</si>
  <si>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</si>
  <si>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</si>
  <si>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</si>
  <si>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</si>
  <si>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</si>
  <si>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</si>
  <si>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</si>
  <si>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</si>
  <si>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</si>
  <si>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</si>
  <si>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</si>
  <si>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</si>
  <si>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</si>
  <si>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</si>
  <si>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</si>
  <si>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</si>
  <si>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</si>
  <si>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</si>
  <si>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</si>
  <si>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</si>
  <si>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</si>
  <si>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</si>
  <si>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</si>
  <si>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</si>
  <si>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</si>
  <si>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</si>
  <si>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</si>
  <si>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</si>
  <si>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</si>
  <si>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</si>
  <si>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</si>
  <si>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</si>
  <si>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</si>
  <si>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</si>
  <si>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</si>
  <si>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</si>
  <si>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</si>
  <si>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</si>
  <si>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</si>
  <si>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</si>
  <si>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</si>
  <si>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</si>
  <si>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</si>
  <si>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</si>
  <si>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</si>
  <si>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</si>
  <si>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</si>
  <si>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</si>
  <si>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</si>
  <si>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</si>
  <si>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</si>
  <si>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</si>
  <si>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</si>
  <si>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</si>
  <si>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</si>
  <si>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</si>
  <si>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</si>
  <si>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</si>
  <si>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</si>
  <si>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</si>
  <si>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</si>
  <si>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</si>
  <si>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</si>
  <si>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</si>
  <si>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</si>
  <si>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</si>
  <si>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</si>
  <si>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</si>
  <si>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</si>
  <si>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</si>
  <si>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</si>
  <si>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</si>
  <si>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</si>
  <si>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</si>
  <si>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</si>
  <si>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</si>
  <si>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</si>
  <si>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</si>
  <si>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</si>
  <si>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</si>
  <si>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</si>
  <si>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</si>
  <si>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</si>
  <si>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</si>
  <si>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</si>
  <si>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</si>
  <si>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</si>
  <si>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</si>
  <si>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</si>
  <si>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</si>
  <si>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</si>
  <si>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</si>
  <si>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</si>
  <si>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</si>
  <si>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</si>
  <si>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</si>
  <si>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</si>
  <si>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</si>
  <si>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</si>
  <si>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</si>
  <si>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</si>
  <si>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</si>
  <si>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</si>
  <si>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</si>
  <si>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</si>
  <si>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</si>
  <si>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</si>
  <si>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</si>
  <si>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</si>
  <si>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</si>
  <si>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</si>
  <si>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</si>
  <si>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</si>
  <si>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</si>
  <si>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</si>
  <si>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</si>
  <si>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</si>
  <si>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</si>
  <si>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</si>
  <si>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</si>
  <si>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</si>
  <si>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</si>
  <si>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</si>
  <si>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</si>
  <si>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</si>
  <si>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</si>
  <si>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</si>
  <si>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</si>
  <si>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</si>
  <si>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</si>
  <si>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</si>
  <si>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</si>
  <si>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</si>
  <si>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</si>
  <si>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</si>
  <si>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</si>
  <si>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</si>
  <si>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</si>
  <si>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</si>
  <si>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</si>
  <si>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</si>
  <si>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</si>
  <si>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</si>
  <si>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</si>
  <si>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</si>
  <si>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</si>
  <si>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</si>
  <si>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</si>
  <si>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</si>
  <si>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</si>
  <si>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</si>
  <si>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</si>
  <si>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</si>
  <si>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</si>
  <si>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</si>
  <si>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</si>
  <si>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</si>
  <si>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</si>
  <si>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</si>
  <si>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</si>
  <si>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</si>
  <si>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</si>
  <si>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</si>
  <si>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</si>
  <si>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</si>
  <si>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</si>
  <si>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</si>
  <si>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</si>
  <si>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</si>
  <si>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</si>
  <si>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</si>
  <si>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</si>
  <si>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</si>
  <si>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</si>
  <si>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</si>
  <si>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</si>
  <si>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</si>
  <si>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</si>
  <si>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</si>
  <si>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</si>
  <si>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</si>
  <si>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</si>
  <si>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</si>
  <si>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</si>
  <si>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</si>
  <si>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</si>
  <si>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</si>
  <si>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</si>
  <si>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</si>
  <si>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</si>
  <si>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</si>
  <si>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</si>
  <si>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</si>
  <si>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</si>
  <si>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</si>
  <si>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</si>
  <si>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</si>
  <si>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</si>
  <si>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</si>
  <si>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</si>
  <si>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</si>
  <si>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</si>
  <si>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</si>
  <si>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</si>
  <si>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</si>
  <si>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</si>
  <si>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</si>
  <si>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</si>
  <si>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</si>
  <si>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</si>
  <si>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</si>
  <si>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</si>
  <si>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</si>
  <si>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</si>
  <si>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</si>
  <si>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</si>
  <si>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</si>
  <si>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</si>
  <si>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</si>
  <si>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</si>
  <si>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</si>
  <si>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</si>
  <si>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</si>
  <si>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</si>
  <si>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</si>
  <si>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</si>
  <si>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</si>
  <si>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</si>
  <si>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</si>
  <si>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</si>
  <si>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</si>
  <si>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</si>
  <si>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</si>
  <si>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</si>
  <si>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</si>
  <si>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</si>
  <si>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</si>
  <si>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</si>
  <si>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</si>
  <si>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</si>
  <si>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</si>
  <si>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</si>
  <si>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</si>
  <si>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</si>
  <si>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</si>
  <si>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</si>
  <si>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</si>
  <si>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</si>
  <si>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</si>
  <si>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</si>
  <si>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</si>
  <si>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</si>
  <si>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</si>
  <si>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</si>
  <si>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</si>
  <si>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</si>
  <si>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</si>
  <si>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</si>
  <si>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</si>
  <si>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</si>
  <si>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</si>
  <si>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</si>
  <si>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</si>
  <si>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</si>
  <si>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</si>
  <si>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</si>
  <si>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</si>
  <si>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</si>
  <si>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</si>
  <si>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</si>
  <si>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</si>
  <si>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</si>
  <si>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</si>
  <si>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</si>
  <si>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</si>
  <si>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</si>
  <si>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</si>
  <si>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</si>
  <si>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</si>
  <si>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</si>
  <si>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</si>
  <si>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</si>
  <si>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</si>
  <si>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</si>
  <si>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</si>
  <si>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</si>
  <si>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</si>
  <si>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</si>
  <si>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</si>
  <si>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</si>
  <si>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</si>
  <si>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</si>
  <si>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</si>
  <si>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</si>
  <si>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</si>
  <si>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</si>
  <si>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</si>
  <si>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</si>
  <si>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</si>
  <si>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</si>
  <si>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</si>
  <si>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</si>
  <si>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</si>
  <si>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</si>
  <si>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</si>
  <si>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</si>
  <si>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</si>
  <si>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</si>
  <si>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</si>
  <si>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</si>
  <si>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</si>
  <si>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</si>
  <si>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</si>
  <si>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</si>
  <si>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</si>
  <si>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</si>
  <si>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</si>
  <si>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</si>
  <si>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</si>
  <si>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</si>
  <si>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</si>
  <si>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</si>
  <si>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</si>
  <si>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</si>
  <si>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</si>
  <si>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</si>
  <si>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</si>
  <si>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</si>
  <si>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</si>
  <si>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</si>
  <si>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</si>
  <si>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</si>
  <si>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</si>
  <si>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</si>
  <si>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</si>
  <si>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</si>
  <si>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</si>
  <si>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</si>
  <si>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</si>
  <si>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</si>
  <si>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</si>
  <si>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</si>
  <si>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</si>
  <si>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</si>
  <si>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</si>
  <si>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</si>
  <si>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</si>
  <si>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</si>
  <si>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</si>
  <si>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</si>
  <si>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</si>
  <si>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</si>
  <si>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</si>
  <si>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</si>
  <si>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</si>
  <si>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</si>
  <si>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</si>
  <si>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</si>
  <si>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</si>
  <si>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</si>
  <si>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</si>
  <si>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</si>
  <si>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</si>
  <si>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</si>
  <si>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</si>
  <si>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</si>
  <si>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</si>
  <si>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</si>
  <si>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</si>
  <si>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</si>
  <si>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</si>
  <si>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</si>
  <si>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</si>
  <si>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</si>
  <si>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</si>
  <si>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</si>
  <si>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</si>
  <si>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</si>
  <si>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</si>
  <si>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</si>
  <si>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</si>
  <si>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</si>
  <si>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</si>
  <si>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</si>
  <si>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</si>
  <si>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</si>
  <si>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</si>
  <si>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</si>
  <si>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</si>
  <si>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</si>
  <si>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</si>
  <si>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</si>
  <si>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</si>
  <si>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</si>
  <si>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</si>
  <si>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</si>
  <si>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</si>
  <si>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</si>
  <si>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</si>
  <si>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</si>
  <si>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</si>
  <si>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</si>
  <si>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</si>
  <si>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</si>
  <si>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</si>
  <si>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</si>
  <si>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</si>
  <si>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</si>
  <si>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</si>
  <si>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</si>
  <si>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</si>
  <si>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</si>
  <si>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</si>
  <si>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</si>
  <si>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</si>
  <si>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</si>
  <si>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</si>
  <si>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</si>
  <si>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</si>
  <si>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</si>
  <si>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</si>
  <si>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</si>
  <si>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</si>
  <si>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</si>
  <si>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</si>
  <si>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</si>
  <si>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</si>
  <si>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</si>
  <si>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</si>
  <si>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</si>
  <si>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</si>
  <si>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</si>
  <si>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</si>
  <si>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</si>
  <si>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</si>
  <si>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</si>
  <si>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</si>
  <si>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</si>
  <si>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</si>
  <si>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</si>
  <si>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</si>
  <si>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</si>
  <si>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</si>
  <si>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</si>
  <si>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</si>
  <si>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</si>
  <si>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</si>
  <si>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</si>
  <si>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</si>
  <si>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</si>
  <si>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</si>
  <si>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</si>
  <si>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</si>
  <si>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</si>
  <si>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</si>
  <si>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</si>
  <si>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</si>
  <si>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</si>
  <si>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</si>
  <si>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</si>
  <si>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</si>
  <si>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</si>
  <si>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</si>
  <si>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</si>
  <si>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</si>
  <si>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</si>
  <si>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</si>
  <si>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</si>
  <si>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</si>
  <si>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</si>
  <si>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</si>
  <si>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</si>
  <si>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</si>
  <si>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</si>
  <si>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</si>
  <si>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</si>
  <si>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</si>
  <si>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</si>
  <si>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</si>
  <si>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</si>
  <si>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</si>
  <si>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</si>
  <si>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</si>
  <si>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</si>
  <si>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</si>
  <si>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</si>
  <si>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</si>
  <si>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</si>
  <si>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</si>
  <si>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</si>
  <si>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</si>
  <si>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</si>
  <si>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</si>
  <si>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</si>
  <si>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</si>
  <si>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</si>
  <si>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</si>
  <si>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</si>
  <si>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</si>
  <si>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</si>
  <si>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</si>
  <si>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</si>
  <si>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</si>
  <si>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</si>
  <si>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</si>
  <si>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</si>
  <si>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</si>
  <si>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</si>
  <si>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</si>
  <si>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</si>
  <si>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</si>
  <si>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</si>
  <si>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</si>
  <si>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</si>
  <si>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</si>
  <si>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</si>
  <si>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</si>
  <si>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</si>
  <si>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</si>
  <si>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</si>
  <si>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</si>
  <si>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</si>
  <si>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</si>
  <si>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</si>
  <si>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</si>
  <si>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</si>
  <si>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</si>
  <si>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</si>
  <si>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</si>
  <si>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</si>
  <si>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</si>
  <si>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</si>
  <si>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</si>
  <si>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</si>
  <si>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</si>
  <si>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</si>
  <si>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</si>
  <si>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</si>
  <si>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</si>
  <si>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</si>
  <si>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</si>
  <si>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</si>
  <si>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</si>
  <si>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</si>
  <si>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</si>
  <si>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</si>
  <si>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</si>
  <si>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</si>
  <si>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</si>
  <si>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</si>
  <si>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</si>
  <si>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</si>
  <si>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</si>
  <si>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</si>
  <si>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</si>
  <si>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</si>
  <si>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</si>
  <si>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</si>
  <si>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</si>
  <si>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</si>
  <si>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</si>
  <si>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</si>
  <si>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</si>
  <si>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</si>
  <si>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</si>
  <si>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</si>
  <si>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</si>
  <si>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</si>
  <si>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</si>
  <si>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</si>
  <si>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</si>
  <si>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</si>
  <si>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</si>
  <si>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</si>
  <si>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</si>
  <si>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</si>
  <si>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</si>
  <si>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</si>
  <si>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</si>
  <si>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</si>
  <si>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</si>
  <si>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</si>
  <si>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</si>
  <si>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</si>
  <si>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</si>
  <si>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</si>
  <si>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</si>
  <si>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</si>
  <si>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</si>
  <si>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</si>
  <si>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</si>
  <si>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</si>
  <si>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</si>
  <si>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</si>
  <si>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</si>
  <si>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</si>
  <si>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</si>
  <si>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</si>
  <si>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</si>
  <si>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</si>
  <si>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</si>
  <si>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</si>
  <si>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</si>
  <si>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</si>
  <si>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</si>
  <si>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</si>
  <si>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</si>
  <si>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</si>
  <si>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</si>
  <si>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</si>
  <si>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</si>
  <si>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</si>
  <si>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</si>
  <si>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</si>
  <si>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</si>
  <si>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</si>
  <si>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</si>
  <si>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</si>
  <si>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</si>
  <si>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</si>
  <si>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</si>
  <si>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</si>
  <si>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</si>
  <si>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</si>
  <si>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</si>
  <si>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</si>
  <si>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</si>
  <si>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</si>
  <si>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</si>
  <si>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</si>
  <si>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</si>
  <si>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</si>
  <si>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</si>
  <si>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</si>
  <si>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</si>
  <si>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</si>
  <si>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</si>
  <si>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</si>
  <si>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</si>
  <si>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</si>
  <si>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</si>
  <si>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</si>
  <si>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</si>
  <si>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</si>
  <si>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</si>
  <si>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</si>
  <si>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</si>
  <si>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</si>
  <si>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</si>
  <si>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</si>
  <si>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</si>
  <si>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</si>
  <si>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</si>
  <si>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</si>
  <si>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</si>
  <si>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</si>
  <si>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</si>
  <si>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</si>
  <si>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</si>
  <si>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</si>
  <si>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</si>
  <si>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</si>
  <si>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</si>
  <si>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</si>
  <si>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</si>
  <si>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</si>
  <si>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</si>
  <si>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</si>
  <si>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</si>
  <si>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</si>
  <si>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</si>
  <si>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</si>
  <si>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</si>
  <si>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</si>
  <si>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</si>
  <si>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</si>
  <si>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</si>
  <si>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</si>
  <si>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</si>
  <si>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</si>
  <si>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</si>
  <si>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</si>
  <si>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</si>
  <si>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</si>
  <si>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</si>
  <si>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</si>
  <si>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</si>
  <si>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</si>
  <si>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</si>
  <si>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</si>
  <si>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</si>
  <si>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</si>
  <si>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</si>
  <si>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</si>
  <si>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</si>
  <si>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</si>
  <si>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</si>
  <si>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</si>
  <si>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</si>
  <si>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</si>
  <si>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</si>
  <si>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</si>
  <si>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</si>
  <si>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</si>
  <si>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</si>
  <si>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</si>
  <si>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</si>
  <si>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</si>
  <si>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</si>
  <si>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</si>
  <si>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</si>
  <si>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</si>
  <si>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</si>
  <si>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</si>
  <si>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</si>
  <si>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</si>
  <si>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</si>
  <si>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</si>
  <si>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</si>
  <si>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</si>
  <si>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</si>
  <si>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</si>
  <si>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</si>
  <si>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</si>
  <si>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</si>
  <si>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</si>
  <si>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</si>
  <si>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</si>
  <si>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</si>
  <si>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</si>
  <si>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</si>
  <si>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</si>
  <si>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</si>
  <si>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</si>
  <si>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</si>
  <si>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</si>
  <si>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</si>
  <si>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</si>
  <si>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</si>
  <si>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</si>
  <si>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</si>
  <si>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</si>
  <si>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</si>
  <si>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</si>
  <si>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</si>
  <si>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</si>
  <si>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</si>
  <si>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</si>
  <si>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</si>
  <si>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</si>
  <si>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</si>
  <si>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</si>
  <si>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</si>
  <si>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</si>
  <si>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</si>
  <si>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</si>
  <si>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</si>
  <si>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</si>
  <si>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</si>
  <si>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</si>
  <si>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</si>
  <si>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</si>
  <si>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</si>
  <si>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</si>
  <si>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</si>
  <si>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</si>
  <si>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</si>
  <si>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</si>
  <si>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</si>
  <si>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</si>
  <si>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</si>
  <si>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</si>
  <si>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</si>
  <si>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</si>
  <si>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</si>
  <si>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</si>
  <si>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</si>
  <si>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</si>
  <si>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</si>
  <si>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</si>
  <si>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</si>
  <si>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</si>
  <si>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</si>
  <si>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</si>
  <si>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</si>
  <si>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</si>
  <si>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</si>
  <si>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</si>
  <si>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</si>
  <si>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</si>
  <si>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</si>
  <si>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</si>
  <si>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</si>
  <si>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</si>
  <si>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</si>
  <si>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</si>
  <si>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</si>
  <si>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</si>
  <si>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</si>
  <si>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</si>
  <si>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</si>
  <si>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</si>
  <si>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</si>
  <si>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</si>
  <si>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</si>
  <si>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</si>
  <si>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</si>
  <si>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</si>
  <si>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</si>
  <si>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</si>
  <si>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</si>
  <si>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</si>
  <si>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</si>
  <si>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</si>
  <si>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</si>
  <si>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</si>
  <si>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</si>
  <si>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</si>
  <si>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</si>
  <si>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</si>
  <si>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</si>
  <si>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</si>
  <si>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</si>
  <si>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</si>
  <si>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</si>
  <si>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</si>
  <si>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</si>
  <si>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</si>
  <si>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</si>
  <si>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</si>
  <si>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</si>
  <si>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</si>
  <si>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</si>
  <si>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</si>
  <si>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</si>
  <si>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</si>
  <si>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</si>
  <si>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</si>
  <si>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</si>
  <si>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</si>
  <si>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</si>
  <si>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</si>
  <si>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</si>
  <si>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</si>
  <si>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</si>
  <si>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</si>
  <si>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</si>
  <si>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</si>
  <si>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</si>
  <si>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</si>
  <si>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</si>
  <si>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</si>
  <si>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</si>
  <si>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</si>
  <si>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</si>
  <si>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</si>
  <si>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</si>
  <si>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</si>
  <si>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</si>
  <si>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</si>
  <si>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</si>
  <si>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</si>
  <si>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</si>
  <si>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</si>
  <si>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</si>
  <si>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</si>
  <si>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</si>
  <si>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</si>
  <si>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</si>
  <si>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</si>
  <si>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</si>
  <si>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</si>
  <si>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</si>
  <si>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</si>
  <si>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</si>
  <si>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</si>
  <si>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</si>
  <si>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</si>
  <si>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</si>
  <si>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</si>
  <si>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</si>
  <si>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</si>
  <si>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</si>
  <si>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</si>
  <si>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</si>
  <si>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</si>
  <si>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</si>
  <si>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</si>
  <si>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</si>
  <si>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</si>
  <si>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</si>
  <si>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</si>
  <si>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</si>
  <si>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</si>
  <si>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</si>
  <si>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</si>
  <si>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</si>
  <si>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</si>
  <si>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</si>
  <si>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</si>
  <si>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</si>
  <si>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</si>
  <si>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</si>
  <si>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</si>
  <si>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</si>
  <si>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</si>
  <si>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</si>
  <si>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</si>
  <si>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</si>
  <si>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</si>
  <si>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</si>
  <si>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</si>
  <si>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</si>
  <si>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</si>
  <si>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</si>
  <si>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</si>
  <si>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</si>
  <si>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</si>
  <si>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</si>
  <si>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</si>
  <si>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</si>
  <si>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</si>
  <si>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</si>
  <si>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</si>
  <si>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</si>
  <si>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</si>
  <si>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</si>
  <si>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</si>
  <si>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</si>
  <si>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</si>
  <si>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</si>
  <si>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</si>
  <si>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</si>
  <si>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</si>
  <si>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</si>
  <si>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</si>
  <si>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</si>
  <si>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</si>
  <si>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</si>
  <si>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</si>
  <si>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</si>
  <si>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</si>
  <si>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</si>
  <si>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</si>
  <si>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</si>
  <si>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</si>
  <si>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</si>
  <si>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</si>
  <si>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</si>
  <si>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</si>
  <si>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</si>
  <si>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</si>
  <si>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</si>
  <si>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</si>
  <si>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</si>
  <si>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</si>
  <si>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</si>
  <si>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</si>
  <si>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</si>
  <si>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</si>
  <si>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</si>
  <si>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</si>
  <si>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</si>
  <si>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</si>
  <si>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</si>
  <si>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</si>
  <si>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</si>
  <si>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</si>
  <si>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</si>
  <si>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</si>
  <si>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</si>
  <si>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</si>
  <si>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</si>
  <si>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</si>
  <si>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</si>
  <si>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</si>
  <si>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</si>
  <si>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</si>
  <si>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</si>
  <si>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</si>
  <si>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</si>
  <si>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</si>
  <si>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</si>
  <si>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</si>
  <si>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</si>
  <si>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</si>
  <si>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</si>
  <si>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</si>
  <si>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</si>
  <si>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</si>
  <si>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</si>
  <si>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</si>
  <si>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</si>
  <si>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</si>
  <si>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</si>
  <si>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</si>
  <si>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</si>
  <si>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</si>
  <si>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</si>
  <si>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</si>
  <si>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</si>
  <si>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</si>
  <si>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</si>
  <si>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</si>
  <si>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</si>
  <si>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</si>
  <si>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</si>
  <si>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</si>
  <si>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</si>
  <si>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</si>
  <si>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</si>
  <si>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</si>
  <si>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</si>
  <si>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</si>
  <si>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</si>
  <si>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</si>
  <si>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</si>
  <si>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</si>
  <si>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</si>
  <si>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</si>
  <si>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</si>
  <si>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</si>
  <si>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</si>
  <si>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</si>
  <si>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</si>
  <si>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</si>
  <si>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</si>
  <si>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</si>
  <si>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</si>
  <si>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</si>
  <si>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</si>
  <si>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</si>
  <si>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</si>
  <si>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</si>
  <si>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</si>
  <si>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</si>
  <si>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</si>
  <si>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</si>
  <si>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</si>
  <si>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</si>
  <si>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</si>
  <si>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</si>
  <si>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</si>
  <si>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</si>
  <si>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</si>
  <si>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</si>
  <si>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</si>
  <si>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</si>
  <si>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</si>
  <si>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</si>
  <si>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</si>
  <si>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</si>
  <si>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</si>
  <si>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</si>
  <si>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</si>
  <si>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</si>
  <si>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</si>
  <si>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</si>
  <si>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</si>
  <si>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</si>
  <si>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</si>
  <si>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</si>
  <si>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</si>
  <si>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</si>
  <si>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</si>
  <si>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</si>
  <si>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</si>
  <si>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</si>
  <si>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</si>
  <si>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</si>
  <si>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</si>
  <si>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</si>
  <si>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</si>
  <si>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</si>
  <si>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</si>
  <si>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</si>
  <si>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</si>
  <si>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</si>
  <si>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</si>
  <si>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</si>
  <si>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</si>
  <si>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</si>
  <si>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</si>
  <si>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</si>
  <si>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</si>
  <si>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</si>
  <si>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</si>
  <si>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</si>
  <si>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</si>
  <si>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</si>
  <si>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</si>
  <si>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</si>
  <si>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</si>
  <si>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</si>
  <si>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</si>
  <si>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</si>
  <si>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</si>
  <si>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</si>
  <si>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</si>
  <si>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</si>
  <si>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</si>
  <si>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</si>
  <si>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</si>
  <si>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</si>
  <si>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</si>
  <si>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</si>
  <si>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</si>
  <si>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</si>
  <si>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</si>
  <si>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</si>
  <si>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</si>
  <si>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</si>
  <si>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</si>
  <si>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</si>
  <si>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</si>
  <si>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</si>
  <si>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</si>
  <si>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</si>
  <si>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</si>
  <si>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</si>
  <si>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</si>
  <si>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</si>
  <si>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</si>
  <si>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</si>
  <si>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</si>
  <si>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</si>
  <si>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</si>
  <si>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</si>
  <si>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</si>
  <si>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</si>
  <si>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</si>
  <si>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</si>
  <si>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</si>
  <si>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</si>
  <si>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</si>
  <si>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</si>
  <si>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</si>
  <si>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</si>
  <si>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</si>
  <si>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</si>
  <si>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</si>
  <si>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</si>
  <si>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</si>
  <si>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</si>
  <si>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</si>
  <si>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</si>
  <si>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</si>
  <si>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</si>
  <si>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</si>
  <si>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</si>
  <si>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</si>
  <si>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</si>
  <si>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</si>
  <si>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</si>
  <si>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</si>
  <si>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</si>
  <si>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</si>
  <si>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</si>
  <si>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</si>
  <si>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</si>
  <si>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</si>
  <si>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</si>
  <si>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</si>
  <si>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</si>
  <si>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</si>
  <si>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</si>
  <si>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</si>
  <si>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</si>
  <si>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</si>
  <si>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</si>
  <si>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</si>
  <si>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</si>
  <si>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</si>
  <si>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</si>
  <si>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</si>
  <si>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</si>
  <si>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</si>
  <si>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</si>
  <si>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</si>
  <si>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</si>
  <si>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</si>
  <si>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</si>
  <si>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</si>
  <si>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</si>
  <si>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</si>
  <si>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</si>
  <si>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</si>
  <si>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</si>
  <si>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</si>
  <si>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</si>
  <si>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</si>
  <si>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</si>
  <si>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</si>
  <si>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</si>
  <si>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</si>
  <si>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</si>
  <si>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</si>
  <si>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</si>
  <si>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</si>
  <si>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</si>
  <si>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</si>
  <si>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</si>
  <si>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</si>
  <si>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</si>
  <si>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</si>
  <si>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</si>
  <si>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</si>
  <si>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</si>
  <si>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</si>
  <si>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</si>
  <si>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</si>
  <si>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</si>
  <si>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</si>
  <si>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</si>
  <si>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</si>
  <si>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</si>
  <si>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</si>
  <si>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</si>
  <si>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</si>
  <si>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</si>
  <si>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</si>
  <si>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</si>
  <si>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</si>
  <si>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</si>
  <si>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</si>
  <si>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</si>
  <si>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</si>
  <si>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</si>
  <si>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</si>
  <si>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</si>
  <si>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</si>
  <si>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</si>
  <si>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</si>
  <si>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</si>
  <si>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</si>
  <si>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</si>
  <si>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</si>
  <si>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</si>
  <si>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</si>
  <si>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</si>
  <si>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</si>
  <si>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</si>
  <si>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</si>
  <si>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</si>
  <si>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</si>
  <si>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</si>
  <si>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</si>
  <si>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</si>
  <si>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</si>
  <si>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</si>
  <si>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</si>
  <si>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</si>
  <si>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</si>
  <si>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</si>
  <si>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</si>
  <si>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</si>
  <si>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</si>
  <si>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</si>
  <si>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</si>
  <si>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</si>
  <si>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</si>
  <si>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</si>
  <si>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</si>
  <si>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</si>
  <si>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</si>
  <si>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</si>
  <si>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</si>
  <si>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</si>
  <si>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</si>
  <si>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</si>
  <si>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</si>
  <si>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</si>
  <si>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</si>
  <si>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</si>
  <si>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</si>
  <si>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</si>
  <si>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</si>
  <si>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</si>
  <si>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</si>
  <si>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</si>
  <si>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</si>
  <si>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</si>
  <si>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</si>
  <si>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</si>
  <si>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</si>
  <si>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</si>
  <si>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</si>
  <si>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</si>
  <si>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</si>
  <si>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</si>
  <si>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</si>
  <si>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</si>
  <si>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</si>
  <si>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</si>
  <si>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</si>
  <si>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</si>
  <si>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</si>
  <si>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</si>
  <si>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</si>
  <si>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</si>
  <si>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</si>
  <si>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</si>
  <si>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</si>
  <si>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</si>
  <si>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</si>
  <si>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</si>
  <si>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</si>
  <si>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</si>
  <si>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</si>
  <si>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</si>
  <si>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</si>
  <si>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</si>
  <si>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</si>
  <si>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</si>
  <si>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</si>
  <si>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</si>
  <si>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</si>
  <si>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</si>
  <si>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</si>
  <si>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</si>
  <si>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</si>
  <si>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</si>
  <si>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</si>
  <si>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</si>
  <si>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</si>
  <si>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</si>
  <si>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</si>
  <si>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</si>
  <si>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</si>
  <si>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</si>
  <si>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</si>
  <si>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</si>
  <si>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</si>
  <si>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</si>
  <si>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</si>
  <si>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</si>
  <si>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</si>
  <si>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</si>
  <si>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</si>
  <si>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</si>
  <si>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</si>
  <si>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</si>
  <si>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</si>
  <si>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</si>
  <si>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</si>
  <si>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</si>
  <si>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</si>
  <si>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</si>
  <si>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</si>
  <si>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</si>
  <si>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</si>
  <si>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</si>
  <si>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</si>
  <si>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</si>
  <si>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</si>
  <si>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</si>
  <si>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</si>
  <si>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</si>
  <si>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</si>
  <si>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</si>
  <si>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</si>
  <si>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</si>
  <si>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</si>
  <si>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</si>
  <si>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</si>
  <si>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</si>
  <si>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</si>
  <si>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</si>
  <si>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</si>
  <si>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</si>
  <si>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</si>
  <si>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</si>
  <si>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</si>
  <si>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</si>
  <si>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</si>
  <si>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</si>
  <si>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</si>
  <si>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</si>
  <si>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</si>
  <si>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</si>
  <si>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</si>
  <si>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</si>
  <si>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</si>
  <si>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</si>
  <si>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</si>
  <si>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</si>
  <si>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</si>
  <si>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</si>
  <si>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</si>
  <si>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</si>
  <si>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</si>
  <si>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</si>
  <si>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</si>
  <si>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</si>
  <si>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</si>
  <si>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</si>
  <si>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</si>
  <si>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</si>
  <si>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</si>
  <si>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</si>
  <si>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</si>
  <si>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</si>
  <si>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</si>
  <si>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</si>
  <si>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</si>
  <si>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</si>
  <si>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</si>
  <si>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</si>
  <si>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</si>
  <si>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</si>
  <si>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</si>
  <si>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</si>
  <si>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</si>
  <si>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</si>
  <si>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</si>
  <si>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</si>
  <si>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</si>
  <si>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</si>
  <si>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</si>
  <si>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</si>
  <si>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</si>
  <si>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</si>
  <si>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</si>
  <si>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</si>
  <si>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</si>
  <si>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</si>
  <si>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</si>
  <si>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</si>
  <si>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</si>
  <si>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</si>
  <si>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</si>
  <si>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</si>
  <si>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</si>
  <si>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</si>
  <si>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</si>
  <si>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</si>
  <si>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</si>
  <si>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</si>
  <si>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</si>
  <si>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</si>
  <si>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</si>
  <si>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</si>
  <si>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</si>
  <si>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</si>
  <si>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</si>
  <si>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</si>
  <si>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</si>
  <si>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</si>
  <si>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</si>
  <si>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</si>
  <si>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</si>
  <si>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</si>
  <si>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</si>
  <si>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</si>
  <si>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</si>
  <si>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</si>
  <si>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</si>
  <si>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</si>
  <si>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</si>
  <si>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</si>
  <si>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</si>
  <si>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</si>
  <si>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</si>
  <si>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</si>
  <si>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</si>
  <si>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</si>
  <si>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</si>
  <si>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</si>
  <si>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</si>
  <si>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</si>
  <si>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</si>
  <si>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</si>
  <si>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</si>
  <si>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</si>
  <si>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</si>
  <si>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</si>
  <si>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</si>
  <si>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</si>
  <si>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</si>
  <si>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</si>
  <si>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</si>
  <si>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</si>
  <si>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</si>
  <si>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</si>
  <si>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</si>
  <si>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</si>
  <si>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</si>
  <si>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</si>
  <si>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</si>
  <si>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</si>
  <si>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</si>
  <si>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</si>
  <si>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</si>
  <si>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</si>
  <si>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</si>
  <si>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</si>
  <si>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</si>
  <si>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</si>
  <si>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</si>
  <si>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</si>
  <si>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</si>
  <si>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</si>
  <si>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</si>
  <si>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</si>
  <si>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</si>
  <si>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</si>
  <si>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</si>
  <si>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</si>
  <si>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</si>
  <si>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</si>
  <si>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</si>
  <si>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</si>
  <si>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</si>
  <si>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</si>
  <si>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</si>
  <si>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</si>
  <si>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</si>
  <si>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</si>
  <si>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</si>
  <si>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</si>
  <si>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</si>
  <si>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</si>
  <si>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</si>
  <si>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</si>
  <si>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</si>
  <si>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</si>
  <si>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</si>
  <si>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</si>
  <si>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</si>
  <si>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</si>
  <si>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</si>
  <si>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</si>
  <si>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</si>
  <si>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</si>
  <si>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</si>
  <si>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</si>
  <si>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</si>
  <si>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</si>
  <si>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</si>
  <si>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</si>
  <si>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</si>
  <si>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</si>
  <si>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</si>
  <si>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</si>
  <si>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</si>
  <si>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</si>
  <si>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</si>
  <si>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</si>
  <si>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</si>
  <si>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</si>
  <si>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</si>
  <si>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</si>
  <si>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</si>
  <si>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</si>
  <si>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</si>
  <si>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</si>
  <si>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</si>
  <si>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</si>
  <si>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</si>
  <si>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</si>
  <si>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</si>
  <si>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</si>
  <si>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</si>
  <si>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</si>
  <si>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</si>
  <si>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</si>
  <si>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</si>
  <si>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</si>
  <si>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</si>
  <si>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</si>
  <si>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</si>
  <si>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</si>
  <si>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</si>
  <si>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</si>
  <si>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</si>
  <si>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</si>
  <si>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</si>
  <si>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</si>
  <si>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</si>
  <si>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</si>
  <si>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</si>
  <si>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</si>
  <si>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</si>
  <si>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</si>
  <si>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</si>
  <si>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</si>
  <si>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</si>
  <si>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</si>
  <si>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</si>
  <si>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</si>
  <si>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</si>
  <si>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</si>
  <si>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</si>
  <si>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</si>
  <si>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</si>
  <si>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</si>
  <si>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</si>
  <si>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</si>
  <si>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</si>
  <si>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</si>
  <si>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</si>
  <si>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</si>
  <si>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</si>
  <si>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</si>
  <si>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</si>
  <si>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</si>
  <si>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</si>
  <si>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</si>
  <si>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</si>
  <si>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</si>
  <si>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</si>
  <si>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</si>
  <si>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</si>
  <si>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</si>
  <si>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</si>
  <si>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</si>
  <si>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</si>
  <si>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</si>
  <si>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</si>
  <si>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</si>
  <si>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</si>
  <si>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</si>
  <si>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</si>
  <si>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</si>
  <si>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</si>
  <si>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</si>
  <si>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</si>
  <si>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</si>
  <si>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</si>
  <si>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</si>
  <si>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</si>
  <si>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</si>
  <si>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</si>
  <si>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</si>
  <si>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</si>
  <si>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</si>
  <si>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</si>
  <si>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</si>
  <si>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</si>
  <si>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</si>
  <si>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</si>
  <si>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</si>
  <si>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</si>
  <si>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</si>
  <si>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</si>
  <si>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</si>
  <si>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</si>
  <si>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</si>
  <si>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</si>
  <si>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</si>
  <si>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</si>
  <si>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</si>
  <si>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</si>
  <si>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</si>
  <si>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</si>
  <si>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</si>
  <si>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</si>
  <si>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</si>
  <si>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</si>
  <si>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</si>
  <si>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</si>
  <si>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</si>
  <si>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</si>
  <si>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</si>
  <si>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</si>
  <si>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</si>
  <si>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</si>
  <si>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</si>
  <si>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</si>
  <si>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</si>
  <si>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</si>
  <si>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</si>
  <si>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</si>
  <si>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</si>
  <si>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</si>
  <si>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</si>
  <si>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</si>
  <si>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</si>
  <si>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</si>
  <si>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</si>
  <si>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</si>
  <si>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</si>
  <si>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</si>
  <si>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</si>
  <si>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</si>
  <si>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</si>
  <si>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</si>
  <si>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</si>
  <si>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</si>
  <si>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</si>
  <si>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</si>
  <si>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</si>
  <si>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</si>
  <si>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</si>
  <si>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</si>
  <si>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</si>
  <si>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</si>
  <si>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</si>
  <si>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</si>
  <si>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</si>
  <si>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</si>
  <si>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</si>
  <si>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</si>
  <si>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</si>
  <si>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</si>
  <si>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</si>
  <si>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</si>
  <si>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</si>
  <si>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</si>
  <si>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</si>
  <si>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</si>
  <si>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</si>
  <si>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</si>
  <si>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</si>
  <si>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</si>
  <si>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</si>
  <si>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</si>
  <si>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</si>
  <si>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</si>
  <si>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</si>
  <si>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</si>
  <si>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</si>
  <si>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</si>
  <si>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</si>
  <si>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</si>
  <si>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</si>
  <si>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</si>
  <si>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</si>
  <si>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</si>
  <si>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</si>
  <si>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</si>
  <si>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</si>
  <si>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</si>
  <si>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</si>
  <si>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</si>
  <si>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</si>
  <si>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</si>
  <si>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</si>
  <si>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</si>
  <si>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</si>
  <si>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</si>
  <si>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</si>
  <si>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</si>
  <si>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</si>
  <si>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</si>
  <si>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</si>
  <si>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</si>
  <si>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</si>
  <si>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</si>
  <si>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</si>
  <si>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</si>
  <si>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</si>
  <si>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</si>
  <si>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</si>
  <si>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</si>
  <si>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</si>
  <si>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</si>
  <si>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</si>
  <si>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</si>
  <si>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</si>
  <si>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</si>
  <si>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</si>
  <si>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</si>
  <si>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</si>
  <si>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</si>
  <si>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</si>
  <si>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</si>
  <si>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</si>
  <si>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</si>
  <si>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</si>
  <si>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</si>
  <si>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</si>
  <si>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</si>
  <si>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</si>
  <si>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</si>
  <si>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</si>
  <si>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</si>
  <si>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</si>
  <si>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</si>
  <si>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</si>
  <si>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</si>
  <si>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</si>
  <si>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</si>
  <si>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</si>
  <si>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</si>
  <si>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</si>
  <si>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</si>
  <si>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</si>
  <si>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</si>
  <si>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</si>
  <si>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</si>
  <si>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</si>
  <si>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</si>
  <si>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</si>
  <si>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</si>
  <si>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</si>
  <si>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</si>
  <si>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</si>
  <si>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</si>
  <si>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</si>
  <si>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</si>
  <si>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</si>
  <si>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</si>
  <si>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</si>
  <si>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</si>
  <si>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</si>
  <si>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</si>
  <si>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</si>
  <si>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</si>
  <si>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</si>
  <si>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</si>
  <si>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</si>
  <si>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</si>
  <si>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</si>
  <si>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</si>
  <si>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</si>
  <si>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</si>
  <si>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</si>
  <si>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</si>
  <si>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</si>
  <si>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</si>
  <si>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</si>
  <si>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</si>
  <si>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</si>
  <si>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</si>
  <si>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</si>
  <si>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</si>
  <si>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</si>
  <si>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</si>
  <si>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</si>
  <si>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</si>
  <si>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</si>
  <si>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</si>
  <si>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</si>
  <si>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</si>
  <si>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</si>
  <si>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</si>
  <si>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</si>
  <si>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</si>
  <si>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</si>
  <si>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</si>
  <si>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</si>
  <si>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</si>
  <si>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</si>
  <si>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</si>
  <si>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</si>
  <si>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</si>
  <si>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</si>
  <si>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</si>
  <si>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</si>
  <si>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</si>
  <si>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</si>
  <si>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</si>
  <si>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</si>
  <si>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</si>
  <si>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</si>
  <si>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</si>
  <si>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</si>
  <si>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</si>
  <si>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</si>
  <si>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</si>
  <si>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</si>
  <si>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</si>
  <si>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</si>
  <si>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</si>
  <si>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</si>
  <si>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</si>
  <si>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</si>
  <si>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</si>
  <si>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</si>
  <si>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</si>
  <si>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</si>
  <si>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</si>
  <si>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</si>
  <si>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</si>
  <si>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</si>
  <si>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</si>
  <si>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</si>
  <si>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</si>
  <si>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</si>
  <si>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</si>
  <si>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</si>
  <si>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</si>
  <si>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</si>
  <si>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</si>
  <si>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</si>
  <si>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</si>
  <si>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</si>
  <si>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</si>
  <si>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</si>
  <si>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</si>
  <si>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</si>
  <si>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</si>
  <si>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</si>
  <si>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</si>
  <si>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</si>
  <si>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</si>
  <si>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</si>
  <si>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</si>
  <si>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</si>
  <si>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</si>
  <si>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</si>
  <si>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</si>
  <si>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</si>
  <si>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</si>
  <si>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</si>
  <si>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</si>
  <si>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</si>
  <si>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</si>
  <si>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</si>
  <si>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</si>
  <si>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</si>
  <si>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</si>
  <si>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</si>
  <si>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</si>
  <si>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</si>
  <si>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</si>
  <si>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</si>
  <si>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</si>
  <si>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</si>
  <si>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</si>
  <si>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</si>
  <si>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</si>
  <si>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</si>
  <si>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</si>
  <si>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</si>
  <si>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</si>
  <si>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</si>
  <si>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</si>
  <si>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</si>
  <si>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</si>
  <si>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</si>
  <si>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</si>
  <si>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</si>
  <si>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</si>
  <si>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</si>
  <si>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</si>
  <si>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</si>
  <si>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</si>
  <si>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</si>
  <si>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</si>
  <si>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</si>
  <si>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</si>
  <si>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</si>
  <si>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</si>
  <si>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</si>
  <si>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</si>
  <si>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</si>
  <si>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</si>
  <si>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</si>
  <si>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</si>
  <si>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</si>
  <si>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</si>
  <si>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</si>
  <si>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</si>
  <si>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</si>
  <si>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</si>
  <si>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</si>
  <si>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</si>
  <si>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</si>
  <si>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</si>
  <si>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</si>
  <si>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</si>
  <si>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</si>
  <si>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</si>
  <si>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</si>
  <si>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</si>
  <si>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</si>
  <si>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</si>
  <si>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</si>
  <si>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</si>
  <si>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</si>
  <si>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</si>
  <si>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</si>
  <si>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</si>
  <si>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</si>
  <si>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</si>
  <si>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</si>
  <si>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</si>
  <si>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</si>
  <si>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</si>
  <si>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</si>
  <si>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</si>
  <si>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</si>
  <si>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</si>
  <si>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</si>
  <si>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</si>
  <si>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</si>
  <si>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</si>
  <si>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</si>
  <si>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</si>
  <si>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</si>
  <si>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</si>
  <si>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</si>
  <si>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</si>
  <si>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</si>
  <si>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</si>
  <si>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</si>
  <si>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</si>
  <si>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</si>
  <si>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</si>
  <si>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</si>
  <si>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</si>
  <si>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</si>
  <si>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</si>
  <si>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</si>
  <si>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</si>
  <si>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</si>
  <si>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</si>
  <si>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</si>
  <si>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</si>
  <si>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</si>
  <si>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</si>
  <si>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</si>
  <si>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</si>
  <si>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</si>
  <si>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</si>
  <si>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</si>
  <si>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</si>
  <si>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</si>
  <si>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</si>
  <si>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</si>
  <si>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</si>
  <si>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</si>
  <si>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</si>
  <si>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</si>
  <si>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</si>
  <si>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</si>
  <si>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</si>
  <si>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</si>
  <si>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</si>
  <si>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</si>
  <si>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</si>
  <si>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</si>
  <si>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</si>
  <si>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</si>
  <si>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</si>
  <si>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</si>
  <si>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</si>
  <si>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</si>
  <si>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</si>
  <si>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</si>
  <si>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</si>
  <si>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</si>
  <si>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</si>
  <si>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</si>
  <si>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</si>
  <si>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</si>
  <si>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</si>
  <si>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</si>
  <si>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</si>
  <si>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</si>
  <si>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</si>
  <si>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</si>
  <si>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</si>
  <si>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</si>
  <si>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</si>
  <si>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</si>
  <si>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</si>
  <si>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</si>
  <si>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</si>
  <si>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</si>
  <si>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</si>
  <si>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</si>
  <si>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</si>
  <si>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</si>
  <si>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</si>
  <si>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</si>
  <si>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</si>
  <si>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</si>
  <si>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</si>
  <si>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</si>
  <si>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</si>
  <si>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</si>
  <si>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</si>
  <si>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</si>
  <si>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</si>
  <si>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</si>
  <si>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</si>
  <si>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</si>
  <si>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</si>
  <si>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</si>
  <si>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</si>
  <si>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</si>
  <si>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</si>
  <si>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</si>
  <si>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</si>
  <si>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</si>
  <si>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</si>
  <si>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</si>
  <si>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</si>
  <si>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</si>
  <si>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</si>
  <si>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</si>
  <si>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</si>
  <si>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</si>
  <si>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</si>
  <si>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</si>
  <si>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</si>
  <si>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</si>
  <si>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</si>
  <si>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</si>
  <si>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</si>
  <si>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</si>
  <si>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</si>
  <si>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</si>
  <si>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</si>
  <si>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</si>
  <si>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</si>
  <si>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</si>
  <si>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</si>
  <si>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</si>
  <si>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</si>
  <si>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</si>
  <si>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</si>
  <si>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</si>
  <si>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</si>
  <si>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</si>
  <si>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</si>
  <si>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</si>
  <si>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</si>
  <si>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</si>
  <si>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</si>
  <si>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</si>
  <si>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</si>
  <si>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</si>
  <si>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</si>
  <si>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</si>
  <si>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</si>
  <si>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</si>
  <si>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</si>
  <si>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</si>
  <si>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</si>
  <si>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</si>
  <si>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</si>
  <si>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</si>
  <si>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</si>
  <si>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</si>
  <si>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</si>
  <si>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</si>
  <si>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</si>
  <si>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</si>
  <si>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</si>
  <si>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</si>
  <si>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</si>
  <si>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</si>
  <si>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</si>
  <si>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</si>
  <si>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</si>
  <si>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</si>
  <si>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</si>
  <si>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</si>
  <si>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</si>
  <si>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</si>
  <si>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</si>
  <si>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</si>
  <si>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</si>
  <si>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</si>
  <si>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</si>
  <si>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</si>
  <si>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</si>
  <si>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</si>
  <si>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</si>
  <si>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</si>
  <si>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</si>
  <si>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</si>
  <si>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</si>
  <si>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</si>
  <si>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</si>
  <si>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</si>
  <si>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</si>
  <si>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</si>
  <si>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</si>
  <si>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</si>
  <si>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</si>
  <si>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</si>
  <si>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</si>
  <si>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</si>
  <si>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</si>
  <si>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</si>
  <si>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</si>
  <si>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</si>
  <si>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</si>
  <si>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</si>
  <si>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</si>
  <si>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</si>
  <si>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</si>
  <si>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</si>
  <si>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</si>
  <si>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</si>
  <si>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</si>
  <si>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</si>
  <si>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</si>
  <si>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</si>
  <si>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</si>
  <si>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</si>
  <si>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</si>
  <si>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</si>
  <si>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</si>
  <si>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</si>
  <si>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</si>
  <si>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</si>
  <si>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</si>
  <si>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</si>
  <si>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</si>
  <si>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</si>
  <si>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</si>
  <si>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</si>
  <si>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</si>
  <si>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</si>
  <si>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</si>
  <si>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</si>
  <si>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</si>
  <si>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</si>
  <si>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</si>
  <si>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</si>
  <si>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</si>
  <si>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</si>
  <si>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</si>
  <si>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</si>
  <si>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</si>
  <si>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</si>
  <si>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</si>
  <si>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</si>
  <si>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</si>
  <si>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</si>
  <si>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</si>
  <si>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</si>
  <si>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</si>
  <si>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</si>
  <si>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</si>
  <si>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</si>
  <si>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</si>
  <si>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</si>
  <si>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</si>
  <si>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</si>
  <si>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</si>
  <si>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</si>
  <si>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</si>
  <si>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</si>
  <si>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</si>
  <si>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</si>
  <si>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</si>
  <si>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</si>
  <si>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</si>
  <si>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</si>
  <si>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</si>
  <si>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</si>
  <si>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</si>
  <si>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</si>
  <si>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</si>
  <si>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</si>
  <si>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</si>
  <si>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</si>
  <si>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</si>
  <si>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</si>
  <si>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</si>
  <si>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</si>
  <si>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</si>
  <si>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</si>
  <si>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</si>
  <si>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</si>
  <si>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</si>
  <si>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</si>
  <si>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</si>
  <si>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</si>
  <si>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</si>
  <si>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</si>
  <si>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</si>
  <si>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</si>
  <si>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</si>
  <si>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</si>
  <si>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</si>
  <si>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</si>
  <si>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</si>
  <si>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</si>
  <si>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</si>
  <si>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</si>
  <si>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</si>
  <si>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</si>
  <si>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</si>
  <si>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</si>
  <si>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</si>
  <si>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</si>
  <si>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</si>
  <si>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</si>
  <si>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</si>
  <si>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</si>
  <si>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</si>
  <si>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</si>
  <si>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</si>
  <si>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</si>
  <si>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</si>
  <si>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</si>
  <si>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</si>
  <si>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</si>
  <si>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</si>
  <si>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</si>
  <si>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</si>
  <si>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</si>
  <si>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</si>
  <si>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</si>
  <si>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</si>
  <si>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</si>
  <si>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</si>
  <si>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</si>
  <si>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</si>
  <si>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</si>
  <si>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</si>
  <si>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</si>
  <si>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</si>
  <si>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</si>
  <si>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</si>
  <si>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</si>
  <si>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</si>
  <si>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</si>
  <si>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</si>
  <si>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</si>
  <si>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</si>
  <si>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</si>
  <si>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</si>
  <si>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</si>
  <si>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</si>
  <si>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</si>
  <si>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</si>
  <si>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</si>
  <si>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</si>
  <si>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</si>
  <si>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</si>
  <si>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</si>
  <si>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</si>
  <si>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</si>
  <si>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</si>
  <si>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</si>
  <si>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</si>
  <si>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</si>
  <si>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</si>
  <si>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</si>
  <si>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</si>
  <si>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</si>
  <si>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</si>
  <si>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</si>
  <si>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</si>
  <si>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</si>
  <si>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</si>
  <si>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</si>
  <si>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</si>
  <si>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</si>
  <si>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</si>
  <si>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</si>
  <si>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</si>
  <si>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</si>
  <si>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</si>
  <si>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</si>
  <si>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</si>
  <si>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</si>
  <si>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</si>
  <si>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</si>
  <si>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</si>
  <si>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</si>
  <si>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</si>
  <si>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</si>
  <si>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</si>
  <si>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</si>
  <si>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</si>
  <si>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</si>
  <si>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</si>
  <si>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</si>
  <si>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</si>
  <si>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</si>
  <si>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</si>
  <si>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</si>
  <si>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</si>
  <si>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</si>
  <si>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</si>
  <si>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</si>
  <si>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</si>
  <si>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</si>
  <si>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</si>
  <si>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</si>
  <si>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</si>
  <si>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</si>
  <si>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</si>
  <si>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</si>
  <si>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</si>
  <si>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</si>
  <si>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</si>
  <si>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</si>
  <si>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</si>
  <si>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</si>
  <si>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</si>
  <si>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</si>
  <si>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</si>
  <si>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</si>
  <si>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</si>
  <si>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</si>
  <si>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</si>
  <si>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</si>
  <si>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</si>
  <si>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</si>
  <si>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</si>
  <si>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</si>
  <si>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</si>
  <si>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</si>
  <si>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</si>
  <si>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</si>
  <si>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</si>
  <si>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</si>
  <si>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</si>
  <si>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</si>
  <si>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</si>
  <si>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</si>
  <si>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</si>
  <si>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</si>
  <si>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</si>
  <si>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</si>
  <si>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</si>
  <si>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</si>
  <si>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</si>
  <si>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</si>
  <si>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</si>
  <si>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</si>
  <si>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</si>
  <si>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</si>
  <si>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</si>
  <si>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</si>
  <si>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</si>
  <si>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</si>
  <si>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</si>
  <si>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</si>
  <si>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</si>
  <si>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</si>
  <si>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</si>
  <si>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</si>
  <si>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</si>
  <si>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</si>
  <si>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</si>
  <si>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</si>
  <si>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</si>
  <si>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</si>
  <si>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</si>
  <si>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</si>
  <si>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</si>
  <si>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</si>
  <si>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</si>
  <si>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</si>
  <si>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</si>
  <si>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</si>
  <si>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</si>
  <si>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</si>
  <si>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</si>
  <si>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</si>
  <si>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</si>
  <si>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</si>
  <si>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</si>
  <si>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</si>
  <si>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</si>
  <si>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</si>
  <si>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</si>
  <si>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</si>
  <si>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</si>
  <si>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</si>
  <si>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</si>
  <si>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</si>
  <si>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</si>
  <si>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</si>
  <si>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</si>
  <si>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</si>
  <si>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</si>
  <si>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</si>
  <si>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</si>
  <si>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</si>
  <si>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</si>
  <si>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</si>
  <si>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</si>
  <si>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</si>
  <si>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</si>
  <si>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</si>
  <si>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</si>
  <si>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</si>
  <si>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</si>
  <si>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</si>
  <si>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</si>
  <si>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</si>
  <si>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</si>
  <si>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</si>
  <si>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</si>
  <si>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</si>
  <si>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</si>
  <si>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</si>
  <si>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</si>
  <si>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</si>
  <si>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</si>
  <si>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</si>
  <si>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</si>
  <si>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</si>
  <si>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</si>
  <si>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</si>
  <si>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</si>
  <si>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</si>
  <si>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</si>
  <si>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</si>
  <si>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</si>
  <si>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</si>
  <si>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</si>
  <si>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</si>
  <si>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</si>
  <si>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</si>
  <si>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</si>
  <si>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</si>
  <si>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</si>
  <si>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</si>
  <si>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</si>
  <si>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</si>
  <si>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</si>
  <si>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</si>
  <si>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</si>
  <si>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</si>
  <si>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</si>
  <si>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</si>
  <si>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</si>
  <si>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</si>
  <si>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</si>
  <si>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</si>
  <si>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</si>
  <si>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</si>
  <si>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</si>
  <si>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</si>
  <si>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</si>
  <si>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</si>
  <si>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</si>
  <si>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</si>
  <si>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</si>
  <si>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</si>
  <si>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</si>
  <si>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</si>
  <si>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</si>
  <si>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</si>
  <si>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</si>
  <si>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</si>
  <si>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</si>
  <si>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</si>
  <si>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</si>
  <si>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</si>
  <si>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</si>
  <si>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</si>
  <si>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</si>
  <si>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</si>
  <si>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</si>
  <si>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</si>
  <si>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</si>
  <si>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</si>
  <si>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</si>
  <si>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</si>
  <si>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</si>
  <si>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</si>
  <si>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</si>
  <si>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</si>
  <si>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</si>
  <si>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</si>
  <si>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</si>
  <si>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</si>
  <si>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</si>
  <si>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</si>
  <si>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</si>
  <si>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</si>
  <si>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</si>
  <si>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</si>
  <si>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</si>
  <si>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</si>
  <si>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</si>
  <si>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</si>
  <si>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</si>
  <si>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</si>
  <si>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</si>
  <si>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</si>
  <si>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</si>
  <si>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</si>
  <si>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</si>
  <si>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</si>
  <si>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</si>
  <si>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</si>
  <si>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</si>
  <si>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</si>
  <si>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</si>
  <si>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</si>
  <si>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</si>
  <si>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</si>
  <si>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</si>
  <si>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</si>
  <si>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</si>
  <si>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</si>
  <si>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</si>
  <si>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</si>
  <si>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</si>
  <si>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</si>
  <si>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</si>
  <si>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</si>
  <si>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</si>
  <si>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</si>
  <si>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</si>
  <si>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</si>
  <si>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</si>
  <si>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</si>
  <si>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</si>
  <si>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</si>
  <si>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</si>
  <si>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</si>
  <si>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</si>
  <si>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</si>
  <si>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</si>
  <si>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</si>
  <si>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</si>
  <si>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</si>
  <si>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</si>
  <si>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</si>
  <si>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</si>
  <si>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</si>
  <si>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</si>
  <si>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</si>
  <si>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</si>
  <si>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</si>
  <si>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</si>
  <si>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</si>
  <si>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</si>
  <si>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</si>
  <si>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</si>
  <si>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</si>
  <si>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</si>
  <si>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</si>
  <si>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</si>
  <si>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</si>
  <si>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</si>
  <si>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</si>
  <si>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</si>
  <si>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</si>
  <si>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</si>
  <si>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</si>
  <si>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</si>
  <si>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</si>
  <si>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</si>
  <si>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</si>
  <si>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</si>
  <si>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</si>
  <si>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</si>
  <si>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</si>
  <si>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</si>
  <si>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</si>
  <si>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</si>
  <si>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</si>
  <si>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</si>
  <si>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</si>
  <si>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</si>
  <si>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</si>
  <si>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</si>
  <si>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</si>
  <si>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</si>
  <si>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</si>
  <si>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</si>
  <si>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</si>
  <si>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</si>
  <si>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</si>
  <si>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</si>
  <si>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</si>
  <si>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</si>
  <si>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</si>
  <si>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</si>
  <si>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</si>
  <si>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</si>
  <si>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</si>
  <si>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</si>
  <si>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</si>
  <si>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</si>
  <si>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</si>
  <si>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</si>
  <si>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</si>
  <si>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</si>
  <si>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</si>
  <si>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</si>
  <si>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</si>
  <si>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</si>
  <si>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</si>
  <si>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</si>
  <si>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</si>
  <si>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</si>
  <si>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</si>
  <si>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</si>
  <si>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</si>
  <si>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</si>
  <si>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</si>
  <si>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</si>
  <si>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</si>
  <si>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</si>
  <si>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</si>
  <si>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</si>
  <si>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</si>
  <si>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</si>
  <si>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</si>
  <si>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</si>
  <si>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</si>
  <si>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</si>
  <si>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</si>
  <si>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</si>
  <si>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</si>
  <si>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</si>
  <si>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</si>
  <si>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</si>
  <si>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</si>
  <si>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</si>
  <si>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</si>
  <si>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</si>
  <si>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</si>
  <si>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</si>
  <si>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</si>
  <si>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</si>
  <si>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</si>
  <si>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</si>
  <si>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</si>
  <si>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</si>
  <si>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</si>
  <si>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</si>
  <si>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</si>
  <si>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</si>
  <si>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</si>
  <si>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</si>
  <si>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</si>
  <si>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</si>
  <si>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</si>
  <si>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</si>
  <si>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</si>
  <si>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</si>
  <si>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</si>
  <si>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</si>
  <si>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</si>
  <si>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</si>
  <si>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</si>
  <si>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</si>
  <si>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</si>
  <si>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</si>
  <si>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</si>
  <si>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</si>
  <si>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</si>
  <si>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</si>
  <si>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</si>
  <si>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</si>
  <si>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</si>
  <si>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</si>
  <si>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</si>
  <si>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</si>
  <si>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</si>
  <si>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</si>
  <si>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</si>
  <si>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</si>
  <si>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</si>
  <si>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</si>
  <si>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</si>
  <si>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</si>
  <si>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</si>
  <si>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</si>
  <si>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</si>
  <si>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</si>
  <si>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</si>
  <si>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</si>
  <si>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</si>
  <si>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</si>
  <si>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</si>
  <si>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</si>
  <si>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</si>
  <si>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</si>
  <si>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</si>
  <si>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</si>
  <si>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</si>
  <si>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</si>
  <si>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</si>
  <si>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</si>
  <si>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</si>
  <si>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</si>
  <si>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</si>
  <si>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</si>
  <si>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</si>
  <si>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</si>
  <si>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</si>
  <si>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</si>
  <si>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</si>
  <si>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</si>
  <si>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</si>
  <si>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</si>
  <si>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</si>
  <si>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</si>
  <si>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</si>
  <si>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</si>
  <si>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</si>
  <si>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</si>
  <si>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</si>
  <si>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</si>
  <si>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</si>
  <si>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</si>
  <si>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</si>
  <si>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</si>
  <si>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</si>
  <si>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</si>
  <si>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</si>
  <si>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</si>
  <si>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</si>
  <si>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</si>
  <si>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</si>
  <si>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</si>
  <si>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</si>
  <si>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</si>
  <si>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</si>
  <si>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</si>
  <si>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</si>
  <si>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</si>
  <si>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</si>
  <si>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</si>
  <si>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</si>
  <si>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</si>
  <si>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</si>
  <si>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</si>
  <si>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</si>
  <si>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</si>
  <si>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</si>
  <si>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</si>
  <si>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</si>
  <si>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</si>
  <si>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</si>
  <si>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</si>
  <si>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</si>
  <si>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</si>
  <si>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</si>
  <si>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</si>
  <si>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</si>
  <si>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</si>
  <si>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</si>
  <si>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</si>
  <si>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</si>
  <si>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</si>
  <si>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</si>
  <si>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</si>
  <si>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</si>
  <si>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</si>
  <si>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</si>
  <si>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</si>
  <si>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</si>
  <si>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</si>
  <si>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</si>
  <si>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</si>
  <si>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</si>
  <si>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</si>
  <si>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</si>
  <si>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</si>
  <si>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</si>
  <si>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</si>
  <si>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</si>
  <si>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</si>
  <si>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</si>
  <si>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</si>
  <si>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</si>
  <si>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</si>
  <si>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</si>
  <si>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</si>
  <si>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</si>
  <si>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</si>
  <si>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</si>
  <si>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</si>
  <si>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</si>
  <si>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</si>
  <si>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</si>
  <si>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</si>
  <si>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</si>
  <si>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</si>
  <si>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</si>
  <si>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</si>
  <si>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</si>
  <si>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</si>
  <si>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</si>
  <si>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</si>
  <si>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</si>
  <si>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</si>
  <si>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</si>
  <si>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</si>
  <si>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</si>
  <si>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</si>
  <si>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</si>
  <si>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</si>
  <si>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</si>
  <si>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</si>
  <si>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</si>
  <si>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</si>
  <si>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</si>
  <si>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</si>
  <si>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</si>
  <si>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</si>
  <si>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</si>
  <si>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</si>
  <si>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</si>
  <si>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</si>
  <si>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</si>
  <si>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</si>
  <si>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</si>
  <si>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</si>
  <si>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</si>
  <si>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</si>
  <si>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</si>
  <si>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</si>
  <si>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</si>
  <si>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</si>
  <si>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</si>
  <si>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</si>
  <si>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</si>
  <si>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</si>
  <si>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</si>
  <si>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</si>
  <si>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</si>
  <si>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</si>
  <si>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</si>
  <si>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</si>
  <si>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</si>
  <si>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</si>
  <si>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</si>
  <si>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</si>
  <si>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</si>
  <si>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</si>
  <si>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</si>
  <si>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</si>
  <si>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</si>
  <si>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</si>
  <si>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</si>
  <si>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</si>
  <si>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</si>
  <si>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</si>
  <si>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</si>
  <si>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</si>
  <si>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</si>
  <si>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</si>
  <si>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</si>
  <si>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</si>
  <si>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</si>
  <si>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</si>
  <si>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</si>
  <si>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</si>
  <si>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</si>
  <si>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</si>
  <si>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</si>
  <si>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</si>
  <si>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</si>
  <si>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</si>
  <si>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</si>
  <si>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</si>
  <si>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</si>
  <si>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</si>
  <si>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</si>
  <si>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</si>
  <si>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</si>
  <si>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</si>
  <si>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</si>
  <si>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</si>
  <si>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</si>
  <si>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</si>
  <si>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</si>
  <si>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</si>
  <si>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</si>
  <si>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</si>
  <si>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</si>
  <si>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</si>
  <si>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</si>
  <si>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</si>
  <si>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</si>
  <si>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</si>
  <si>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</si>
  <si>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</si>
  <si>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</si>
  <si>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</si>
  <si>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</si>
  <si>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</si>
  <si>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</si>
  <si>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</si>
  <si>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</si>
  <si>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</si>
  <si>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</si>
  <si>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</si>
  <si>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</si>
  <si>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</si>
  <si>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</si>
  <si>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</si>
  <si>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</si>
  <si>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</si>
  <si>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</si>
  <si>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</si>
  <si>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</si>
  <si>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</si>
  <si>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</si>
  <si>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</si>
  <si>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</si>
  <si>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</si>
  <si>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</si>
  <si>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</si>
  <si>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</si>
  <si>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</si>
  <si>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</si>
  <si>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</si>
  <si>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</si>
  <si>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</si>
  <si>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</si>
  <si>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</si>
  <si>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</si>
  <si>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</si>
  <si>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</si>
  <si>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</si>
  <si>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</si>
  <si>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</si>
  <si>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</si>
  <si>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</si>
  <si>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</si>
  <si>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</si>
  <si>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</si>
  <si>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</si>
  <si>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</si>
  <si>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</si>
  <si>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</si>
  <si>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</si>
  <si>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</si>
  <si>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</si>
  <si>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</si>
  <si>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</si>
  <si>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</si>
  <si>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</si>
  <si>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</si>
  <si>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</si>
  <si>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</si>
  <si>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</si>
  <si>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</si>
  <si>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</si>
  <si>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</si>
  <si>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</si>
  <si>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</si>
  <si>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</si>
  <si>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</si>
  <si>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</si>
  <si>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</si>
  <si>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</si>
  <si>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</si>
  <si>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</si>
  <si>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</si>
  <si>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</si>
  <si>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</si>
  <si>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</si>
  <si>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</si>
  <si>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</si>
  <si>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</si>
  <si>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</si>
  <si>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</si>
  <si>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</si>
  <si>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</si>
  <si>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</si>
  <si>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</si>
  <si>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</si>
  <si>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</si>
  <si>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</si>
  <si>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</si>
  <si>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</si>
  <si>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</si>
  <si>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</si>
  <si>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</si>
  <si>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</si>
  <si>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</si>
  <si>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</si>
  <si>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</si>
  <si>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</si>
  <si>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</si>
  <si>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</si>
  <si>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</si>
  <si>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</si>
  <si>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</si>
  <si>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</si>
  <si>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</si>
  <si>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</si>
  <si>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</si>
  <si>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</si>
  <si>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</si>
  <si>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</si>
  <si>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</si>
  <si>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</si>
  <si>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</si>
  <si>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</si>
  <si>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</si>
  <si>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</si>
  <si>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</si>
  <si>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</si>
  <si>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</si>
  <si>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</si>
  <si>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</si>
  <si>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</si>
  <si>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</si>
  <si>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</si>
  <si>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</si>
  <si>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</si>
  <si>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</si>
  <si>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</si>
  <si>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</si>
  <si>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</si>
  <si>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</si>
  <si>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</si>
  <si>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</si>
  <si>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</si>
  <si>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</si>
  <si>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</si>
  <si>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</si>
  <si>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</si>
  <si>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</si>
  <si>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</si>
  <si>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</si>
  <si>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</si>
  <si>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</si>
  <si>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</si>
  <si>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</si>
  <si>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</si>
  <si>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</si>
  <si>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</si>
  <si>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</si>
  <si>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</si>
  <si>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</si>
  <si>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</si>
  <si>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</si>
  <si>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</si>
  <si>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</si>
  <si>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</si>
  <si>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</si>
  <si>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</si>
  <si>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</si>
  <si>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</si>
  <si>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</si>
  <si>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</si>
  <si>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</si>
  <si>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</si>
  <si>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</si>
  <si>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</si>
  <si>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</si>
  <si>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</si>
  <si>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</si>
  <si>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</si>
  <si>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</si>
  <si>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</si>
  <si>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</si>
  <si>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</si>
  <si>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</si>
  <si>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</si>
  <si>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</si>
  <si>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</si>
  <si>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</si>
  <si>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</si>
  <si>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</si>
  <si>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</si>
  <si>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</si>
  <si>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</si>
  <si>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</si>
  <si>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</si>
  <si>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</si>
  <si>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</si>
  <si>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</si>
  <si>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</si>
  <si>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</si>
  <si>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</si>
  <si>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</si>
  <si>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</si>
  <si>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</si>
  <si>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</si>
  <si>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</si>
  <si>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</si>
  <si>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</si>
  <si>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</si>
  <si>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</si>
  <si>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</si>
  <si>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</si>
  <si>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</si>
  <si>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</si>
  <si>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</si>
  <si>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</si>
  <si>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</si>
  <si>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</si>
  <si>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</si>
  <si>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</si>
  <si>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</si>
  <si>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</si>
  <si>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</si>
  <si>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</si>
  <si>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</si>
  <si>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</si>
  <si>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</si>
  <si>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</si>
  <si>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</si>
  <si>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</si>
  <si>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</si>
  <si>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</si>
  <si>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</si>
  <si>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</si>
  <si>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</si>
  <si>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</si>
  <si>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</si>
  <si>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</si>
  <si>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</si>
  <si>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</si>
  <si>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</si>
  <si>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</si>
  <si>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</si>
  <si>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</si>
  <si>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</si>
  <si>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</si>
  <si>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</si>
  <si>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</si>
  <si>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</si>
  <si>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</si>
  <si>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</si>
  <si>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</si>
  <si>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</si>
  <si>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</si>
  <si>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</si>
  <si>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</si>
  <si>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</si>
  <si>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</si>
  <si>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</si>
  <si>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</si>
  <si>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</si>
  <si>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</si>
  <si>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</si>
  <si>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</si>
  <si>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</si>
  <si>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</si>
  <si>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</si>
  <si>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</si>
  <si>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</si>
  <si>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</si>
  <si>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</si>
  <si>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</si>
  <si>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</si>
  <si>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</si>
  <si>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</si>
  <si>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</si>
  <si>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</si>
  <si>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</si>
  <si>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</si>
  <si>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</si>
  <si>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</si>
  <si>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</si>
  <si>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</si>
  <si>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</si>
  <si>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</si>
  <si>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</si>
  <si>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</si>
  <si>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</si>
  <si>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</si>
  <si>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</si>
  <si>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</si>
  <si>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</si>
  <si>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</si>
  <si>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</si>
  <si>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</si>
  <si>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</si>
  <si>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</si>
  <si>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</si>
  <si>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</si>
  <si>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</si>
  <si>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</si>
  <si>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</si>
  <si>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</si>
  <si>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</si>
  <si>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</si>
  <si>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</si>
  <si>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</si>
  <si>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</si>
  <si>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</si>
  <si>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</si>
  <si>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</si>
  <si>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</si>
  <si>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</si>
  <si>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</si>
  <si>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</si>
  <si>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</si>
  <si>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</si>
  <si>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</si>
  <si>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</si>
  <si>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</si>
  <si>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</si>
  <si>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</si>
  <si>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</si>
  <si>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</si>
  <si>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</si>
  <si>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</si>
  <si>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</si>
  <si>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</si>
  <si>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</si>
  <si>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</si>
  <si>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</si>
  <si>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</si>
  <si>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</si>
  <si>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</si>
  <si>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</si>
  <si>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</si>
  <si>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</si>
  <si>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</si>
  <si>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</si>
  <si>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</si>
  <si>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</si>
  <si>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</si>
  <si>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</si>
  <si>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</si>
  <si>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</si>
  <si>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</si>
  <si>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</si>
  <si>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</si>
  <si>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</si>
  <si>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</si>
  <si>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</si>
  <si>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</si>
  <si>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</si>
  <si>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</si>
  <si>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</si>
  <si>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</si>
  <si>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</si>
  <si>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</si>
  <si>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</si>
  <si>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</si>
  <si>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</si>
  <si>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</si>
  <si>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</si>
  <si>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</si>
  <si>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</si>
  <si>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</si>
  <si>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</si>
  <si>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</si>
  <si>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</si>
  <si>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</si>
  <si>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</si>
  <si>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</si>
  <si>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</si>
  <si>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</si>
  <si>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</si>
  <si>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</si>
  <si>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</si>
  <si>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</si>
  <si>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</si>
  <si>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</si>
  <si>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</si>
  <si>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</si>
  <si>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</si>
  <si>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</si>
  <si>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</si>
  <si>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</si>
  <si>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</si>
  <si>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</si>
  <si>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</si>
  <si>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</si>
  <si>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</si>
  <si>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</si>
  <si>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</si>
  <si>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</si>
  <si>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</si>
  <si>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</si>
  <si>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</si>
  <si>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</si>
  <si>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</si>
  <si>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</si>
  <si>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</si>
  <si>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</si>
  <si>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</si>
  <si>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</si>
  <si>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</si>
  <si>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</si>
  <si>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</si>
  <si>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</si>
  <si>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</si>
  <si>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</si>
  <si>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</si>
  <si>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</si>
  <si>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</si>
  <si>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</si>
  <si>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</si>
  <si>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</si>
  <si>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</si>
  <si>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</si>
  <si>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</si>
  <si>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</si>
  <si>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</si>
  <si>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</si>
  <si>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</si>
  <si>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</si>
  <si>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</si>
  <si>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</si>
  <si>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</si>
  <si>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</si>
  <si>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</si>
  <si>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</si>
  <si>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</si>
  <si>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</si>
  <si>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</si>
  <si>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</si>
  <si>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</si>
  <si>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</si>
  <si>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</si>
  <si>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</si>
  <si>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</si>
  <si>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</si>
  <si>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</si>
  <si>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</si>
  <si>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</si>
  <si>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</si>
  <si>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</si>
  <si>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</si>
  <si>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</si>
  <si>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</si>
  <si>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</si>
  <si>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</si>
  <si>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</si>
  <si>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</si>
  <si>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</si>
  <si>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</si>
  <si>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</si>
  <si>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</si>
  <si>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</si>
  <si>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</si>
  <si>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</si>
  <si>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</si>
  <si>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</si>
  <si>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</si>
  <si>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</si>
  <si>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</si>
  <si>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</si>
  <si>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</si>
  <si>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</si>
  <si>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</si>
  <si>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</si>
  <si>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</si>
  <si>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</si>
  <si>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</si>
  <si>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</si>
  <si>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</si>
  <si>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</si>
  <si>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</si>
  <si>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</si>
  <si>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</si>
  <si>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</si>
  <si>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</si>
  <si>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</si>
  <si>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</si>
  <si>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</si>
  <si>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</si>
  <si>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</si>
  <si>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</si>
  <si>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</si>
  <si>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</si>
  <si>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</si>
  <si>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</si>
  <si>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</si>
  <si>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</si>
  <si>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</si>
  <si>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</si>
  <si>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</si>
  <si>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</si>
  <si>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</si>
  <si>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</si>
  <si>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</si>
  <si>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</si>
  <si>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</si>
  <si>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</si>
  <si>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</si>
  <si>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</si>
  <si>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</si>
  <si>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</si>
  <si>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</si>
  <si>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</si>
  <si>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</si>
  <si>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</si>
  <si>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</si>
  <si>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</si>
  <si>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</si>
  <si>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</si>
  <si>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</si>
  <si>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</si>
  <si>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</si>
  <si>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</si>
  <si>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</si>
  <si>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</si>
  <si>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</si>
  <si>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</si>
  <si>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</si>
  <si>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</si>
  <si>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</si>
  <si>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</si>
  <si>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</si>
  <si>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</si>
  <si>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</si>
  <si>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</si>
  <si>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</si>
  <si>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</si>
  <si>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</si>
  <si>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</si>
  <si>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</si>
  <si>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</si>
  <si>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</si>
  <si>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</si>
  <si>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</si>
  <si>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</si>
  <si>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</si>
  <si>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</si>
  <si>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</si>
  <si>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</si>
  <si>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</si>
  <si>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</si>
  <si>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</si>
  <si>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</si>
  <si>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</si>
  <si>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</si>
  <si>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</si>
  <si>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</si>
  <si>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</si>
  <si>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</si>
  <si>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</si>
  <si>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</si>
  <si>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</si>
  <si>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</si>
  <si>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</si>
  <si>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</si>
  <si>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</si>
  <si>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</si>
  <si>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</si>
  <si>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</si>
  <si>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</si>
  <si>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</si>
  <si>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</si>
  <si>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</si>
  <si>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</si>
  <si>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</si>
  <si>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</si>
  <si>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</si>
  <si>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</si>
  <si>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</si>
  <si>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</si>
  <si>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</si>
  <si>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</si>
  <si>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</si>
  <si>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</si>
  <si>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</si>
  <si>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</si>
  <si>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</si>
  <si>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</si>
  <si>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</si>
  <si>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</si>
  <si>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</si>
  <si>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</si>
  <si>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</si>
  <si>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</si>
  <si>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</si>
  <si>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</si>
  <si>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</si>
  <si>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</si>
  <si>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</si>
  <si>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</si>
  <si>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</si>
  <si>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</si>
  <si>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</si>
  <si>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</si>
  <si>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</si>
  <si>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</si>
  <si>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</si>
  <si>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</si>
  <si>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</si>
  <si>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</si>
  <si>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</si>
  <si>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</si>
  <si>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</si>
  <si>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</si>
  <si>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</si>
  <si>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</si>
  <si>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</si>
  <si>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</si>
  <si>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</si>
  <si>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</si>
  <si>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</si>
  <si>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</si>
  <si>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</si>
  <si>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</si>
  <si>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</si>
  <si>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</si>
  <si>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</si>
  <si>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</si>
  <si>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</si>
  <si>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</si>
  <si>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</si>
  <si>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</si>
  <si>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</si>
  <si>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</si>
  <si>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</si>
  <si>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</si>
  <si>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</si>
  <si>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</si>
  <si>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</si>
  <si>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</si>
  <si>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</si>
  <si>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</si>
  <si>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</si>
  <si>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</si>
  <si>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</si>
  <si>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</si>
  <si>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</si>
  <si>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</si>
  <si>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</si>
  <si>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</si>
  <si>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</si>
  <si>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</si>
  <si>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</si>
  <si>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</si>
  <si>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</si>
  <si>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</si>
  <si>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</si>
  <si>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</si>
  <si>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</si>
  <si>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</si>
  <si>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</si>
  <si>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</si>
  <si>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</si>
  <si>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</si>
  <si>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</si>
  <si>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</si>
  <si>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</si>
  <si>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</si>
  <si>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</si>
  <si>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</si>
  <si>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</si>
  <si>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</si>
  <si>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</si>
  <si>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</si>
  <si>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</si>
  <si>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</si>
  <si>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</si>
  <si>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</si>
  <si>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</si>
  <si>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</si>
  <si>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</si>
  <si>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</si>
  <si>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</si>
  <si>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</si>
  <si>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</si>
  <si>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</si>
  <si>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</si>
  <si>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</si>
  <si>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</si>
  <si>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</si>
  <si>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</si>
  <si>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</si>
  <si>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</si>
  <si>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</si>
  <si>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</si>
  <si>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</si>
  <si>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</si>
  <si>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</si>
  <si>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</si>
  <si>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</si>
  <si>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</si>
  <si>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</si>
  <si>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</si>
  <si>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</si>
  <si>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</si>
  <si>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</si>
  <si>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</si>
  <si>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</si>
  <si>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</si>
  <si>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</si>
  <si>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</si>
  <si>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</si>
  <si>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</si>
  <si>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</si>
  <si>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</si>
  <si>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</si>
  <si>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</si>
  <si>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</si>
  <si>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</si>
  <si>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</si>
  <si>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</si>
  <si>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</si>
  <si>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</si>
  <si>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</si>
  <si>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</si>
  <si>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</si>
  <si>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</si>
  <si>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</si>
  <si>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</si>
  <si>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</si>
  <si>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</si>
  <si>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</si>
  <si>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</si>
  <si>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</si>
  <si>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</si>
  <si>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</si>
  <si>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</si>
  <si>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</si>
  <si>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</si>
  <si>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</si>
  <si>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</si>
  <si>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</si>
  <si>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</si>
  <si>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</si>
  <si>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</si>
  <si>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</si>
  <si>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</si>
  <si>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</si>
  <si>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</si>
  <si>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</si>
  <si>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</si>
  <si>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</si>
  <si>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</si>
  <si>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</si>
  <si>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</si>
  <si>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</si>
  <si>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</si>
  <si>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</si>
  <si>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</si>
  <si>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</si>
  <si>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</si>
  <si>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</si>
  <si>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</si>
  <si>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</si>
  <si>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</si>
  <si>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</si>
  <si>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</si>
  <si>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</si>
  <si>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</si>
  <si>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</si>
  <si>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</si>
  <si>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</si>
  <si>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</si>
  <si>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</si>
  <si>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</si>
  <si>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</si>
  <si>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</si>
  <si>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</si>
  <si>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</si>
  <si>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</si>
  <si>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</si>
  <si>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</si>
  <si>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</si>
  <si>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</si>
  <si>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</si>
  <si>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</si>
  <si>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</si>
  <si>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</si>
  <si>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</si>
  <si>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</si>
  <si>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</si>
  <si>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</si>
  <si>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</si>
  <si>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</si>
  <si>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</si>
  <si>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</si>
  <si>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</si>
  <si>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</si>
  <si>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</si>
  <si>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</si>
  <si>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</si>
  <si>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</si>
  <si>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</si>
  <si>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</si>
  <si>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</si>
  <si>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</si>
  <si>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</si>
  <si>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</si>
  <si>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</si>
  <si>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</si>
  <si>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</si>
  <si>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</si>
  <si>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</si>
  <si>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</si>
  <si>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</si>
  <si>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</si>
  <si>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</si>
  <si>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</si>
  <si>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</si>
  <si>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</si>
  <si>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</si>
  <si>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</si>
  <si>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</si>
  <si>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</si>
  <si>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</si>
  <si>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</si>
  <si>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</si>
  <si>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</si>
  <si>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</si>
  <si>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</si>
  <si>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</si>
  <si>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</si>
  <si>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</si>
  <si>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</si>
  <si>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</si>
  <si>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</si>
  <si>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</si>
  <si>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</si>
  <si>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</si>
  <si>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</si>
  <si>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</si>
  <si>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</si>
  <si>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</si>
  <si>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</si>
  <si>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</si>
  <si>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</si>
  <si>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</si>
  <si>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</si>
  <si>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</si>
  <si>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</si>
  <si>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</si>
  <si>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</si>
  <si>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</si>
  <si>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</si>
  <si>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</si>
  <si>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</si>
  <si>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</si>
  <si>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</si>
  <si>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</si>
  <si>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</si>
  <si>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</si>
  <si>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</si>
  <si>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</si>
  <si>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</si>
  <si>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</si>
  <si>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</si>
  <si>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</si>
  <si>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</si>
  <si>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</si>
  <si>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</si>
  <si>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</si>
  <si>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</si>
  <si>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</si>
  <si>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</si>
  <si>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</si>
  <si>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</si>
  <si>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</si>
  <si>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</si>
  <si>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</si>
  <si>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</si>
  <si>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</si>
  <si>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</si>
  <si>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</si>
  <si>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</si>
  <si>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</si>
  <si>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</si>
  <si>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</si>
  <si>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</si>
  <si>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</si>
  <si>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</si>
  <si>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</si>
  <si>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</si>
  <si>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</si>
  <si>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</si>
  <si>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</si>
  <si>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</si>
  <si>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</si>
  <si>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</si>
  <si>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</si>
  <si>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</si>
  <si>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</si>
  <si>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</si>
  <si>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</si>
  <si>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</si>
  <si>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</si>
  <si>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</si>
  <si>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</si>
  <si>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</si>
  <si>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</si>
  <si>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</si>
  <si>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</si>
  <si>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</si>
  <si>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</si>
  <si>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</si>
  <si>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</si>
  <si>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</si>
  <si>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</si>
  <si>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</si>
  <si>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</si>
  <si>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</si>
  <si>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</si>
  <si>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</si>
  <si>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</si>
  <si>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</si>
  <si>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</si>
  <si>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</si>
  <si>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</si>
  <si>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</si>
  <si>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</si>
  <si>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</si>
  <si>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</si>
  <si>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</si>
  <si>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</si>
  <si>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</si>
  <si>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</si>
  <si>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</si>
  <si>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</si>
  <si>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</si>
  <si>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</si>
  <si>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</si>
  <si>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</si>
  <si>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</si>
  <si>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</si>
  <si>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</si>
  <si>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</si>
  <si>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</si>
  <si>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</si>
  <si>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</si>
  <si>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</si>
  <si>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</si>
  <si>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</si>
  <si>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</si>
  <si>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</si>
  <si>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</si>
  <si>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</si>
  <si>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</si>
  <si>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</si>
  <si>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</si>
  <si>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</si>
  <si>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</si>
  <si>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</si>
  <si>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</si>
  <si>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</si>
  <si>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</si>
  <si>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</si>
  <si>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</si>
  <si>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</si>
  <si>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</si>
  <si>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</si>
  <si>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</si>
  <si>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</si>
  <si>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</si>
  <si>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</si>
  <si>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</si>
  <si>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</si>
  <si>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</si>
  <si>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</si>
  <si>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</si>
  <si>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</si>
  <si>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</si>
  <si>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</si>
  <si>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</si>
  <si>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</si>
  <si>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</si>
  <si>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</si>
  <si>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</si>
  <si>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</si>
  <si>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</si>
  <si>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</si>
  <si>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</si>
  <si>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</si>
  <si>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</si>
  <si>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</si>
  <si>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</si>
  <si>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</si>
  <si>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</si>
  <si>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</si>
  <si>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</si>
  <si>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</si>
  <si>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</si>
  <si>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</si>
  <si>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</si>
  <si>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</si>
  <si>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</si>
  <si>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</si>
  <si>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</si>
  <si>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</si>
  <si>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</si>
  <si>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</si>
  <si>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</si>
  <si>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</si>
  <si>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</si>
  <si>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</si>
  <si>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</si>
  <si>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</si>
  <si>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</si>
  <si>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</si>
  <si>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</si>
  <si>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</si>
  <si>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</si>
  <si>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</si>
  <si>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</si>
  <si>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</si>
  <si>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</si>
  <si>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</si>
  <si>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</si>
  <si>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</si>
  <si>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</si>
  <si>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</si>
  <si>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</si>
  <si>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</si>
  <si>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</si>
  <si>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</si>
  <si>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</si>
  <si>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</si>
  <si>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</si>
  <si>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</si>
  <si>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</si>
  <si>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</si>
  <si>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</si>
  <si>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</si>
  <si>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</si>
  <si>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</si>
  <si>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</si>
  <si>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</si>
  <si>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</si>
  <si>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</si>
  <si>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</si>
  <si>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</si>
  <si>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</si>
  <si>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</si>
  <si>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</si>
  <si>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</si>
  <si>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</si>
  <si>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</si>
  <si>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</si>
  <si>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</si>
  <si>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</si>
  <si>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</si>
  <si>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</si>
  <si>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</si>
  <si>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</si>
  <si>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</si>
  <si>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</si>
  <si>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</si>
  <si>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</si>
  <si>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</si>
  <si>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</si>
  <si>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</si>
  <si>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</si>
  <si>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</si>
  <si>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</si>
  <si>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</si>
  <si>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</si>
  <si>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</si>
  <si>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</si>
  <si>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</si>
  <si>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</si>
  <si>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</si>
  <si>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</si>
  <si>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</si>
  <si>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</si>
  <si>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</si>
  <si>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</si>
  <si>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</si>
  <si>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</si>
  <si>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</si>
  <si>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</si>
  <si>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</si>
  <si>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</si>
  <si>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</si>
  <si>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</si>
  <si>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</si>
  <si>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</si>
  <si>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</si>
  <si>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</si>
  <si>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</si>
  <si>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</si>
  <si>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</si>
  <si>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</si>
  <si>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</si>
  <si>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</si>
  <si>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</si>
  <si>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</si>
  <si>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</si>
  <si>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</si>
  <si>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</si>
  <si>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</si>
  <si>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</si>
  <si>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</si>
  <si>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</si>
  <si>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</si>
  <si>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</si>
  <si>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</si>
  <si>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</si>
  <si>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</si>
  <si>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</si>
  <si>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</si>
  <si>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</si>
  <si>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</si>
  <si>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</si>
  <si>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</si>
  <si>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</si>
  <si>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</si>
  <si>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</si>
  <si>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</si>
  <si>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</si>
  <si>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</si>
  <si>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</si>
  <si>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</si>
  <si>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</si>
  <si>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</si>
  <si>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</si>
  <si>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</si>
  <si>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</si>
  <si>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</si>
  <si>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</si>
  <si>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</si>
  <si>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</si>
  <si>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</si>
  <si>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</si>
  <si>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</si>
  <si>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</si>
  <si>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</si>
  <si>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</si>
  <si>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</si>
  <si>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</si>
  <si>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</si>
  <si>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</si>
  <si>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</si>
  <si>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</si>
  <si>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</si>
  <si>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</si>
  <si>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</si>
  <si>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</si>
  <si>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</si>
  <si>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</si>
  <si>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</si>
  <si>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</si>
  <si>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</si>
  <si>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</si>
  <si>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</si>
  <si>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</si>
  <si>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</si>
  <si>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</si>
  <si>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</si>
  <si>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</si>
  <si>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</si>
  <si>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</si>
  <si>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</si>
  <si>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</si>
  <si>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</si>
  <si>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</si>
  <si>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</si>
  <si>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</si>
  <si>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</si>
  <si>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</si>
  <si>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</si>
  <si>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</si>
  <si>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</si>
  <si>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</si>
  <si>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</si>
  <si>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</si>
  <si>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</si>
  <si>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</si>
  <si>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</si>
  <si>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</si>
  <si>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</si>
  <si>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</si>
  <si>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</si>
  <si>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</si>
  <si>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</si>
  <si>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</si>
  <si>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</si>
  <si>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</si>
  <si>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</si>
  <si>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</si>
  <si>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</si>
  <si>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</si>
  <si>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</si>
  <si>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</si>
  <si>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</si>
  <si>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</si>
  <si>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</si>
  <si>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</si>
  <si>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</si>
  <si>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</si>
  <si>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</si>
  <si>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</si>
  <si>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</si>
  <si>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</si>
  <si>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</si>
  <si>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</si>
  <si>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</si>
  <si>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</si>
  <si>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</si>
  <si>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</si>
  <si>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</si>
  <si>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</si>
  <si>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</si>
  <si>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</si>
  <si>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</si>
  <si>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</si>
  <si>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</si>
  <si>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</si>
  <si>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</si>
  <si>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</si>
  <si>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</si>
  <si>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</si>
  <si>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</si>
  <si>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</si>
  <si>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</si>
  <si>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</si>
  <si>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</si>
  <si>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</si>
  <si>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</si>
  <si>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</si>
  <si>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</si>
  <si>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</si>
  <si>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</si>
  <si>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</si>
  <si>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</si>
  <si>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</si>
  <si>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</si>
  <si>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</si>
  <si>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</si>
  <si>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</si>
  <si>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</si>
  <si>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</si>
  <si>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</si>
  <si>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</si>
  <si>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</si>
  <si>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</si>
  <si>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</si>
  <si>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</si>
  <si>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</si>
  <si>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</si>
  <si>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</si>
  <si>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</si>
  <si>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</si>
  <si>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</si>
  <si>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</si>
  <si>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</si>
  <si>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</si>
  <si>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</si>
  <si>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</si>
  <si>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</si>
  <si>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</si>
  <si>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</si>
  <si>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</si>
  <si>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</si>
  <si>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</si>
  <si>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</si>
  <si>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</si>
  <si>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</si>
  <si>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</si>
  <si>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</si>
  <si>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</si>
  <si>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</si>
  <si>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</si>
  <si>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</si>
  <si>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</si>
  <si>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</si>
  <si>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</si>
  <si>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</si>
  <si>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</si>
  <si>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</si>
  <si>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</si>
  <si>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</si>
  <si>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</si>
  <si>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</si>
  <si>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</si>
  <si>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</si>
  <si>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</si>
  <si>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</si>
  <si>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</si>
  <si>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</si>
  <si>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</si>
  <si>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</si>
  <si>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</si>
  <si>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</si>
  <si>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</si>
  <si>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</si>
  <si>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</si>
  <si>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</si>
  <si>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</si>
  <si>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</si>
  <si>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</si>
  <si>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</si>
  <si>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</si>
  <si>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</si>
  <si>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</si>
  <si>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</si>
  <si>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</si>
  <si>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</si>
  <si>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</si>
  <si>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</si>
  <si>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</si>
  <si>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</si>
  <si>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</si>
  <si>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</si>
  <si>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</si>
  <si>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</si>
  <si>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</si>
  <si>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</si>
  <si>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</si>
  <si>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</si>
  <si>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</si>
  <si>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</si>
  <si>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</si>
  <si>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</si>
  <si>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</si>
  <si>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</si>
  <si>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</si>
  <si>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</si>
  <si>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</si>
  <si>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</si>
  <si>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</si>
  <si>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</si>
  <si>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</si>
  <si>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</si>
  <si>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</si>
  <si>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</si>
  <si>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</si>
  <si>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</si>
  <si>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</si>
  <si>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</si>
  <si>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</si>
  <si>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</si>
  <si>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</si>
  <si>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</si>
  <si>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</si>
  <si>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</si>
  <si>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</si>
  <si>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</si>
  <si>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</si>
  <si>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</si>
  <si>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</si>
  <si>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</si>
  <si>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</si>
  <si>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</si>
  <si>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</si>
  <si>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</si>
  <si>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</si>
  <si>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</si>
  <si>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</si>
  <si>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</si>
  <si>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</si>
  <si>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</si>
  <si>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</si>
  <si>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</si>
  <si>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</si>
  <si>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</si>
  <si>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</si>
  <si>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</si>
  <si>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</si>
  <si>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</si>
  <si>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</si>
  <si>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</si>
  <si>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</si>
  <si>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</si>
  <si>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</si>
  <si>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</si>
  <si>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</si>
  <si>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</si>
  <si>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</si>
  <si>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</si>
  <si>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</si>
  <si>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</si>
  <si>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</si>
  <si>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</si>
  <si>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</si>
  <si>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</si>
  <si>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</si>
  <si>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</si>
  <si>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</si>
  <si>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</si>
  <si>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</si>
  <si>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</si>
  <si>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</si>
  <si>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</si>
  <si>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</si>
  <si>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</si>
  <si>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</si>
  <si>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</si>
  <si>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</si>
  <si>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</si>
  <si>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</si>
  <si>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</si>
  <si>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</si>
  <si>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</si>
  <si>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</si>
  <si>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</si>
  <si>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</si>
  <si>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</si>
  <si>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</si>
  <si>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</si>
  <si>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</si>
  <si>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</si>
  <si>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</si>
  <si>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</si>
  <si>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</si>
  <si>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</si>
  <si>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</si>
  <si>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</si>
  <si>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</si>
  <si>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</si>
  <si>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</si>
  <si>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</si>
  <si>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</si>
  <si>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</si>
  <si>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</si>
  <si>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</si>
  <si>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</si>
  <si>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</si>
  <si>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</si>
  <si>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</si>
  <si>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</si>
  <si>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</si>
  <si>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</si>
  <si>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</si>
  <si>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</si>
  <si>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</si>
  <si>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</si>
  <si>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</si>
  <si>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</si>
  <si>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</si>
  <si>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</si>
  <si>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</si>
  <si>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</si>
  <si>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</si>
  <si>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</si>
  <si>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</si>
  <si>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</si>
  <si>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</si>
  <si>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</si>
  <si>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</si>
  <si>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</si>
  <si>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</si>
  <si>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</si>
  <si>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</si>
  <si>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</si>
  <si>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</si>
  <si>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</si>
  <si>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</si>
  <si>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</si>
  <si>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</si>
  <si>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</si>
  <si>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</si>
  <si>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</si>
  <si>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</si>
  <si>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</si>
  <si>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</si>
  <si>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</si>
  <si>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</si>
  <si>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</si>
  <si>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</si>
  <si>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</si>
  <si>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</si>
  <si>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</si>
  <si>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</si>
  <si>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</si>
  <si>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</si>
  <si>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</si>
  <si>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</si>
  <si>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</si>
  <si>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</si>
  <si>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</si>
  <si>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</si>
  <si>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</si>
  <si>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</si>
  <si>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</si>
  <si>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</si>
  <si>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</si>
  <si>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</si>
  <si>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</si>
  <si>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</si>
  <si>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</si>
  <si>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</si>
  <si>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</si>
  <si>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</si>
  <si>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</si>
  <si>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</si>
  <si>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</si>
  <si>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</si>
  <si>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</si>
  <si>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</si>
  <si>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</si>
  <si>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</si>
  <si>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</si>
  <si>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</si>
  <si>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</si>
  <si>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</si>
  <si>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</si>
  <si>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</si>
  <si>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</si>
  <si>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</si>
  <si>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</si>
  <si>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</si>
  <si>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</si>
  <si>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</si>
  <si>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</si>
  <si>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</si>
  <si>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</si>
  <si>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</si>
  <si>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</si>
  <si>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</si>
  <si>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</si>
  <si>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</si>
  <si>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</si>
  <si>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</si>
  <si>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</si>
  <si>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</si>
  <si>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</si>
  <si>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</si>
  <si>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</si>
  <si>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</si>
  <si>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</si>
  <si>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</si>
  <si>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</si>
  <si>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</si>
  <si>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</si>
  <si>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</si>
  <si>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</si>
  <si>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</si>
  <si>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</si>
  <si>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</si>
  <si>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</si>
  <si>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</si>
  <si>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</si>
  <si>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</si>
  <si>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</si>
  <si>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</si>
  <si>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</si>
  <si>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</si>
  <si>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</si>
  <si>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</si>
  <si>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</si>
  <si>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</si>
  <si>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</si>
  <si>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</si>
  <si>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</si>
  <si>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</si>
  <si>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</si>
  <si>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</si>
  <si>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</si>
  <si>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</si>
  <si>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</si>
  <si>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</si>
  <si>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</si>
  <si>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</si>
  <si>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</si>
  <si>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</si>
  <si>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</si>
  <si>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</si>
  <si>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</si>
  <si>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</si>
  <si>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</si>
  <si>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</si>
  <si>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</si>
  <si>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</si>
  <si>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</si>
  <si>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</si>
  <si>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</si>
  <si>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</si>
  <si>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</si>
  <si>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</si>
  <si>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</si>
  <si>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</si>
  <si>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</si>
  <si>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</si>
  <si>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</si>
  <si>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</si>
  <si>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</si>
  <si>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</si>
  <si>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</si>
  <si>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</si>
  <si>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</si>
  <si>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</si>
  <si>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</si>
  <si>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</si>
  <si>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</si>
  <si>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</si>
  <si>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</si>
  <si>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</si>
  <si>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</si>
  <si>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</si>
  <si>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</si>
  <si>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</si>
  <si>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</si>
  <si>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</si>
  <si>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</si>
  <si>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</si>
  <si>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</si>
  <si>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</si>
  <si>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</si>
  <si>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</si>
  <si>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</si>
  <si>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</si>
  <si>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</si>
  <si>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</si>
  <si>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</si>
  <si>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</si>
  <si>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</si>
  <si>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</si>
  <si>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</si>
  <si>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</si>
  <si>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</si>
  <si>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</si>
  <si>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</si>
  <si>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</si>
  <si>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</si>
  <si>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</si>
  <si>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</si>
  <si>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</si>
  <si>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</si>
  <si>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</si>
  <si>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</si>
  <si>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</si>
  <si>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</si>
  <si>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</si>
  <si>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</si>
  <si>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</si>
  <si>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</si>
  <si>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</si>
  <si>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</si>
  <si>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</si>
  <si>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</si>
  <si>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</si>
  <si>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</si>
  <si>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</si>
  <si>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</si>
  <si>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</si>
  <si>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</si>
  <si>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</si>
  <si>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</si>
  <si>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</si>
  <si>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</si>
  <si>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</si>
  <si>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</si>
  <si>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</si>
  <si>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</si>
  <si>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</si>
  <si>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</si>
  <si>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</si>
  <si>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</si>
  <si>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</si>
  <si>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</si>
  <si>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</si>
  <si>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</si>
  <si>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</si>
  <si>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</si>
  <si>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</si>
  <si>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</si>
  <si>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</si>
  <si>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</si>
  <si>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</si>
  <si>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</si>
  <si>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</si>
  <si>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</si>
  <si>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</si>
  <si>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</si>
  <si>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</si>
  <si>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</si>
  <si>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</si>
  <si>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</si>
  <si>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</si>
  <si>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</si>
  <si>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</si>
  <si>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</si>
  <si>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</si>
  <si>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</si>
  <si>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</si>
  <si>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</si>
  <si>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</si>
  <si>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</si>
  <si>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</si>
  <si>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</si>
  <si>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</si>
  <si>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</si>
  <si>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</si>
  <si>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</si>
  <si>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</si>
  <si>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</si>
  <si>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</si>
  <si>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</si>
  <si>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</si>
  <si>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</si>
  <si>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</si>
  <si>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</si>
  <si>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</si>
  <si>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</si>
  <si>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</si>
  <si>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</si>
  <si>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</si>
  <si>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</si>
  <si>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</si>
  <si>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</si>
  <si>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</si>
  <si>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</si>
  <si>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</si>
  <si>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</si>
  <si>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</si>
  <si>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</si>
  <si>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</si>
  <si>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</si>
  <si>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</si>
  <si>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</si>
  <si>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</si>
  <si>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</si>
  <si>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</si>
  <si>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</si>
  <si>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</si>
  <si>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</si>
  <si>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</si>
  <si>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</si>
  <si>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</si>
  <si>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</si>
  <si>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</si>
  <si>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</si>
  <si>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</si>
  <si>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</si>
  <si>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</si>
  <si>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</si>
  <si>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</si>
  <si>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</si>
  <si>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</si>
  <si>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</si>
  <si>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</si>
  <si>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</si>
  <si>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</si>
  <si>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</si>
  <si>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</si>
  <si>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</si>
  <si>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</si>
  <si>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</si>
  <si>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</si>
  <si>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</si>
  <si>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</si>
  <si>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</si>
  <si>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</si>
  <si>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</si>
  <si>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</si>
  <si>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</si>
  <si>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</si>
  <si>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</si>
  <si>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</si>
  <si>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</si>
  <si>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</si>
  <si>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</si>
  <si>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</si>
  <si>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</si>
  <si>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</si>
  <si>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</si>
  <si>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</si>
  <si>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</si>
  <si>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</si>
  <si>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</si>
  <si>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</si>
  <si>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</si>
  <si>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</si>
  <si>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</si>
  <si>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</si>
  <si>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</si>
  <si>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</si>
  <si>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</si>
  <si>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</si>
  <si>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</si>
  <si>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</si>
  <si>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</si>
  <si>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</si>
  <si>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</si>
  <si>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</si>
  <si>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</si>
  <si>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</si>
  <si>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</si>
  <si>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</si>
  <si>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</si>
  <si>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</si>
  <si>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</si>
  <si>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</si>
  <si>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</si>
  <si>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</si>
  <si>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</si>
  <si>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</si>
  <si>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</si>
  <si>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</si>
  <si>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</si>
  <si>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</si>
  <si>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</si>
  <si>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</si>
  <si>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</si>
  <si>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</si>
  <si>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</si>
  <si>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</si>
  <si>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</si>
  <si>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</si>
  <si>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</si>
  <si>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</si>
  <si>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</si>
  <si>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</si>
  <si>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</si>
  <si>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</si>
  <si>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</si>
  <si>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</si>
  <si>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</si>
  <si>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</si>
  <si>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</si>
  <si>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</si>
  <si>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</si>
  <si>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</si>
  <si>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</si>
  <si>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</si>
  <si>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</si>
  <si>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</si>
  <si>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</si>
  <si>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</si>
  <si>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</si>
  <si>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</si>
  <si>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</si>
  <si>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</si>
  <si>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</si>
  <si>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</si>
  <si>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</si>
  <si>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</si>
  <si>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</si>
  <si>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</si>
  <si>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</si>
  <si>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</si>
  <si>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</si>
  <si>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</si>
  <si>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</si>
  <si>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</si>
  <si>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</si>
  <si>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</si>
  <si>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</si>
  <si>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</si>
  <si>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</si>
  <si>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</si>
  <si>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</si>
  <si>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</si>
  <si>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</si>
  <si>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</si>
  <si>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</si>
  <si>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</si>
  <si>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</si>
  <si>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</si>
  <si>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</si>
  <si>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</si>
  <si>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</si>
  <si>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</si>
  <si>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</si>
  <si>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</si>
  <si>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</si>
  <si>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</si>
  <si>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</si>
  <si>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</si>
  <si>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</si>
  <si>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</si>
  <si>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</si>
  <si>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</si>
  <si>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</si>
  <si>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</si>
  <si>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</si>
  <si>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</si>
  <si>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</si>
  <si>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</si>
  <si>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</si>
  <si>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</si>
  <si>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</si>
  <si>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</si>
  <si>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</si>
  <si>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</si>
  <si>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</si>
  <si>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</si>
  <si>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</si>
  <si>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</si>
  <si>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</si>
  <si>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</si>
  <si>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</si>
  <si>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</si>
  <si>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</si>
  <si>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</si>
  <si>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</si>
  <si>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</si>
  <si>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</si>
  <si>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</si>
  <si>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</si>
  <si>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</si>
  <si>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</si>
  <si>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</si>
  <si>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</si>
  <si>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</si>
  <si>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</si>
  <si>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</si>
  <si>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</si>
  <si>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</si>
  <si>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</si>
  <si>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</si>
  <si>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</si>
  <si>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</si>
  <si>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</si>
  <si>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</si>
  <si>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</si>
  <si>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</si>
  <si>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</si>
  <si>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</si>
  <si>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</si>
  <si>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</si>
  <si>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</si>
  <si>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</si>
  <si>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</si>
  <si>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</si>
  <si>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</si>
  <si>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</si>
  <si>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</si>
  <si>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</si>
  <si>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</si>
  <si>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</si>
  <si>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</si>
  <si>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</si>
  <si>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</si>
  <si>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</si>
  <si>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</si>
  <si>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</si>
  <si>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</si>
  <si>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</si>
  <si>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</si>
  <si>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</si>
  <si>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</si>
  <si>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</si>
  <si>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</si>
  <si>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</si>
  <si>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</si>
  <si>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</si>
  <si>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</si>
  <si>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</si>
  <si>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</si>
  <si>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</si>
  <si>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</si>
  <si>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</si>
  <si>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</si>
  <si>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</si>
  <si>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</si>
  <si>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</si>
  <si>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</si>
  <si>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</si>
  <si>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</si>
  <si>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</si>
  <si>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</si>
  <si>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</si>
  <si>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</si>
  <si>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</si>
  <si>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</si>
  <si>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</si>
  <si>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</si>
  <si>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</si>
  <si>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</si>
  <si>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</si>
  <si>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</si>
  <si>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</si>
  <si>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</si>
  <si>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</si>
  <si>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</si>
  <si>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</si>
  <si>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</si>
  <si>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</si>
  <si>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</si>
  <si>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</si>
  <si>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</si>
  <si>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</si>
  <si>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</si>
  <si>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</si>
  <si>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</si>
  <si>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</si>
  <si>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</si>
  <si>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</si>
  <si>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</si>
  <si>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</si>
  <si>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</si>
  <si>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</si>
  <si>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</si>
  <si>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</si>
  <si>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iCE40 Ultra™ Feldprogrammierbares Gate-Array (FPGA) IC 26 65536 1100 36-XFBGA, WLCSP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</si>
  <si>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</si>
  <si>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</si>
  <si>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</si>
  <si>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</si>
  <si>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</si>
  <si>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</si>
  <si>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</si>
  <si>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</si>
  <si>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</si>
  <si>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</si>
  <si>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</si>
  <si>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</si>
  <si>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</si>
  <si>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</si>
  <si>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</si>
  <si>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</si>
  <si>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IC SWITCH SPDT X 1 15OHM SC70-6</t>
  </si>
  <si>
    <t>IC SWITCH SPDT X 1 15OHM SOT23-6</t>
  </si>
  <si>
    <t>IC SWITCH SPDT X 1 15OHM 6SON</t>
  </si>
  <si>
    <t>IC SWITCH SPDT X 1 15OHM 6X2SON</t>
  </si>
  <si>
    <t>IC SWITCH SPDT X 1 15OHM SOT5X3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</si>
  <si>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</si>
  <si>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</si>
  <si>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</si>
  <si>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</si>
  <si>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</si>
  <si>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</si>
  <si>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296-14909-1-ND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</si>
  <si>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</si>
  <si>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</si>
  <si>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</si>
  <si>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</si>
  <si>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</si>
  <si>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</si>
  <si>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</si>
  <si>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</si>
  <si>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</si>
  <si>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</si>
  <si>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SOT65P210X95-6-NW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</si>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</sst>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0" fillId="0" borderId="0" xfId="0" applyFon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I83" activePane="bottomRight" state="frozen"/>
      <selection pane="topRight" activeCell="C1" sqref="C1"/>
      <selection pane="bottomLeft" activeCell="A2" sqref="A2"/>
      <selection pane="bottomRight" activeCell="Z71" sqref="Z71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18654</v>
      </c>
      <c r="X71" s="17" t="s">
        <v>4729</v>
      </c>
      <c r="Y71" s="48" t="s">
        <v>4559</v>
      </c>
      <c r="Z71" s="17" t="s">
        <v>18653</v>
      </c>
      <c r="AA71" s="48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27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27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27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27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27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27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27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27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27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27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27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27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27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27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27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  <c r="W1887" t="s">
        <v>477</v>
      </c>
      <c r="X1887" t="s">
        <v>17057</v>
      </c>
      <c r="Y1887" t="s">
        <v>4559</v>
      </c>
      <c r="Z1887" t="s">
        <v>18639</v>
      </c>
      <c r="AA1887" t="s">
        <v>4727</v>
      </c>
    </row>
    <row r="1888" spans="1:27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7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7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7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7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7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7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7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7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7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7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7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7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7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7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7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7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  <c r="W1936" t="s">
        <v>477</v>
      </c>
      <c r="X1936" t="s">
        <v>17271</v>
      </c>
      <c r="Y1936" t="s">
        <v>4559</v>
      </c>
      <c r="Z1936" t="s">
        <v>18640</v>
      </c>
      <c r="AA1936" t="s">
        <v>4727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7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7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7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  <c r="W1955" t="s">
        <v>477</v>
      </c>
      <c r="X1955" t="s">
        <v>17359</v>
      </c>
      <c r="Y1955" t="s">
        <v>4559</v>
      </c>
      <c r="Z1955" t="s">
        <v>18636</v>
      </c>
      <c r="AA1955" t="s">
        <v>4727</v>
      </c>
    </row>
    <row r="1956" spans="1:27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7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  <c r="W1957" t="s">
        <v>477</v>
      </c>
      <c r="X1957" t="s">
        <v>17371</v>
      </c>
      <c r="Y1957" t="s">
        <v>4559</v>
      </c>
      <c r="Z1957" t="s">
        <v>18647</v>
      </c>
      <c r="AA1957" t="s">
        <v>4727</v>
      </c>
    </row>
    <row r="1958" spans="1:27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7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  <c r="W1959" t="s">
        <v>477</v>
      </c>
      <c r="X1959" t="s">
        <v>17379</v>
      </c>
      <c r="Y1959" t="s">
        <v>4559</v>
      </c>
      <c r="Z1959" t="s">
        <v>18650</v>
      </c>
      <c r="AA1959" t="s">
        <v>4727</v>
      </c>
    </row>
    <row r="1960" spans="1:27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7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7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  <c r="W1962" t="s">
        <v>477</v>
      </c>
      <c r="X1962" t="s">
        <v>18631</v>
      </c>
      <c r="Y1962" t="s">
        <v>4559</v>
      </c>
      <c r="Z1962" t="s">
        <v>18632</v>
      </c>
      <c r="AA1962" t="s">
        <v>4727</v>
      </c>
    </row>
    <row r="1963" spans="1:27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7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7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7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7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7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7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7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7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7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7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7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7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  <c r="W1975" t="s">
        <v>477</v>
      </c>
      <c r="X1975" t="s">
        <v>17457</v>
      </c>
      <c r="Y1975" t="s">
        <v>4559</v>
      </c>
      <c r="Z1975" t="s">
        <v>18649</v>
      </c>
      <c r="AA1975" t="s">
        <v>4727</v>
      </c>
    </row>
    <row r="1976" spans="1:27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  <c r="W1976" t="s">
        <v>477</v>
      </c>
      <c r="X1976" t="s">
        <v>17461</v>
      </c>
      <c r="Y1976" t="s">
        <v>4559</v>
      </c>
      <c r="Z1976" t="s">
        <v>18648</v>
      </c>
      <c r="AA1976" t="s">
        <v>4727</v>
      </c>
    </row>
    <row r="1977" spans="1:27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7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7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  <c r="W1979" t="s">
        <v>477</v>
      </c>
      <c r="X1979" t="s">
        <v>17473</v>
      </c>
      <c r="Y1979" t="s">
        <v>4559</v>
      </c>
      <c r="Z1979" t="s">
        <v>18638</v>
      </c>
      <c r="AA1979" t="s">
        <v>4727</v>
      </c>
    </row>
    <row r="1980" spans="1:27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  <c r="W1980" t="s">
        <v>477</v>
      </c>
      <c r="X1980" t="s">
        <v>17479</v>
      </c>
      <c r="Y1980" t="s">
        <v>4559</v>
      </c>
      <c r="Z1980" t="s">
        <v>18651</v>
      </c>
      <c r="AA1980" t="s">
        <v>4727</v>
      </c>
    </row>
    <row r="1981" spans="1:27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7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7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  <c r="W1983" t="s">
        <v>477</v>
      </c>
      <c r="X1983" t="s">
        <v>17491</v>
      </c>
      <c r="Y1983" t="s">
        <v>4559</v>
      </c>
      <c r="Z1983" t="s">
        <v>18652</v>
      </c>
      <c r="AA1983" t="s">
        <v>4727</v>
      </c>
    </row>
    <row r="1984" spans="1:27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7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7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7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  <c r="W1987" t="s">
        <v>477</v>
      </c>
      <c r="X1987" t="s">
        <v>17511</v>
      </c>
      <c r="Y1987" t="s">
        <v>4559</v>
      </c>
      <c r="Z1987" t="s">
        <v>18637</v>
      </c>
      <c r="AA1987" t="s">
        <v>4727</v>
      </c>
    </row>
    <row r="1988" spans="1:27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7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7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7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7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7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7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7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7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7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7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7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7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7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7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7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  <c r="W2003" t="s">
        <v>477</v>
      </c>
      <c r="X2003" t="s">
        <v>17595</v>
      </c>
      <c r="Y2003" t="s">
        <v>4559</v>
      </c>
      <c r="Z2003" t="s">
        <v>18633</v>
      </c>
      <c r="AA2003" t="s">
        <v>4727</v>
      </c>
    </row>
    <row r="2004" spans="1:27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7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7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7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7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7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7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7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7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7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7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7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7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7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7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7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7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7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7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7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7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7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7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7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  <c r="W2027" t="s">
        <v>477</v>
      </c>
      <c r="X2027" t="s">
        <v>18634</v>
      </c>
      <c r="Y2027" t="s">
        <v>4559</v>
      </c>
      <c r="Z2027" t="s">
        <v>18635</v>
      </c>
      <c r="AA2027" t="s">
        <v>4727</v>
      </c>
    </row>
    <row r="2028" spans="1:27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7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7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7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7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67"/>
  <sheetViews>
    <sheetView zoomScaleNormal="100" workbookViewId="0">
      <pane xSplit="2" ySplit="1" topLeftCell="T19" activePane="bottomRight" state="frozen"/>
      <selection pane="topRight" activeCell="C1" sqref="C1"/>
      <selection pane="bottomLeft" activeCell="A2" sqref="A2"/>
      <selection pane="bottomRight" activeCell="X43" sqref="X43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18645</v>
      </c>
      <c r="W43" t="s">
        <v>4559</v>
      </c>
      <c r="X43" t="s">
        <v>18646</v>
      </c>
      <c r="Y43" t="s">
        <v>4727</v>
      </c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18615</v>
      </c>
      <c r="W48" t="s">
        <v>4559</v>
      </c>
      <c r="X48" t="s">
        <v>18616</v>
      </c>
      <c r="Y48" t="s">
        <v>4727</v>
      </c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18083</v>
      </c>
      <c r="B177" t="s">
        <v>18083</v>
      </c>
      <c r="C177" t="s">
        <v>18084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18087</v>
      </c>
      <c r="M177" t="s">
        <v>4298</v>
      </c>
      <c r="N177" t="s">
        <v>18085</v>
      </c>
      <c r="O177" t="s">
        <v>25</v>
      </c>
      <c r="P177" t="s">
        <v>18086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 ht="16.5">
      <c r="A178" t="s">
        <v>10654</v>
      </c>
      <c r="B178" t="s">
        <v>10654</v>
      </c>
      <c r="C178" t="s">
        <v>6182</v>
      </c>
      <c r="D178" t="s">
        <v>21</v>
      </c>
      <c r="E178" s="14" t="s">
        <v>6449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18089</v>
      </c>
      <c r="V178" s="9" t="s">
        <v>18088</v>
      </c>
      <c r="W178" t="s">
        <v>4559</v>
      </c>
      <c r="X178" s="9" t="s">
        <v>18090</v>
      </c>
      <c r="Z178" t="s">
        <v>6550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6449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6551</v>
      </c>
    </row>
    <row r="180" spans="1:26">
      <c r="A180" t="s">
        <v>14576</v>
      </c>
      <c r="B180" t="s">
        <v>14576</v>
      </c>
      <c r="C180" t="s">
        <v>14577</v>
      </c>
      <c r="D180" t="s">
        <v>21</v>
      </c>
      <c r="E180" s="14" t="s">
        <v>6767</v>
      </c>
      <c r="F180" t="s">
        <v>13350</v>
      </c>
      <c r="G180" t="str">
        <f>Config!$B$4</f>
        <v>SCH/C_IEC.SchLib</v>
      </c>
      <c r="H180" t="s">
        <v>425</v>
      </c>
      <c r="I180" t="s">
        <v>461</v>
      </c>
      <c r="J180" t="s">
        <v>12535</v>
      </c>
      <c r="K180" s="3">
        <v>2.2000000000000001E-6</v>
      </c>
      <c r="L180" t="s">
        <v>14070</v>
      </c>
      <c r="M180" t="s">
        <v>477</v>
      </c>
      <c r="N180" t="s">
        <v>14578</v>
      </c>
      <c r="O180" t="s">
        <v>25</v>
      </c>
      <c r="P180" t="s">
        <v>14579</v>
      </c>
      <c r="U180" t="s">
        <v>477</v>
      </c>
      <c r="V180" t="s">
        <v>14578</v>
      </c>
      <c r="W180" t="s">
        <v>4559</v>
      </c>
      <c r="X180" t="s">
        <v>14580</v>
      </c>
      <c r="Y180" t="s">
        <v>4727</v>
      </c>
    </row>
    <row r="181" spans="1:26">
      <c r="A181" t="s">
        <v>10655</v>
      </c>
      <c r="B181" t="s">
        <v>10655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6537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6552</v>
      </c>
    </row>
    <row r="183" spans="1:26">
      <c r="A183" t="s">
        <v>6282</v>
      </c>
      <c r="B183" t="s">
        <v>6282</v>
      </c>
      <c r="C183" t="s">
        <v>6283</v>
      </c>
      <c r="D183" t="s">
        <v>21</v>
      </c>
      <c r="E183" s="14" t="s">
        <v>6284</v>
      </c>
      <c r="F183" t="s">
        <v>6285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10</v>
      </c>
      <c r="L183" t="s">
        <v>6288</v>
      </c>
      <c r="M183" t="s">
        <v>6289</v>
      </c>
      <c r="N183" t="s">
        <v>6281</v>
      </c>
      <c r="O183" t="s">
        <v>25</v>
      </c>
      <c r="P183" t="s">
        <v>6290</v>
      </c>
      <c r="U183" t="s">
        <v>4592</v>
      </c>
      <c r="V183" t="s">
        <v>6292</v>
      </c>
      <c r="W183" t="s">
        <v>4559</v>
      </c>
      <c r="X183" s="5" t="s">
        <v>6291</v>
      </c>
    </row>
    <row r="184" spans="1:26">
      <c r="A184" t="s">
        <v>6405</v>
      </c>
      <c r="B184" t="s">
        <v>6405</v>
      </c>
      <c r="C184" t="s">
        <v>6406</v>
      </c>
      <c r="D184" t="s">
        <v>21</v>
      </c>
      <c r="E184" s="14" t="s">
        <v>6284</v>
      </c>
      <c r="F184" t="s">
        <v>6407</v>
      </c>
      <c r="G184" t="str">
        <f>Config!$B$4</f>
        <v>SCH/C_IEC.SchLib</v>
      </c>
      <c r="H184" t="s">
        <v>6286</v>
      </c>
      <c r="I184" t="s">
        <v>6287</v>
      </c>
      <c r="J184" t="s">
        <v>6662</v>
      </c>
      <c r="K184" s="3">
        <v>8.2000000000000001E-5</v>
      </c>
      <c r="L184" t="s">
        <v>6408</v>
      </c>
      <c r="M184" t="s">
        <v>6409</v>
      </c>
      <c r="N184" t="s">
        <v>6411</v>
      </c>
      <c r="O184" t="s">
        <v>25</v>
      </c>
      <c r="P184" t="s">
        <v>6410</v>
      </c>
    </row>
    <row r="185" spans="1:26">
      <c r="A185" t="s">
        <v>6768</v>
      </c>
      <c r="B185" t="s">
        <v>6768</v>
      </c>
      <c r="C185" t="s">
        <v>6769</v>
      </c>
      <c r="D185" t="s">
        <v>21</v>
      </c>
      <c r="E185" s="14" t="s">
        <v>6775</v>
      </c>
      <c r="F185" t="s">
        <v>6776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6822</v>
      </c>
      <c r="M185" t="s">
        <v>6814</v>
      </c>
      <c r="N185" t="s">
        <v>6813</v>
      </c>
      <c r="O185" t="s">
        <v>25</v>
      </c>
      <c r="P185" s="17" t="s">
        <v>6812</v>
      </c>
      <c r="U185" t="s">
        <v>4592</v>
      </c>
      <c r="V185" s="5" t="s">
        <v>6815</v>
      </c>
      <c r="W185" t="s">
        <v>4559</v>
      </c>
      <c r="X185" s="5" t="s">
        <v>6816</v>
      </c>
    </row>
    <row r="186" spans="1:26">
      <c r="A186" t="s">
        <v>6826</v>
      </c>
      <c r="B186" t="s">
        <v>6826</v>
      </c>
      <c r="C186" t="s">
        <v>6833</v>
      </c>
      <c r="D186" t="s">
        <v>21</v>
      </c>
      <c r="E186" s="14" t="s">
        <v>6284</v>
      </c>
      <c r="F186" t="s">
        <v>6774</v>
      </c>
      <c r="G186" t="str">
        <f>Config!$B$4</f>
        <v>SCH/C_IEC.SchLib</v>
      </c>
      <c r="H186" t="s">
        <v>6286</v>
      </c>
      <c r="I186" t="s">
        <v>6287</v>
      </c>
      <c r="J186" t="s">
        <v>6828</v>
      </c>
      <c r="K186" s="3">
        <v>4.6999999999999997E-5</v>
      </c>
      <c r="L186" t="s">
        <v>6827</v>
      </c>
      <c r="M186" t="s">
        <v>6825</v>
      </c>
      <c r="N186" t="s">
        <v>6823</v>
      </c>
      <c r="O186" t="s">
        <v>25</v>
      </c>
      <c r="P186" t="s">
        <v>6824</v>
      </c>
      <c r="U186" t="s">
        <v>6831</v>
      </c>
      <c r="V186" s="5" t="s">
        <v>6830</v>
      </c>
      <c r="W186" t="s">
        <v>4559</v>
      </c>
      <c r="X186" s="5" t="s">
        <v>6829</v>
      </c>
    </row>
    <row r="187" spans="1:26">
      <c r="A187" t="s">
        <v>6835</v>
      </c>
      <c r="B187" t="s">
        <v>6835</v>
      </c>
      <c r="C187" t="s">
        <v>6834</v>
      </c>
      <c r="D187" t="s">
        <v>21</v>
      </c>
      <c r="E187" s="14" t="s">
        <v>6284</v>
      </c>
      <c r="F187" t="s">
        <v>6773</v>
      </c>
      <c r="G187" t="str">
        <f>Config!$B$4</f>
        <v>SCH/C_IEC.SchLib</v>
      </c>
      <c r="H187" t="s">
        <v>6286</v>
      </c>
      <c r="I187" t="s">
        <v>6287</v>
      </c>
      <c r="J187" t="s">
        <v>6832</v>
      </c>
      <c r="K187" s="3">
        <v>6.7999999999999999E-5</v>
      </c>
      <c r="L187" t="s">
        <v>6836</v>
      </c>
      <c r="M187" t="s">
        <v>6223</v>
      </c>
      <c r="N187" s="14" t="s">
        <v>6838</v>
      </c>
      <c r="O187" t="s">
        <v>25</v>
      </c>
      <c r="P187" t="s">
        <v>6837</v>
      </c>
      <c r="U187" t="s">
        <v>6841</v>
      </c>
      <c r="V187" s="5" t="s">
        <v>6839</v>
      </c>
      <c r="W187" t="s">
        <v>4559</v>
      </c>
      <c r="X187" s="5" t="s">
        <v>6840</v>
      </c>
    </row>
    <row r="188" spans="1:26">
      <c r="A188" t="s">
        <v>7819</v>
      </c>
      <c r="B188" t="s">
        <v>7819</v>
      </c>
      <c r="C188" t="s">
        <v>6777</v>
      </c>
      <c r="D188" t="s">
        <v>21</v>
      </c>
      <c r="E188" s="14" t="s">
        <v>6775</v>
      </c>
      <c r="F188" t="s">
        <v>6778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6821</v>
      </c>
      <c r="M188" t="s">
        <v>1032</v>
      </c>
      <c r="N188" t="s">
        <v>6817</v>
      </c>
      <c r="O188" t="s">
        <v>25</v>
      </c>
      <c r="P188" t="s">
        <v>6818</v>
      </c>
      <c r="U188" t="s">
        <v>6173</v>
      </c>
      <c r="V188" s="5" t="s">
        <v>6819</v>
      </c>
      <c r="W188" t="s">
        <v>4559</v>
      </c>
      <c r="X188" s="5" t="s">
        <v>6820</v>
      </c>
    </row>
    <row r="189" spans="1:26">
      <c r="A189" t="s">
        <v>8060</v>
      </c>
      <c r="B189" t="s">
        <v>8060</v>
      </c>
      <c r="C189" t="s">
        <v>8061</v>
      </c>
      <c r="D189" t="s">
        <v>21</v>
      </c>
      <c r="F189" t="s">
        <v>8062</v>
      </c>
      <c r="G189" t="str">
        <f>Config!$B$4</f>
        <v>SCH/C_IEC.SchLib</v>
      </c>
      <c r="H189" t="s">
        <v>425</v>
      </c>
      <c r="I189" t="s">
        <v>6287</v>
      </c>
      <c r="J189" t="s">
        <v>8079</v>
      </c>
      <c r="K189" s="3">
        <v>9.9999999999999995E-7</v>
      </c>
      <c r="L189" t="s">
        <v>8063</v>
      </c>
      <c r="M189" t="s">
        <v>7506</v>
      </c>
      <c r="N189" t="s">
        <v>8064</v>
      </c>
      <c r="O189" t="s">
        <v>25</v>
      </c>
      <c r="P189" t="s">
        <v>8065</v>
      </c>
    </row>
    <row r="190" spans="1:26">
      <c r="A190" t="s">
        <v>8066</v>
      </c>
      <c r="B190" t="s">
        <v>8066</v>
      </c>
      <c r="C190" t="s">
        <v>8067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6287</v>
      </c>
      <c r="J190" t="s">
        <v>8078</v>
      </c>
      <c r="K190" s="3">
        <v>2.1999999999999998E-9</v>
      </c>
      <c r="L190" t="s">
        <v>8068</v>
      </c>
      <c r="M190" t="s">
        <v>7506</v>
      </c>
      <c r="N190" t="s">
        <v>8069</v>
      </c>
      <c r="O190" t="s">
        <v>25</v>
      </c>
      <c r="P190" t="s">
        <v>8070</v>
      </c>
    </row>
    <row r="191" spans="1:26">
      <c r="A191" t="s">
        <v>10834</v>
      </c>
      <c r="B191" t="s">
        <v>10834</v>
      </c>
      <c r="C191" t="s">
        <v>10835</v>
      </c>
      <c r="D191" t="s">
        <v>21</v>
      </c>
      <c r="E191" s="14" t="s">
        <v>6775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10838</v>
      </c>
      <c r="M191" t="s">
        <v>6162</v>
      </c>
      <c r="N191" t="s">
        <v>10839</v>
      </c>
      <c r="O191" t="s">
        <v>25</v>
      </c>
      <c r="P191" t="s">
        <v>10840</v>
      </c>
    </row>
    <row r="192" spans="1:26">
      <c r="A192" t="s">
        <v>10836</v>
      </c>
      <c r="B192" t="s">
        <v>10836</v>
      </c>
      <c r="C192" t="s">
        <v>10837</v>
      </c>
      <c r="D192" t="s">
        <v>21</v>
      </c>
      <c r="E192" s="14" t="s">
        <v>6775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10841</v>
      </c>
      <c r="M192" t="s">
        <v>1029</v>
      </c>
      <c r="N192" t="s">
        <v>10842</v>
      </c>
      <c r="O192" t="s">
        <v>25</v>
      </c>
      <c r="P192" t="s">
        <v>10843</v>
      </c>
    </row>
    <row r="193" spans="1:24">
      <c r="A193" t="s">
        <v>10868</v>
      </c>
      <c r="B193" t="s">
        <v>10868</v>
      </c>
      <c r="C193" t="s">
        <v>10844</v>
      </c>
      <c r="D193" t="s">
        <v>21</v>
      </c>
      <c r="E193" s="14" t="s">
        <v>6284</v>
      </c>
      <c r="F193" t="s">
        <v>10845</v>
      </c>
      <c r="G193" t="str">
        <f>Config!$B$4</f>
        <v>SCH/C_IEC.SchLib</v>
      </c>
      <c r="H193" t="s">
        <v>6286</v>
      </c>
      <c r="I193" t="s">
        <v>6287</v>
      </c>
      <c r="J193" t="s">
        <v>12536</v>
      </c>
      <c r="K193" s="3">
        <v>1.5E-5</v>
      </c>
      <c r="L193" t="s">
        <v>10846</v>
      </c>
      <c r="M193" t="s">
        <v>10847</v>
      </c>
      <c r="N193" t="s">
        <v>10848</v>
      </c>
      <c r="O193" t="s">
        <v>25</v>
      </c>
      <c r="P193" t="s">
        <v>10849</v>
      </c>
    </row>
    <row r="194" spans="1:24" ht="16.5">
      <c r="A194" t="s">
        <v>13643</v>
      </c>
      <c r="B194" t="s">
        <v>13643</v>
      </c>
      <c r="C194" t="s">
        <v>13644</v>
      </c>
      <c r="D194" t="s">
        <v>21</v>
      </c>
      <c r="E194" s="14" t="s">
        <v>6767</v>
      </c>
      <c r="F194" t="s">
        <v>8062</v>
      </c>
      <c r="G194" t="str">
        <f>Config!$B$4</f>
        <v>SCH/C_IEC.SchLib</v>
      </c>
      <c r="H194" t="s">
        <v>425</v>
      </c>
      <c r="I194" t="s">
        <v>461</v>
      </c>
      <c r="J194" t="s">
        <v>12535</v>
      </c>
      <c r="K194" s="3">
        <v>9.9999999999999995E-7</v>
      </c>
      <c r="L194" t="s">
        <v>10858</v>
      </c>
      <c r="M194" t="s">
        <v>1032</v>
      </c>
      <c r="N194" t="s">
        <v>10859</v>
      </c>
      <c r="O194" t="s">
        <v>25</v>
      </c>
      <c r="P194" t="s">
        <v>10860</v>
      </c>
      <c r="U194" s="9" t="s">
        <v>6186</v>
      </c>
      <c r="V194" s="9" t="s">
        <v>13642</v>
      </c>
      <c r="W194" t="s">
        <v>4559</v>
      </c>
      <c r="X194" s="9" t="s">
        <v>13641</v>
      </c>
    </row>
    <row r="195" spans="1:24">
      <c r="A195" t="s">
        <v>10867</v>
      </c>
      <c r="B195" t="s">
        <v>10867</v>
      </c>
      <c r="C195" t="s">
        <v>10861</v>
      </c>
      <c r="D195" t="s">
        <v>21</v>
      </c>
      <c r="E195" s="14" t="s">
        <v>6284</v>
      </c>
      <c r="F195" t="s">
        <v>10862</v>
      </c>
      <c r="G195" t="str">
        <f>Config!$B$4</f>
        <v>SCH/C_IEC.SchLib</v>
      </c>
      <c r="H195" t="s">
        <v>6286</v>
      </c>
      <c r="I195" t="s">
        <v>6287</v>
      </c>
      <c r="J195" t="s">
        <v>12537</v>
      </c>
      <c r="K195" s="3">
        <v>6.8000000000000005E-4</v>
      </c>
      <c r="L195" t="s">
        <v>10863</v>
      </c>
      <c r="M195" t="s">
        <v>6162</v>
      </c>
      <c r="N195" t="s">
        <v>10864</v>
      </c>
      <c r="O195" t="s">
        <v>25</v>
      </c>
      <c r="P195" t="s">
        <v>10865</v>
      </c>
    </row>
    <row r="196" spans="1:24" ht="16.5">
      <c r="A196" t="s">
        <v>10866</v>
      </c>
      <c r="B196" t="s">
        <v>10866</v>
      </c>
      <c r="C196" t="s">
        <v>10869</v>
      </c>
      <c r="D196" t="s">
        <v>21</v>
      </c>
      <c r="E196" s="14" t="s">
        <v>6449</v>
      </c>
      <c r="F196" t="s">
        <v>10870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10871</v>
      </c>
      <c r="M196" t="s">
        <v>1032</v>
      </c>
      <c r="N196" t="s">
        <v>10872</v>
      </c>
      <c r="O196" t="s">
        <v>25</v>
      </c>
      <c r="P196" t="s">
        <v>10873</v>
      </c>
      <c r="U196" s="43" t="s">
        <v>1032</v>
      </c>
      <c r="V196" s="9" t="s">
        <v>10872</v>
      </c>
      <c r="W196" t="s">
        <v>4559</v>
      </c>
      <c r="X196" s="9" t="s">
        <v>13645</v>
      </c>
    </row>
    <row r="197" spans="1:24" ht="15.75">
      <c r="A197" t="s">
        <v>13606</v>
      </c>
      <c r="B197" t="s">
        <v>13606</v>
      </c>
      <c r="C197" t="s">
        <v>13609</v>
      </c>
      <c r="D197" t="s">
        <v>21</v>
      </c>
      <c r="E197" s="14" t="s">
        <v>6775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13612</v>
      </c>
      <c r="M197" t="s">
        <v>6814</v>
      </c>
      <c r="N197" t="s">
        <v>13611</v>
      </c>
      <c r="O197" t="s">
        <v>25</v>
      </c>
      <c r="P197" t="s">
        <v>13610</v>
      </c>
      <c r="U197" s="42" t="s">
        <v>4592</v>
      </c>
      <c r="V197" s="8" t="s">
        <v>13608</v>
      </c>
      <c r="W197" t="s">
        <v>4559</v>
      </c>
      <c r="X197" s="8" t="s">
        <v>13607</v>
      </c>
    </row>
    <row r="198" spans="1:24">
      <c r="A198" t="s">
        <v>17781</v>
      </c>
      <c r="B198" t="s">
        <v>17781</v>
      </c>
      <c r="C198" t="s">
        <v>17782</v>
      </c>
      <c r="D198" t="s">
        <v>21</v>
      </c>
      <c r="E198" s="14" t="s">
        <v>17055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9.9999999999999998E-13</v>
      </c>
      <c r="L198" t="s">
        <v>17784</v>
      </c>
      <c r="M198" t="s">
        <v>477</v>
      </c>
      <c r="N198" t="s">
        <v>17785</v>
      </c>
      <c r="O198" t="s">
        <v>25</v>
      </c>
      <c r="P198" t="s">
        <v>17786</v>
      </c>
    </row>
    <row r="199" spans="1:24">
      <c r="A199" t="s">
        <v>17787</v>
      </c>
      <c r="B199" t="s">
        <v>17787</v>
      </c>
      <c r="C199" t="s">
        <v>17788</v>
      </c>
      <c r="D199" t="s">
        <v>21</v>
      </c>
      <c r="E199" s="14" t="s">
        <v>17055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1.1999999999999999E-12</v>
      </c>
      <c r="L199" t="s">
        <v>17789</v>
      </c>
      <c r="M199" t="s">
        <v>477</v>
      </c>
      <c r="N199" t="s">
        <v>17790</v>
      </c>
      <c r="O199" t="s">
        <v>25</v>
      </c>
      <c r="P199" t="s">
        <v>17791</v>
      </c>
    </row>
    <row r="200" spans="1:24">
      <c r="A200" t="s">
        <v>17792</v>
      </c>
      <c r="B200" t="s">
        <v>17792</v>
      </c>
      <c r="C200" t="s">
        <v>17793</v>
      </c>
      <c r="D200" t="s">
        <v>21</v>
      </c>
      <c r="E200" s="14" t="s">
        <v>17055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1.5000000000000001E-12</v>
      </c>
      <c r="L200" t="s">
        <v>17794</v>
      </c>
      <c r="M200" t="s">
        <v>477</v>
      </c>
      <c r="N200" t="s">
        <v>17795</v>
      </c>
      <c r="O200" t="s">
        <v>25</v>
      </c>
      <c r="P200" t="s">
        <v>17796</v>
      </c>
    </row>
    <row r="201" spans="1:24">
      <c r="A201" t="s">
        <v>17797</v>
      </c>
      <c r="B201" t="s">
        <v>17797</v>
      </c>
      <c r="C201" t="s">
        <v>17798</v>
      </c>
      <c r="D201" t="s">
        <v>21</v>
      </c>
      <c r="E201" s="14" t="s">
        <v>17055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1.8E-12</v>
      </c>
      <c r="L201" t="s">
        <v>17799</v>
      </c>
      <c r="M201" t="s">
        <v>477</v>
      </c>
      <c r="N201" t="s">
        <v>17800</v>
      </c>
      <c r="O201" t="s">
        <v>25</v>
      </c>
      <c r="P201" t="s">
        <v>17801</v>
      </c>
    </row>
    <row r="202" spans="1:24">
      <c r="A202" t="s">
        <v>17802</v>
      </c>
      <c r="B202" t="s">
        <v>17802</v>
      </c>
      <c r="C202" t="s">
        <v>17803</v>
      </c>
      <c r="D202" t="s">
        <v>21</v>
      </c>
      <c r="E202" s="14" t="s">
        <v>17055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2.1999999999999999E-12</v>
      </c>
      <c r="L202" t="s">
        <v>17804</v>
      </c>
      <c r="M202" t="s">
        <v>477</v>
      </c>
      <c r="N202" t="s">
        <v>17805</v>
      </c>
      <c r="O202" t="s">
        <v>25</v>
      </c>
      <c r="P202" t="s">
        <v>17806</v>
      </c>
    </row>
    <row r="203" spans="1:24">
      <c r="A203" t="s">
        <v>17807</v>
      </c>
      <c r="B203" t="s">
        <v>17807</v>
      </c>
      <c r="C203" t="s">
        <v>17808</v>
      </c>
      <c r="D203" t="s">
        <v>21</v>
      </c>
      <c r="E203" s="14" t="s">
        <v>17055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2.6999999999999998E-12</v>
      </c>
      <c r="L203" t="s">
        <v>17809</v>
      </c>
      <c r="M203" t="s">
        <v>477</v>
      </c>
      <c r="N203" t="s">
        <v>17810</v>
      </c>
      <c r="O203" t="s">
        <v>25</v>
      </c>
      <c r="P203" t="s">
        <v>17811</v>
      </c>
    </row>
    <row r="204" spans="1:24">
      <c r="A204" t="s">
        <v>17812</v>
      </c>
      <c r="B204" t="s">
        <v>17812</v>
      </c>
      <c r="C204" t="s">
        <v>17813</v>
      </c>
      <c r="D204" t="s">
        <v>21</v>
      </c>
      <c r="E204" s="14" t="s">
        <v>17055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3.3000000000000001E-12</v>
      </c>
      <c r="L204" t="s">
        <v>17814</v>
      </c>
      <c r="M204" t="s">
        <v>477</v>
      </c>
      <c r="N204" t="s">
        <v>17815</v>
      </c>
      <c r="O204" t="s">
        <v>25</v>
      </c>
      <c r="P204" t="s">
        <v>17816</v>
      </c>
    </row>
    <row r="205" spans="1:24">
      <c r="A205" t="s">
        <v>17817</v>
      </c>
      <c r="B205" t="s">
        <v>17817</v>
      </c>
      <c r="C205" t="s">
        <v>17818</v>
      </c>
      <c r="D205" t="s">
        <v>21</v>
      </c>
      <c r="E205" s="14" t="s">
        <v>17055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3.8999999999999999E-12</v>
      </c>
      <c r="L205" t="s">
        <v>17819</v>
      </c>
      <c r="M205" t="s">
        <v>477</v>
      </c>
      <c r="N205" t="s">
        <v>17820</v>
      </c>
      <c r="O205" t="s">
        <v>25</v>
      </c>
      <c r="P205" t="s">
        <v>17821</v>
      </c>
    </row>
    <row r="206" spans="1:24">
      <c r="A206" t="s">
        <v>17822</v>
      </c>
      <c r="B206" t="s">
        <v>17822</v>
      </c>
      <c r="C206" t="s">
        <v>17823</v>
      </c>
      <c r="D206" t="s">
        <v>21</v>
      </c>
      <c r="E206" s="14" t="s">
        <v>17055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4.6999999999999998E-12</v>
      </c>
      <c r="L206" t="s">
        <v>17824</v>
      </c>
      <c r="M206" t="s">
        <v>477</v>
      </c>
      <c r="N206" t="s">
        <v>17825</v>
      </c>
      <c r="O206" t="s">
        <v>25</v>
      </c>
      <c r="P206" t="s">
        <v>17826</v>
      </c>
    </row>
    <row r="207" spans="1:24">
      <c r="A207" t="s">
        <v>17827</v>
      </c>
      <c r="B207" t="s">
        <v>17827</v>
      </c>
      <c r="C207" t="s">
        <v>17828</v>
      </c>
      <c r="D207" t="s">
        <v>21</v>
      </c>
      <c r="E207" s="14" t="s">
        <v>17055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5.6000000000000004E-12</v>
      </c>
      <c r="L207" t="s">
        <v>17829</v>
      </c>
      <c r="M207" t="s">
        <v>477</v>
      </c>
      <c r="N207" t="s">
        <v>17830</v>
      </c>
      <c r="O207" t="s">
        <v>25</v>
      </c>
      <c r="P207" t="s">
        <v>17831</v>
      </c>
    </row>
    <row r="208" spans="1:24">
      <c r="A208" t="s">
        <v>17832</v>
      </c>
      <c r="B208" t="s">
        <v>17832</v>
      </c>
      <c r="C208" t="s">
        <v>17833</v>
      </c>
      <c r="D208" t="s">
        <v>21</v>
      </c>
      <c r="E208" s="14" t="s">
        <v>17055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6.8000000000000001E-12</v>
      </c>
      <c r="L208" t="s">
        <v>17834</v>
      </c>
      <c r="M208" t="s">
        <v>477</v>
      </c>
      <c r="N208" t="s">
        <v>17835</v>
      </c>
      <c r="O208" t="s">
        <v>25</v>
      </c>
      <c r="P208" t="s">
        <v>17836</v>
      </c>
    </row>
    <row r="209" spans="1:25">
      <c r="A209" t="s">
        <v>17837</v>
      </c>
      <c r="B209" t="s">
        <v>17837</v>
      </c>
      <c r="C209" t="s">
        <v>17838</v>
      </c>
      <c r="D209" t="s">
        <v>21</v>
      </c>
      <c r="E209" s="14" t="s">
        <v>17055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8.1999999999999998E-12</v>
      </c>
      <c r="L209" t="s">
        <v>17839</v>
      </c>
      <c r="M209" t="s">
        <v>477</v>
      </c>
      <c r="N209" t="s">
        <v>17840</v>
      </c>
      <c r="O209" t="s">
        <v>25</v>
      </c>
      <c r="P209" t="s">
        <v>17841</v>
      </c>
    </row>
    <row r="210" spans="1:25">
      <c r="A210" t="s">
        <v>17842</v>
      </c>
      <c r="B210" t="s">
        <v>17842</v>
      </c>
      <c r="C210" t="s">
        <v>17843</v>
      </c>
      <c r="D210" t="s">
        <v>21</v>
      </c>
      <c r="E210" s="14" t="s">
        <v>17055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9.9999999999999994E-12</v>
      </c>
      <c r="L210" t="s">
        <v>17844</v>
      </c>
      <c r="M210" t="s">
        <v>477</v>
      </c>
      <c r="N210" t="s">
        <v>17845</v>
      </c>
      <c r="O210" t="s">
        <v>25</v>
      </c>
      <c r="P210" t="s">
        <v>17846</v>
      </c>
      <c r="U210" t="s">
        <v>18622</v>
      </c>
      <c r="V210" t="s">
        <v>18621</v>
      </c>
      <c r="W210" t="s">
        <v>4559</v>
      </c>
      <c r="X210" t="s">
        <v>18623</v>
      </c>
      <c r="Y210" t="s">
        <v>4727</v>
      </c>
    </row>
    <row r="211" spans="1:25">
      <c r="A211" t="s">
        <v>17847</v>
      </c>
      <c r="B211" t="s">
        <v>17847</v>
      </c>
      <c r="C211" t="s">
        <v>17848</v>
      </c>
      <c r="D211" t="s">
        <v>21</v>
      </c>
      <c r="E211" s="14" t="s">
        <v>17055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1.2000000000000001E-11</v>
      </c>
      <c r="L211" t="s">
        <v>17849</v>
      </c>
      <c r="M211" t="s">
        <v>477</v>
      </c>
      <c r="N211" t="s">
        <v>17850</v>
      </c>
      <c r="O211" t="s">
        <v>25</v>
      </c>
      <c r="P211" t="s">
        <v>17851</v>
      </c>
    </row>
    <row r="212" spans="1:25">
      <c r="A212" t="s">
        <v>17852</v>
      </c>
      <c r="B212" t="s">
        <v>17852</v>
      </c>
      <c r="C212" t="s">
        <v>17853</v>
      </c>
      <c r="D212" t="s">
        <v>21</v>
      </c>
      <c r="E212" s="14" t="s">
        <v>17055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1.5E-11</v>
      </c>
      <c r="L212" t="s">
        <v>17854</v>
      </c>
      <c r="M212" t="s">
        <v>477</v>
      </c>
      <c r="N212" t="s">
        <v>17855</v>
      </c>
      <c r="O212" t="s">
        <v>25</v>
      </c>
      <c r="P212" t="s">
        <v>17856</v>
      </c>
    </row>
    <row r="213" spans="1:25">
      <c r="A213" t="s">
        <v>17857</v>
      </c>
      <c r="B213" t="s">
        <v>17857</v>
      </c>
      <c r="C213" t="s">
        <v>17858</v>
      </c>
      <c r="D213" t="s">
        <v>21</v>
      </c>
      <c r="E213" s="14" t="s">
        <v>17055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1.7999999999999999E-11</v>
      </c>
      <c r="L213" t="s">
        <v>17859</v>
      </c>
      <c r="M213" t="s">
        <v>477</v>
      </c>
      <c r="N213" t="s">
        <v>17860</v>
      </c>
      <c r="O213" t="s">
        <v>25</v>
      </c>
      <c r="P213" t="s">
        <v>17861</v>
      </c>
    </row>
    <row r="214" spans="1:25">
      <c r="A214" t="s">
        <v>17862</v>
      </c>
      <c r="B214" t="s">
        <v>17862</v>
      </c>
      <c r="C214" t="s">
        <v>17863</v>
      </c>
      <c r="D214" t="s">
        <v>21</v>
      </c>
      <c r="E214" s="14" t="s">
        <v>17055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2.2000000000000002E-11</v>
      </c>
      <c r="L214" t="s">
        <v>17864</v>
      </c>
      <c r="M214" t="s">
        <v>477</v>
      </c>
      <c r="N214" t="s">
        <v>17865</v>
      </c>
      <c r="O214" t="s">
        <v>25</v>
      </c>
      <c r="P214" t="s">
        <v>17866</v>
      </c>
    </row>
    <row r="215" spans="1:25">
      <c r="A215" t="s">
        <v>17867</v>
      </c>
      <c r="B215" t="s">
        <v>17867</v>
      </c>
      <c r="C215" t="s">
        <v>17868</v>
      </c>
      <c r="D215" t="s">
        <v>21</v>
      </c>
      <c r="E215" s="14" t="s">
        <v>17055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2.7E-11</v>
      </c>
      <c r="L215" t="s">
        <v>17869</v>
      </c>
      <c r="M215" t="s">
        <v>477</v>
      </c>
      <c r="N215" t="s">
        <v>17870</v>
      </c>
      <c r="O215" t="s">
        <v>25</v>
      </c>
      <c r="P215" t="s">
        <v>17871</v>
      </c>
    </row>
    <row r="216" spans="1:25">
      <c r="A216" t="s">
        <v>17872</v>
      </c>
      <c r="B216" t="s">
        <v>17872</v>
      </c>
      <c r="C216" t="s">
        <v>17873</v>
      </c>
      <c r="D216" t="s">
        <v>21</v>
      </c>
      <c r="E216" s="14" t="s">
        <v>17055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3.3000000000000002E-11</v>
      </c>
      <c r="L216" t="s">
        <v>17874</v>
      </c>
      <c r="M216" t="s">
        <v>477</v>
      </c>
      <c r="N216" t="s">
        <v>17875</v>
      </c>
      <c r="O216" t="s">
        <v>25</v>
      </c>
      <c r="P216" t="s">
        <v>17876</v>
      </c>
    </row>
    <row r="217" spans="1:25">
      <c r="A217" t="s">
        <v>17877</v>
      </c>
      <c r="B217" t="s">
        <v>17877</v>
      </c>
      <c r="C217" t="s">
        <v>17878</v>
      </c>
      <c r="D217" t="s">
        <v>21</v>
      </c>
      <c r="E217" s="14" t="s">
        <v>17055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3.9000000000000001E-11</v>
      </c>
      <c r="L217" t="s">
        <v>17879</v>
      </c>
      <c r="M217" t="s">
        <v>477</v>
      </c>
      <c r="N217" t="s">
        <v>17880</v>
      </c>
      <c r="O217" t="s">
        <v>25</v>
      </c>
      <c r="P217" t="s">
        <v>17881</v>
      </c>
    </row>
    <row r="218" spans="1:25">
      <c r="A218" t="s">
        <v>17882</v>
      </c>
      <c r="B218" t="s">
        <v>17882</v>
      </c>
      <c r="C218" t="s">
        <v>17883</v>
      </c>
      <c r="D218" t="s">
        <v>21</v>
      </c>
      <c r="E218" s="14" t="s">
        <v>17055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4.6999999999999999E-11</v>
      </c>
      <c r="L218" t="s">
        <v>17884</v>
      </c>
      <c r="M218" t="s">
        <v>477</v>
      </c>
      <c r="N218" t="s">
        <v>17885</v>
      </c>
      <c r="O218" t="s">
        <v>25</v>
      </c>
      <c r="P218" t="s">
        <v>17886</v>
      </c>
    </row>
    <row r="219" spans="1:25">
      <c r="A219" t="s">
        <v>17887</v>
      </c>
      <c r="B219" t="s">
        <v>17887</v>
      </c>
      <c r="C219" t="s">
        <v>17888</v>
      </c>
      <c r="D219" t="s">
        <v>21</v>
      </c>
      <c r="E219" s="14" t="s">
        <v>17055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5.6E-11</v>
      </c>
      <c r="L219" t="s">
        <v>17889</v>
      </c>
      <c r="M219" t="s">
        <v>477</v>
      </c>
      <c r="N219" t="s">
        <v>17890</v>
      </c>
      <c r="O219" t="s">
        <v>25</v>
      </c>
      <c r="P219" t="s">
        <v>17891</v>
      </c>
    </row>
    <row r="220" spans="1:25">
      <c r="A220" t="s">
        <v>17892</v>
      </c>
      <c r="B220" t="s">
        <v>17892</v>
      </c>
      <c r="C220" t="s">
        <v>17893</v>
      </c>
      <c r="D220" t="s">
        <v>21</v>
      </c>
      <c r="E220" s="14" t="s">
        <v>17055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6.7999999999999998E-11</v>
      </c>
      <c r="L220" t="s">
        <v>17894</v>
      </c>
      <c r="M220" t="s">
        <v>477</v>
      </c>
      <c r="N220" t="s">
        <v>17895</v>
      </c>
      <c r="O220" t="s">
        <v>25</v>
      </c>
      <c r="P220" t="s">
        <v>17896</v>
      </c>
    </row>
    <row r="221" spans="1:25">
      <c r="A221" t="s">
        <v>17897</v>
      </c>
      <c r="B221" t="s">
        <v>17897</v>
      </c>
      <c r="C221" t="s">
        <v>17898</v>
      </c>
      <c r="D221" t="s">
        <v>21</v>
      </c>
      <c r="E221" s="14" t="s">
        <v>17055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8.2000000000000001E-11</v>
      </c>
      <c r="L221" t="s">
        <v>17899</v>
      </c>
      <c r="M221" t="s">
        <v>477</v>
      </c>
      <c r="N221" t="s">
        <v>17900</v>
      </c>
      <c r="O221" t="s">
        <v>25</v>
      </c>
      <c r="P221" t="s">
        <v>17901</v>
      </c>
    </row>
    <row r="222" spans="1:25">
      <c r="A222" t="s">
        <v>17902</v>
      </c>
      <c r="B222" t="s">
        <v>17902</v>
      </c>
      <c r="C222" t="s">
        <v>17903</v>
      </c>
      <c r="D222" t="s">
        <v>21</v>
      </c>
      <c r="E222" s="14" t="s">
        <v>17055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1E-10</v>
      </c>
      <c r="L222" t="s">
        <v>17904</v>
      </c>
      <c r="M222" t="s">
        <v>477</v>
      </c>
      <c r="N222" t="s">
        <v>17905</v>
      </c>
      <c r="O222" t="s">
        <v>25</v>
      </c>
      <c r="P222" t="s">
        <v>17906</v>
      </c>
    </row>
    <row r="223" spans="1:25">
      <c r="A223" t="s">
        <v>17907</v>
      </c>
      <c r="B223" t="s">
        <v>17907</v>
      </c>
      <c r="C223" t="s">
        <v>17908</v>
      </c>
      <c r="D223" t="s">
        <v>21</v>
      </c>
      <c r="E223" s="14" t="s">
        <v>17055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1.5E-10</v>
      </c>
      <c r="L223" t="s">
        <v>17909</v>
      </c>
      <c r="M223" t="s">
        <v>477</v>
      </c>
      <c r="N223" t="s">
        <v>17910</v>
      </c>
      <c r="O223" t="s">
        <v>25</v>
      </c>
      <c r="P223" t="s">
        <v>17911</v>
      </c>
      <c r="U223" t="s">
        <v>4771</v>
      </c>
      <c r="V223" t="s">
        <v>18627</v>
      </c>
      <c r="W223" t="s">
        <v>4559</v>
      </c>
      <c r="X223" t="s">
        <v>18626</v>
      </c>
      <c r="Y223" t="s">
        <v>4727</v>
      </c>
    </row>
    <row r="224" spans="1:25">
      <c r="A224" t="s">
        <v>17912</v>
      </c>
      <c r="B224" t="s">
        <v>17912</v>
      </c>
      <c r="C224" t="s">
        <v>17913</v>
      </c>
      <c r="D224" t="s">
        <v>21</v>
      </c>
      <c r="E224" s="14" t="s">
        <v>17055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1.8E-10</v>
      </c>
      <c r="L224" t="s">
        <v>17914</v>
      </c>
      <c r="M224" t="s">
        <v>477</v>
      </c>
      <c r="N224" t="s">
        <v>17915</v>
      </c>
      <c r="O224" t="s">
        <v>25</v>
      </c>
      <c r="P224" t="s">
        <v>17916</v>
      </c>
    </row>
    <row r="225" spans="1:16">
      <c r="A225" t="s">
        <v>17917</v>
      </c>
      <c r="B225" t="s">
        <v>17917</v>
      </c>
      <c r="C225" t="s">
        <v>17918</v>
      </c>
      <c r="D225" t="s">
        <v>21</v>
      </c>
      <c r="E225" s="14" t="s">
        <v>17055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17783</v>
      </c>
      <c r="K225" s="3">
        <v>2.1999999999999999E-10</v>
      </c>
      <c r="L225" t="s">
        <v>17919</v>
      </c>
      <c r="M225" t="s">
        <v>477</v>
      </c>
      <c r="N225" t="s">
        <v>17920</v>
      </c>
      <c r="O225" t="s">
        <v>25</v>
      </c>
      <c r="P225" t="s">
        <v>17921</v>
      </c>
    </row>
    <row r="226" spans="1:16">
      <c r="A226" t="s">
        <v>17922</v>
      </c>
      <c r="B226" t="s">
        <v>17922</v>
      </c>
      <c r="C226" t="s">
        <v>17923</v>
      </c>
      <c r="D226" t="s">
        <v>21</v>
      </c>
      <c r="E226" s="14" t="s">
        <v>17055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4.6999999999999999E-11</v>
      </c>
      <c r="L226" t="s">
        <v>17925</v>
      </c>
      <c r="M226" t="s">
        <v>477</v>
      </c>
      <c r="N226" t="s">
        <v>17926</v>
      </c>
      <c r="O226" t="s">
        <v>25</v>
      </c>
      <c r="P226" t="s">
        <v>17927</v>
      </c>
    </row>
    <row r="227" spans="1:16">
      <c r="A227" t="s">
        <v>17928</v>
      </c>
      <c r="B227" t="s">
        <v>17928</v>
      </c>
      <c r="C227" t="s">
        <v>17929</v>
      </c>
      <c r="D227" t="s">
        <v>21</v>
      </c>
      <c r="E227" s="14" t="s">
        <v>17055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1E-10</v>
      </c>
      <c r="L227" t="s">
        <v>17925</v>
      </c>
      <c r="M227" t="s">
        <v>477</v>
      </c>
      <c r="N227" t="s">
        <v>17930</v>
      </c>
      <c r="O227" t="s">
        <v>25</v>
      </c>
      <c r="P227" t="s">
        <v>17931</v>
      </c>
    </row>
    <row r="228" spans="1:16">
      <c r="A228" t="s">
        <v>17932</v>
      </c>
      <c r="B228" t="s">
        <v>17932</v>
      </c>
      <c r="C228" t="s">
        <v>17933</v>
      </c>
      <c r="D228" t="s">
        <v>21</v>
      </c>
      <c r="E228" s="14" t="s">
        <v>17055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1.2E-10</v>
      </c>
      <c r="L228" t="s">
        <v>17925</v>
      </c>
      <c r="M228" t="s">
        <v>477</v>
      </c>
      <c r="N228" t="s">
        <v>17934</v>
      </c>
      <c r="O228" t="s">
        <v>25</v>
      </c>
      <c r="P228" t="s">
        <v>17935</v>
      </c>
    </row>
    <row r="229" spans="1:16">
      <c r="A229" t="s">
        <v>17936</v>
      </c>
      <c r="B229" t="s">
        <v>17936</v>
      </c>
      <c r="C229" t="s">
        <v>17937</v>
      </c>
      <c r="D229" t="s">
        <v>21</v>
      </c>
      <c r="E229" s="14" t="s">
        <v>17055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1.5E-10</v>
      </c>
      <c r="L229" t="s">
        <v>17925</v>
      </c>
      <c r="M229" t="s">
        <v>477</v>
      </c>
      <c r="N229" t="s">
        <v>17938</v>
      </c>
      <c r="O229" t="s">
        <v>25</v>
      </c>
      <c r="P229" t="s">
        <v>17939</v>
      </c>
    </row>
    <row r="230" spans="1:16">
      <c r="A230" t="s">
        <v>17940</v>
      </c>
      <c r="B230" t="s">
        <v>17940</v>
      </c>
      <c r="C230" t="s">
        <v>17941</v>
      </c>
      <c r="D230" t="s">
        <v>21</v>
      </c>
      <c r="E230" s="14" t="s">
        <v>17055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1.8E-10</v>
      </c>
      <c r="L230" t="s">
        <v>17925</v>
      </c>
      <c r="M230" t="s">
        <v>477</v>
      </c>
      <c r="N230" t="s">
        <v>17942</v>
      </c>
      <c r="O230" t="s">
        <v>25</v>
      </c>
      <c r="P230" t="s">
        <v>17943</v>
      </c>
    </row>
    <row r="231" spans="1:16">
      <c r="A231" t="s">
        <v>17944</v>
      </c>
      <c r="B231" t="s">
        <v>17944</v>
      </c>
      <c r="C231" t="s">
        <v>17945</v>
      </c>
      <c r="D231" t="s">
        <v>21</v>
      </c>
      <c r="E231" s="14" t="s">
        <v>17055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2.1999999999999999E-10</v>
      </c>
      <c r="L231" t="s">
        <v>17925</v>
      </c>
      <c r="M231" t="s">
        <v>477</v>
      </c>
      <c r="N231" t="s">
        <v>17946</v>
      </c>
      <c r="O231" t="s">
        <v>25</v>
      </c>
      <c r="P231" t="s">
        <v>17947</v>
      </c>
    </row>
    <row r="232" spans="1:16">
      <c r="A232" t="s">
        <v>17948</v>
      </c>
      <c r="B232" t="s">
        <v>17948</v>
      </c>
      <c r="C232" t="s">
        <v>17949</v>
      </c>
      <c r="D232" t="s">
        <v>21</v>
      </c>
      <c r="E232" s="14" t="s">
        <v>17055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2.7E-10</v>
      </c>
      <c r="L232" t="s">
        <v>17925</v>
      </c>
      <c r="M232" t="s">
        <v>477</v>
      </c>
      <c r="N232" t="s">
        <v>17950</v>
      </c>
      <c r="O232" t="s">
        <v>25</v>
      </c>
      <c r="P232" t="s">
        <v>17951</v>
      </c>
    </row>
    <row r="233" spans="1:16">
      <c r="A233" t="s">
        <v>17952</v>
      </c>
      <c r="B233" t="s">
        <v>17952</v>
      </c>
      <c r="C233" t="s">
        <v>17953</v>
      </c>
      <c r="D233" t="s">
        <v>21</v>
      </c>
      <c r="E233" s="14" t="s">
        <v>17055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3.3E-10</v>
      </c>
      <c r="L233" t="s">
        <v>17925</v>
      </c>
      <c r="M233" t="s">
        <v>477</v>
      </c>
      <c r="N233" t="s">
        <v>17954</v>
      </c>
      <c r="O233" t="s">
        <v>25</v>
      </c>
      <c r="P233" t="s">
        <v>17955</v>
      </c>
    </row>
    <row r="234" spans="1:16">
      <c r="A234" t="s">
        <v>17956</v>
      </c>
      <c r="B234" t="s">
        <v>17956</v>
      </c>
      <c r="C234" t="s">
        <v>17957</v>
      </c>
      <c r="D234" t="s">
        <v>21</v>
      </c>
      <c r="E234" s="14" t="s">
        <v>17055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3.9E-10</v>
      </c>
      <c r="L234" t="s">
        <v>17925</v>
      </c>
      <c r="M234" t="s">
        <v>477</v>
      </c>
      <c r="N234" t="s">
        <v>17958</v>
      </c>
      <c r="O234" t="s">
        <v>25</v>
      </c>
      <c r="P234" t="s">
        <v>17959</v>
      </c>
    </row>
    <row r="235" spans="1:16">
      <c r="A235" t="s">
        <v>17960</v>
      </c>
      <c r="B235" t="s">
        <v>17960</v>
      </c>
      <c r="C235" t="s">
        <v>17961</v>
      </c>
      <c r="D235" t="s">
        <v>21</v>
      </c>
      <c r="E235" s="14" t="s">
        <v>17055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4.7000000000000003E-10</v>
      </c>
      <c r="L235" t="s">
        <v>17925</v>
      </c>
      <c r="M235" t="s">
        <v>477</v>
      </c>
      <c r="N235" t="s">
        <v>17962</v>
      </c>
      <c r="O235" t="s">
        <v>25</v>
      </c>
      <c r="P235" t="s">
        <v>17963</v>
      </c>
    </row>
    <row r="236" spans="1:16">
      <c r="A236" t="s">
        <v>17964</v>
      </c>
      <c r="B236" t="s">
        <v>17964</v>
      </c>
      <c r="C236" t="s">
        <v>17965</v>
      </c>
      <c r="D236" t="s">
        <v>21</v>
      </c>
      <c r="E236" s="14" t="s">
        <v>17055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5.6000000000000003E-10</v>
      </c>
      <c r="L236" t="s">
        <v>17925</v>
      </c>
      <c r="M236" t="s">
        <v>477</v>
      </c>
      <c r="N236" t="s">
        <v>17966</v>
      </c>
      <c r="O236" t="s">
        <v>25</v>
      </c>
      <c r="P236" t="s">
        <v>17967</v>
      </c>
    </row>
    <row r="237" spans="1:16">
      <c r="A237" t="s">
        <v>17968</v>
      </c>
      <c r="B237" t="s">
        <v>17968</v>
      </c>
      <c r="C237" t="s">
        <v>17969</v>
      </c>
      <c r="D237" t="s">
        <v>21</v>
      </c>
      <c r="E237" s="14" t="s">
        <v>17055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6.8000000000000003E-10</v>
      </c>
      <c r="L237" t="s">
        <v>17925</v>
      </c>
      <c r="M237" t="s">
        <v>477</v>
      </c>
      <c r="N237" t="s">
        <v>17970</v>
      </c>
      <c r="O237" t="s">
        <v>25</v>
      </c>
      <c r="P237" t="s">
        <v>17971</v>
      </c>
    </row>
    <row r="238" spans="1:16">
      <c r="A238" t="s">
        <v>17972</v>
      </c>
      <c r="B238" t="s">
        <v>17972</v>
      </c>
      <c r="C238" t="s">
        <v>17973</v>
      </c>
      <c r="D238" t="s">
        <v>21</v>
      </c>
      <c r="E238" s="14" t="s">
        <v>17055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8.1999999999999996E-10</v>
      </c>
      <c r="L238" t="s">
        <v>17974</v>
      </c>
      <c r="M238" t="s">
        <v>477</v>
      </c>
      <c r="N238" t="s">
        <v>17975</v>
      </c>
      <c r="O238" t="s">
        <v>25</v>
      </c>
      <c r="P238" t="s">
        <v>17976</v>
      </c>
    </row>
    <row r="239" spans="1:16">
      <c r="A239" t="s">
        <v>17977</v>
      </c>
      <c r="B239" t="s">
        <v>17977</v>
      </c>
      <c r="C239" t="s">
        <v>17978</v>
      </c>
      <c r="D239" t="s">
        <v>21</v>
      </c>
      <c r="E239" s="14" t="s">
        <v>17055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1.0000000000000001E-9</v>
      </c>
      <c r="L239" t="s">
        <v>17925</v>
      </c>
      <c r="M239" t="s">
        <v>477</v>
      </c>
      <c r="N239" t="s">
        <v>17979</v>
      </c>
      <c r="O239" t="s">
        <v>25</v>
      </c>
      <c r="P239" t="s">
        <v>17980</v>
      </c>
    </row>
    <row r="240" spans="1:16">
      <c r="A240" t="s">
        <v>17981</v>
      </c>
      <c r="B240" t="s">
        <v>17981</v>
      </c>
      <c r="C240" t="s">
        <v>17982</v>
      </c>
      <c r="D240" t="s">
        <v>21</v>
      </c>
      <c r="E240" s="14" t="s">
        <v>17055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1.2E-9</v>
      </c>
      <c r="L240" t="s">
        <v>17925</v>
      </c>
      <c r="M240" t="s">
        <v>477</v>
      </c>
      <c r="N240" t="s">
        <v>17983</v>
      </c>
      <c r="O240" t="s">
        <v>25</v>
      </c>
      <c r="P240" t="s">
        <v>17984</v>
      </c>
    </row>
    <row r="241" spans="1:25">
      <c r="A241" t="s">
        <v>17985</v>
      </c>
      <c r="B241" t="s">
        <v>17985</v>
      </c>
      <c r="C241" t="s">
        <v>17986</v>
      </c>
      <c r="D241" t="s">
        <v>21</v>
      </c>
      <c r="E241" s="14" t="s">
        <v>17055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1.5E-9</v>
      </c>
      <c r="L241" t="s">
        <v>17925</v>
      </c>
      <c r="M241" t="s">
        <v>477</v>
      </c>
      <c r="N241" t="s">
        <v>17987</v>
      </c>
      <c r="O241" t="s">
        <v>25</v>
      </c>
      <c r="P241" t="s">
        <v>17988</v>
      </c>
    </row>
    <row r="242" spans="1:25">
      <c r="A242" t="s">
        <v>17989</v>
      </c>
      <c r="B242" t="s">
        <v>17989</v>
      </c>
      <c r="C242" t="s">
        <v>17990</v>
      </c>
      <c r="D242" t="s">
        <v>21</v>
      </c>
      <c r="E242" s="14" t="s">
        <v>17055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1.8E-9</v>
      </c>
      <c r="L242" t="s">
        <v>17925</v>
      </c>
      <c r="M242" t="s">
        <v>477</v>
      </c>
      <c r="N242" t="s">
        <v>17991</v>
      </c>
      <c r="O242" t="s">
        <v>25</v>
      </c>
      <c r="P242" t="s">
        <v>17992</v>
      </c>
    </row>
    <row r="243" spans="1:25">
      <c r="A243" t="s">
        <v>17993</v>
      </c>
      <c r="B243" t="s">
        <v>17993</v>
      </c>
      <c r="C243" t="s">
        <v>17994</v>
      </c>
      <c r="D243" t="s">
        <v>21</v>
      </c>
      <c r="E243" s="14" t="s">
        <v>17055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2.1999999999999998E-9</v>
      </c>
      <c r="L243" t="s">
        <v>17925</v>
      </c>
      <c r="M243" t="s">
        <v>477</v>
      </c>
      <c r="N243" t="s">
        <v>17995</v>
      </c>
      <c r="O243" t="s">
        <v>25</v>
      </c>
      <c r="P243" t="s">
        <v>17996</v>
      </c>
    </row>
    <row r="244" spans="1:25">
      <c r="A244" t="s">
        <v>17997</v>
      </c>
      <c r="B244" t="s">
        <v>17997</v>
      </c>
      <c r="C244" t="s">
        <v>17998</v>
      </c>
      <c r="D244" t="s">
        <v>21</v>
      </c>
      <c r="E244" s="14" t="s">
        <v>17055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2.7000000000000002E-9</v>
      </c>
      <c r="L244" t="s">
        <v>17925</v>
      </c>
      <c r="M244" t="s">
        <v>477</v>
      </c>
      <c r="N244" t="s">
        <v>17999</v>
      </c>
      <c r="O244" t="s">
        <v>25</v>
      </c>
      <c r="P244" t="s">
        <v>18000</v>
      </c>
    </row>
    <row r="245" spans="1:25">
      <c r="A245" t="s">
        <v>18001</v>
      </c>
      <c r="B245" t="s">
        <v>18001</v>
      </c>
      <c r="C245" t="s">
        <v>18002</v>
      </c>
      <c r="D245" t="s">
        <v>21</v>
      </c>
      <c r="E245" s="14" t="s">
        <v>17055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3.3000000000000002E-9</v>
      </c>
      <c r="L245" t="s">
        <v>17925</v>
      </c>
      <c r="M245" t="s">
        <v>477</v>
      </c>
      <c r="N245" t="s">
        <v>18003</v>
      </c>
      <c r="O245" t="s">
        <v>25</v>
      </c>
      <c r="P245" t="s">
        <v>18004</v>
      </c>
    </row>
    <row r="246" spans="1:25">
      <c r="A246" t="s">
        <v>18005</v>
      </c>
      <c r="B246" t="s">
        <v>18005</v>
      </c>
      <c r="C246" t="s">
        <v>18006</v>
      </c>
      <c r="D246" t="s">
        <v>21</v>
      </c>
      <c r="E246" s="14" t="s">
        <v>17055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3.9000000000000002E-9</v>
      </c>
      <c r="L246" t="s">
        <v>17925</v>
      </c>
      <c r="M246" t="s">
        <v>477</v>
      </c>
      <c r="N246" t="s">
        <v>18007</v>
      </c>
      <c r="O246" t="s">
        <v>25</v>
      </c>
      <c r="P246" t="s">
        <v>18008</v>
      </c>
    </row>
    <row r="247" spans="1:25">
      <c r="A247" t="s">
        <v>18009</v>
      </c>
      <c r="B247" t="s">
        <v>18009</v>
      </c>
      <c r="C247" t="s">
        <v>18010</v>
      </c>
      <c r="D247" t="s">
        <v>21</v>
      </c>
      <c r="E247" s="14" t="s">
        <v>17055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4.6999999999999999E-9</v>
      </c>
      <c r="L247" t="s">
        <v>17925</v>
      </c>
      <c r="M247" t="s">
        <v>477</v>
      </c>
      <c r="N247" t="s">
        <v>18011</v>
      </c>
      <c r="O247" t="s">
        <v>25</v>
      </c>
      <c r="P247" t="s">
        <v>18012</v>
      </c>
    </row>
    <row r="248" spans="1:25">
      <c r="A248" t="s">
        <v>18013</v>
      </c>
      <c r="B248" t="s">
        <v>18013</v>
      </c>
      <c r="C248" t="s">
        <v>18014</v>
      </c>
      <c r="D248" t="s">
        <v>21</v>
      </c>
      <c r="E248" s="14" t="s">
        <v>17055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5.5999999999999997E-9</v>
      </c>
      <c r="L248" t="s">
        <v>17925</v>
      </c>
      <c r="M248" t="s">
        <v>477</v>
      </c>
      <c r="N248" t="s">
        <v>18015</v>
      </c>
      <c r="O248" t="s">
        <v>25</v>
      </c>
      <c r="P248" t="s">
        <v>18016</v>
      </c>
    </row>
    <row r="249" spans="1:25">
      <c r="A249" t="s">
        <v>18017</v>
      </c>
      <c r="B249" t="s">
        <v>18017</v>
      </c>
      <c r="C249" t="s">
        <v>18018</v>
      </c>
      <c r="D249" t="s">
        <v>21</v>
      </c>
      <c r="E249" s="14" t="s">
        <v>17055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6.7999999999999997E-9</v>
      </c>
      <c r="L249" t="s">
        <v>17925</v>
      </c>
      <c r="M249" t="s">
        <v>477</v>
      </c>
      <c r="N249" t="s">
        <v>18019</v>
      </c>
      <c r="O249" t="s">
        <v>25</v>
      </c>
      <c r="P249" t="s">
        <v>18020</v>
      </c>
    </row>
    <row r="250" spans="1:25">
      <c r="A250" t="s">
        <v>18021</v>
      </c>
      <c r="B250" t="s">
        <v>18021</v>
      </c>
      <c r="C250" t="s">
        <v>18022</v>
      </c>
      <c r="D250" t="s">
        <v>21</v>
      </c>
      <c r="E250" s="14" t="s">
        <v>17055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8.2000000000000006E-9</v>
      </c>
      <c r="L250" t="s">
        <v>17925</v>
      </c>
      <c r="M250" t="s">
        <v>477</v>
      </c>
      <c r="N250" t="s">
        <v>18023</v>
      </c>
      <c r="O250" t="s">
        <v>25</v>
      </c>
      <c r="P250" t="s">
        <v>18024</v>
      </c>
    </row>
    <row r="251" spans="1:25">
      <c r="A251" t="s">
        <v>18025</v>
      </c>
      <c r="B251" t="s">
        <v>18025</v>
      </c>
      <c r="C251" t="s">
        <v>18026</v>
      </c>
      <c r="D251" t="s">
        <v>21</v>
      </c>
      <c r="E251" s="14" t="s">
        <v>17055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1E-8</v>
      </c>
      <c r="L251" t="s">
        <v>17925</v>
      </c>
      <c r="M251" t="s">
        <v>477</v>
      </c>
      <c r="N251" t="s">
        <v>18027</v>
      </c>
      <c r="O251" t="s">
        <v>25</v>
      </c>
      <c r="P251" t="s">
        <v>18028</v>
      </c>
    </row>
    <row r="252" spans="1:25">
      <c r="A252" t="s">
        <v>18029</v>
      </c>
      <c r="B252" t="s">
        <v>18029</v>
      </c>
      <c r="C252" t="s">
        <v>18030</v>
      </c>
      <c r="D252" t="s">
        <v>21</v>
      </c>
      <c r="E252" s="14" t="s">
        <v>17055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17924</v>
      </c>
      <c r="K252" s="3">
        <v>9.9999999999999995E-8</v>
      </c>
      <c r="L252" t="s">
        <v>17925</v>
      </c>
      <c r="M252" t="s">
        <v>477</v>
      </c>
      <c r="N252" t="s">
        <v>18031</v>
      </c>
      <c r="O252" t="s">
        <v>25</v>
      </c>
      <c r="P252" t="s">
        <v>18032</v>
      </c>
      <c r="U252" t="s">
        <v>477</v>
      </c>
      <c r="V252" t="s">
        <v>18031</v>
      </c>
      <c r="W252" t="s">
        <v>4559</v>
      </c>
      <c r="X252" t="s">
        <v>18628</v>
      </c>
      <c r="Y252" t="s">
        <v>4727</v>
      </c>
    </row>
    <row r="253" spans="1:25">
      <c r="A253" t="s">
        <v>18039</v>
      </c>
      <c r="B253" t="s">
        <v>18039</v>
      </c>
      <c r="C253" t="s">
        <v>18034</v>
      </c>
      <c r="D253" t="s">
        <v>21</v>
      </c>
      <c r="E253" s="14" t="s">
        <v>6450</v>
      </c>
      <c r="F253" t="s">
        <v>18035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18036</v>
      </c>
      <c r="M253" t="s">
        <v>4771</v>
      </c>
      <c r="N253" t="s">
        <v>18038</v>
      </c>
      <c r="O253" t="s">
        <v>25</v>
      </c>
      <c r="P253" t="s">
        <v>18037</v>
      </c>
      <c r="U253" t="s">
        <v>477</v>
      </c>
      <c r="V253" t="s">
        <v>18618</v>
      </c>
      <c r="W253" t="s">
        <v>4559</v>
      </c>
      <c r="X253" t="s">
        <v>18617</v>
      </c>
      <c r="Y253" t="s">
        <v>4727</v>
      </c>
    </row>
    <row r="254" spans="1:25">
      <c r="A254" t="s">
        <v>18040</v>
      </c>
      <c r="B254" t="s">
        <v>18040</v>
      </c>
      <c r="C254" t="s">
        <v>18041</v>
      </c>
      <c r="D254" t="s">
        <v>21</v>
      </c>
      <c r="E254" s="14" t="s">
        <v>6450</v>
      </c>
      <c r="F254" t="s">
        <v>13350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18042</v>
      </c>
      <c r="M254" t="s">
        <v>4771</v>
      </c>
      <c r="N254" t="s">
        <v>18043</v>
      </c>
      <c r="O254" t="s">
        <v>25</v>
      </c>
      <c r="P254" t="s">
        <v>18044</v>
      </c>
      <c r="U254" t="s">
        <v>6173</v>
      </c>
      <c r="V254" t="s">
        <v>18619</v>
      </c>
      <c r="W254" t="s">
        <v>4559</v>
      </c>
      <c r="X254" t="s">
        <v>18620</v>
      </c>
      <c r="Y254" t="s">
        <v>4727</v>
      </c>
    </row>
    <row r="255" spans="1:25">
      <c r="A255" t="s">
        <v>18142</v>
      </c>
      <c r="B255" t="s">
        <v>18142</v>
      </c>
      <c r="C255" t="s">
        <v>18155</v>
      </c>
      <c r="D255" t="s">
        <v>21</v>
      </c>
      <c r="E255" s="14" t="s">
        <v>17055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17783</v>
      </c>
      <c r="K255" s="3">
        <v>3.3E-10</v>
      </c>
      <c r="L255" t="s">
        <v>18175</v>
      </c>
      <c r="M255" t="s">
        <v>13340</v>
      </c>
      <c r="N255" t="s">
        <v>18188</v>
      </c>
      <c r="O255" t="s">
        <v>25</v>
      </c>
      <c r="P255" t="s">
        <v>18201</v>
      </c>
    </row>
    <row r="256" spans="1:25">
      <c r="A256" t="s">
        <v>18143</v>
      </c>
      <c r="B256" t="s">
        <v>18143</v>
      </c>
      <c r="C256" t="s">
        <v>18156</v>
      </c>
      <c r="D256" t="s">
        <v>21</v>
      </c>
      <c r="E256" s="14" t="s">
        <v>17055</v>
      </c>
      <c r="F256" t="s">
        <v>18168</v>
      </c>
      <c r="G256" t="str">
        <f>Config!$B$4</f>
        <v>SCH/C_IEC.SchLib</v>
      </c>
      <c r="H256" t="s">
        <v>425</v>
      </c>
      <c r="I256" t="s">
        <v>461</v>
      </c>
      <c r="J256" t="s">
        <v>17783</v>
      </c>
      <c r="K256" s="3">
        <v>3.6E-10</v>
      </c>
      <c r="L256" t="s">
        <v>18176</v>
      </c>
      <c r="M256" t="s">
        <v>13340</v>
      </c>
      <c r="N256" t="s">
        <v>18189</v>
      </c>
      <c r="O256" t="s">
        <v>25</v>
      </c>
      <c r="P256" t="s">
        <v>18202</v>
      </c>
    </row>
    <row r="257" spans="1:25">
      <c r="A257" t="s">
        <v>18144</v>
      </c>
      <c r="B257" t="s">
        <v>18144</v>
      </c>
      <c r="C257" t="s">
        <v>18157</v>
      </c>
      <c r="D257" t="s">
        <v>21</v>
      </c>
      <c r="E257" s="14" t="s">
        <v>17055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17783</v>
      </c>
      <c r="K257" s="3">
        <v>3.9E-10</v>
      </c>
      <c r="L257" t="s">
        <v>18177</v>
      </c>
      <c r="M257" t="s">
        <v>13340</v>
      </c>
      <c r="N257" t="s">
        <v>18190</v>
      </c>
      <c r="O257" t="s">
        <v>25</v>
      </c>
      <c r="P257" t="s">
        <v>18203</v>
      </c>
    </row>
    <row r="258" spans="1:25">
      <c r="A258" t="s">
        <v>18145</v>
      </c>
      <c r="B258" t="s">
        <v>18145</v>
      </c>
      <c r="C258" t="s">
        <v>18158</v>
      </c>
      <c r="D258" t="s">
        <v>21</v>
      </c>
      <c r="E258" s="14" t="s">
        <v>17055</v>
      </c>
      <c r="F258" t="s">
        <v>18169</v>
      </c>
      <c r="G258" t="str">
        <f>Config!$B$4</f>
        <v>SCH/C_IEC.SchLib</v>
      </c>
      <c r="H258" t="s">
        <v>425</v>
      </c>
      <c r="I258" t="s">
        <v>461</v>
      </c>
      <c r="J258" t="s">
        <v>17783</v>
      </c>
      <c r="K258" s="3">
        <v>4.3000000000000001E-10</v>
      </c>
      <c r="L258" t="s">
        <v>18178</v>
      </c>
      <c r="M258" t="s">
        <v>13340</v>
      </c>
      <c r="N258" t="s">
        <v>18191</v>
      </c>
      <c r="O258" t="s">
        <v>25</v>
      </c>
      <c r="P258" t="s">
        <v>18204</v>
      </c>
    </row>
    <row r="259" spans="1:25">
      <c r="A259" t="s">
        <v>18146</v>
      </c>
      <c r="B259" t="s">
        <v>18146</v>
      </c>
      <c r="C259" t="s">
        <v>18159</v>
      </c>
      <c r="D259" t="s">
        <v>21</v>
      </c>
      <c r="E259" s="14" t="s">
        <v>17055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17783</v>
      </c>
      <c r="K259" s="3">
        <v>4.7000000000000003E-10</v>
      </c>
      <c r="L259" t="s">
        <v>18179</v>
      </c>
      <c r="M259" t="s">
        <v>13340</v>
      </c>
      <c r="N259" t="s">
        <v>18192</v>
      </c>
      <c r="O259" t="s">
        <v>25</v>
      </c>
      <c r="P259" t="s">
        <v>18205</v>
      </c>
    </row>
    <row r="260" spans="1:25">
      <c r="A260" t="s">
        <v>18147</v>
      </c>
      <c r="B260" t="s">
        <v>18147</v>
      </c>
      <c r="C260" t="s">
        <v>18160</v>
      </c>
      <c r="D260" t="s">
        <v>21</v>
      </c>
      <c r="E260" s="14" t="s">
        <v>17055</v>
      </c>
      <c r="F260" t="s">
        <v>18170</v>
      </c>
      <c r="G260" t="str">
        <f>Config!$B$4</f>
        <v>SCH/C_IEC.SchLib</v>
      </c>
      <c r="H260" t="s">
        <v>425</v>
      </c>
      <c r="I260" t="s">
        <v>461</v>
      </c>
      <c r="J260" t="s">
        <v>17783</v>
      </c>
      <c r="K260" s="3">
        <v>5.1E-10</v>
      </c>
      <c r="L260" t="s">
        <v>18180</v>
      </c>
      <c r="M260" t="s">
        <v>13340</v>
      </c>
      <c r="N260" t="s">
        <v>18193</v>
      </c>
      <c r="O260" t="s">
        <v>25</v>
      </c>
      <c r="P260" t="s">
        <v>18206</v>
      </c>
    </row>
    <row r="261" spans="1:25">
      <c r="A261" t="s">
        <v>18148</v>
      </c>
      <c r="B261" t="s">
        <v>18148</v>
      </c>
      <c r="C261" t="s">
        <v>18161</v>
      </c>
      <c r="D261" t="s">
        <v>21</v>
      </c>
      <c r="E261" s="14" t="s">
        <v>17055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17783</v>
      </c>
      <c r="K261" s="3">
        <v>5.6000000000000003E-10</v>
      </c>
      <c r="L261" t="s">
        <v>18181</v>
      </c>
      <c r="M261" t="s">
        <v>13340</v>
      </c>
      <c r="N261" t="s">
        <v>18194</v>
      </c>
      <c r="O261" t="s">
        <v>25</v>
      </c>
      <c r="P261" t="s">
        <v>18207</v>
      </c>
    </row>
    <row r="262" spans="1:25">
      <c r="A262" t="s">
        <v>18149</v>
      </c>
      <c r="B262" t="s">
        <v>18149</v>
      </c>
      <c r="C262" t="s">
        <v>18162</v>
      </c>
      <c r="D262" t="s">
        <v>21</v>
      </c>
      <c r="E262" s="14" t="s">
        <v>17055</v>
      </c>
      <c r="F262" t="s">
        <v>18171</v>
      </c>
      <c r="G262" t="str">
        <f>Config!$B$4</f>
        <v>SCH/C_IEC.SchLib</v>
      </c>
      <c r="H262" t="s">
        <v>425</v>
      </c>
      <c r="I262" t="s">
        <v>461</v>
      </c>
      <c r="J262" t="s">
        <v>17783</v>
      </c>
      <c r="K262" s="3">
        <v>6.2000000000000003E-10</v>
      </c>
      <c r="L262" t="s">
        <v>18182</v>
      </c>
      <c r="M262" t="s">
        <v>13340</v>
      </c>
      <c r="N262" t="s">
        <v>18195</v>
      </c>
      <c r="O262" t="s">
        <v>25</v>
      </c>
      <c r="P262" t="s">
        <v>18208</v>
      </c>
    </row>
    <row r="263" spans="1:25">
      <c r="A263" t="s">
        <v>18150</v>
      </c>
      <c r="B263" t="s">
        <v>18150</v>
      </c>
      <c r="C263" t="s">
        <v>18163</v>
      </c>
      <c r="D263" t="s">
        <v>21</v>
      </c>
      <c r="E263" s="14" t="s">
        <v>17055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17783</v>
      </c>
      <c r="K263" s="3">
        <v>6.8000000000000003E-10</v>
      </c>
      <c r="L263" t="s">
        <v>18183</v>
      </c>
      <c r="M263" t="s">
        <v>13340</v>
      </c>
      <c r="N263" t="s">
        <v>18196</v>
      </c>
      <c r="O263" t="s">
        <v>25</v>
      </c>
      <c r="P263" t="s">
        <v>18209</v>
      </c>
      <c r="U263" t="s">
        <v>4771</v>
      </c>
      <c r="V263" t="s">
        <v>18624</v>
      </c>
      <c r="W263" t="s">
        <v>4559</v>
      </c>
      <c r="X263" t="s">
        <v>18625</v>
      </c>
      <c r="Y263" t="s">
        <v>4727</v>
      </c>
    </row>
    <row r="264" spans="1:25">
      <c r="A264" t="s">
        <v>18151</v>
      </c>
      <c r="B264" t="s">
        <v>18151</v>
      </c>
      <c r="C264" t="s">
        <v>18164</v>
      </c>
      <c r="D264" t="s">
        <v>21</v>
      </c>
      <c r="E264" s="14" t="s">
        <v>17055</v>
      </c>
      <c r="F264" t="s">
        <v>18172</v>
      </c>
      <c r="G264" t="str">
        <f>Config!$B$4</f>
        <v>SCH/C_IEC.SchLib</v>
      </c>
      <c r="H264" t="s">
        <v>425</v>
      </c>
      <c r="I264" t="s">
        <v>461</v>
      </c>
      <c r="J264" t="s">
        <v>17783</v>
      </c>
      <c r="K264" s="3">
        <v>7.5E-10</v>
      </c>
      <c r="L264" t="s">
        <v>18184</v>
      </c>
      <c r="M264" t="s">
        <v>13340</v>
      </c>
      <c r="N264" t="s">
        <v>18197</v>
      </c>
      <c r="O264" t="s">
        <v>25</v>
      </c>
      <c r="P264" t="s">
        <v>18210</v>
      </c>
    </row>
    <row r="265" spans="1:25">
      <c r="A265" t="s">
        <v>18152</v>
      </c>
      <c r="B265" t="s">
        <v>18152</v>
      </c>
      <c r="C265" t="s">
        <v>18165</v>
      </c>
      <c r="D265" t="s">
        <v>21</v>
      </c>
      <c r="E265" s="14" t="s">
        <v>17055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17783</v>
      </c>
      <c r="K265" s="3">
        <v>8.1999999999999996E-10</v>
      </c>
      <c r="L265" t="s">
        <v>18185</v>
      </c>
      <c r="M265" t="s">
        <v>13340</v>
      </c>
      <c r="N265" t="s">
        <v>18198</v>
      </c>
      <c r="O265" t="s">
        <v>25</v>
      </c>
      <c r="P265" t="s">
        <v>18211</v>
      </c>
    </row>
    <row r="266" spans="1:25">
      <c r="A266" t="s">
        <v>18153</v>
      </c>
      <c r="B266" t="s">
        <v>18153</v>
      </c>
      <c r="C266" t="s">
        <v>18166</v>
      </c>
      <c r="D266" t="s">
        <v>21</v>
      </c>
      <c r="E266" s="14" t="s">
        <v>17055</v>
      </c>
      <c r="F266" t="s">
        <v>18173</v>
      </c>
      <c r="G266" t="str">
        <f>Config!$B$4</f>
        <v>SCH/C_IEC.SchLib</v>
      </c>
      <c r="H266" t="s">
        <v>425</v>
      </c>
      <c r="I266" t="s">
        <v>461</v>
      </c>
      <c r="J266" t="s">
        <v>17783</v>
      </c>
      <c r="K266" s="3">
        <v>9.0999999999999996E-10</v>
      </c>
      <c r="L266" t="s">
        <v>18186</v>
      </c>
      <c r="M266" t="s">
        <v>13340</v>
      </c>
      <c r="N266" t="s">
        <v>18199</v>
      </c>
      <c r="O266" t="s">
        <v>25</v>
      </c>
      <c r="P266" t="s">
        <v>18212</v>
      </c>
    </row>
    <row r="267" spans="1:25">
      <c r="A267" t="s">
        <v>18154</v>
      </c>
      <c r="B267" t="s">
        <v>18154</v>
      </c>
      <c r="C267" t="s">
        <v>18167</v>
      </c>
      <c r="D267" t="s">
        <v>21</v>
      </c>
      <c r="E267" s="14" t="s">
        <v>17055</v>
      </c>
      <c r="F267" t="s">
        <v>18174</v>
      </c>
      <c r="G267" t="str">
        <f>Config!$B$4</f>
        <v>SCH/C_IEC.SchLib</v>
      </c>
      <c r="H267" t="s">
        <v>425</v>
      </c>
      <c r="I267" t="s">
        <v>461</v>
      </c>
      <c r="J267" t="s">
        <v>17783</v>
      </c>
      <c r="K267" s="3">
        <v>1.0000000000000001E-9</v>
      </c>
      <c r="L267" t="s">
        <v>18187</v>
      </c>
      <c r="M267" t="s">
        <v>13340</v>
      </c>
      <c r="N267" t="s">
        <v>18200</v>
      </c>
      <c r="O267" t="s">
        <v>25</v>
      </c>
      <c r="P267" t="s">
        <v>18213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  <row r="240" spans="1:25">
      <c r="A240" t="s">
        <v>18469</v>
      </c>
      <c r="B240" t="s">
        <v>18469</v>
      </c>
      <c r="C240" t="s">
        <v>18487</v>
      </c>
      <c r="D240" t="s">
        <v>13340</v>
      </c>
      <c r="E240">
        <v>2518</v>
      </c>
      <c r="F240" t="s">
        <v>18511</v>
      </c>
      <c r="G240" t="str">
        <f>Config!$B$5</f>
        <v>SCH/L_ANSI.SchLib</v>
      </c>
      <c r="H240" t="s">
        <v>424</v>
      </c>
      <c r="I240" t="s">
        <v>461</v>
      </c>
      <c r="J240" t="s">
        <v>18529</v>
      </c>
      <c r="K240" s="46">
        <v>1E-3</v>
      </c>
      <c r="L240" t="s">
        <v>18444</v>
      </c>
      <c r="M240" t="s">
        <v>13340</v>
      </c>
      <c r="N240" t="s">
        <v>18395</v>
      </c>
      <c r="O240" t="s">
        <v>25</v>
      </c>
      <c r="P240" t="s">
        <v>18419</v>
      </c>
    </row>
    <row r="241" spans="1:16">
      <c r="A241" t="s">
        <v>18470</v>
      </c>
      <c r="B241" t="s">
        <v>18470</v>
      </c>
      <c r="C241" t="s">
        <v>18488</v>
      </c>
      <c r="D241" t="s">
        <v>13340</v>
      </c>
      <c r="E241">
        <v>2518</v>
      </c>
      <c r="F241" t="s">
        <v>18512</v>
      </c>
      <c r="G241" t="str">
        <f>Config!$B$5</f>
        <v>SCH/L_ANSI.SchLib</v>
      </c>
      <c r="H241" t="s">
        <v>424</v>
      </c>
      <c r="I241" t="s">
        <v>461</v>
      </c>
      <c r="J241" t="s">
        <v>18529</v>
      </c>
      <c r="K241" s="46">
        <v>6.8000000000000005E-4</v>
      </c>
      <c r="L241" t="s">
        <v>18445</v>
      </c>
      <c r="M241" t="s">
        <v>13340</v>
      </c>
      <c r="N241" t="s">
        <v>18396</v>
      </c>
      <c r="O241" t="s">
        <v>25</v>
      </c>
      <c r="P241" t="s">
        <v>18420</v>
      </c>
    </row>
    <row r="242" spans="1:16">
      <c r="A242" t="s">
        <v>18470</v>
      </c>
      <c r="B242" t="s">
        <v>18470</v>
      </c>
      <c r="C242" t="s">
        <v>18489</v>
      </c>
      <c r="D242" t="s">
        <v>13340</v>
      </c>
      <c r="E242">
        <v>2518</v>
      </c>
      <c r="F242" t="s">
        <v>18512</v>
      </c>
      <c r="G242" t="str">
        <f>Config!$B$5</f>
        <v>SCH/L_ANSI.SchLib</v>
      </c>
      <c r="H242" t="s">
        <v>424</v>
      </c>
      <c r="I242" t="s">
        <v>461</v>
      </c>
      <c r="J242" t="s">
        <v>18529</v>
      </c>
      <c r="K242" s="46">
        <v>6.8000000000000005E-4</v>
      </c>
      <c r="L242" t="s">
        <v>18446</v>
      </c>
      <c r="M242" t="s">
        <v>13340</v>
      </c>
      <c r="N242" t="s">
        <v>18397</v>
      </c>
      <c r="O242" t="s">
        <v>25</v>
      </c>
      <c r="P242" t="s">
        <v>18421</v>
      </c>
    </row>
    <row r="243" spans="1:16">
      <c r="A243" t="s">
        <v>18471</v>
      </c>
      <c r="B243" t="s">
        <v>18471</v>
      </c>
      <c r="C243" t="s">
        <v>18490</v>
      </c>
      <c r="D243" t="s">
        <v>13340</v>
      </c>
      <c r="E243">
        <v>2518</v>
      </c>
      <c r="F243" t="s">
        <v>18513</v>
      </c>
      <c r="G243" t="str">
        <f>Config!$B$5</f>
        <v>SCH/L_ANSI.SchLib</v>
      </c>
      <c r="H243" t="s">
        <v>424</v>
      </c>
      <c r="I243" t="s">
        <v>461</v>
      </c>
      <c r="J243" t="s">
        <v>18529</v>
      </c>
      <c r="K243" s="46">
        <v>4.6999999999999999E-4</v>
      </c>
      <c r="L243" t="s">
        <v>18447</v>
      </c>
      <c r="M243" t="s">
        <v>13340</v>
      </c>
      <c r="N243" t="s">
        <v>18398</v>
      </c>
      <c r="O243" t="s">
        <v>25</v>
      </c>
      <c r="P243" t="s">
        <v>18422</v>
      </c>
    </row>
    <row r="244" spans="1:16">
      <c r="A244" t="s">
        <v>18472</v>
      </c>
      <c r="B244" t="s">
        <v>18472</v>
      </c>
      <c r="C244" t="s">
        <v>18491</v>
      </c>
      <c r="D244" t="s">
        <v>13340</v>
      </c>
      <c r="E244">
        <v>2518</v>
      </c>
      <c r="F244" t="s">
        <v>18514</v>
      </c>
      <c r="G244" t="str">
        <f>Config!$B$5</f>
        <v>SCH/L_ANSI.SchLib</v>
      </c>
      <c r="H244" t="s">
        <v>424</v>
      </c>
      <c r="I244" t="s">
        <v>461</v>
      </c>
      <c r="J244" t="s">
        <v>18529</v>
      </c>
      <c r="K244" s="46">
        <v>3.3E-4</v>
      </c>
      <c r="L244" t="s">
        <v>18448</v>
      </c>
      <c r="M244" t="s">
        <v>13340</v>
      </c>
      <c r="N244" t="s">
        <v>18399</v>
      </c>
      <c r="O244" t="s">
        <v>25</v>
      </c>
      <c r="P244" t="s">
        <v>18423</v>
      </c>
    </row>
    <row r="245" spans="1:16">
      <c r="A245" t="s">
        <v>18473</v>
      </c>
      <c r="B245" t="s">
        <v>18473</v>
      </c>
      <c r="C245" t="s">
        <v>18492</v>
      </c>
      <c r="D245" t="s">
        <v>13340</v>
      </c>
      <c r="E245">
        <v>2518</v>
      </c>
      <c r="F245" t="s">
        <v>18515</v>
      </c>
      <c r="G245" t="str">
        <f>Config!$B$5</f>
        <v>SCH/L_ANSI.SchLib</v>
      </c>
      <c r="H245" t="s">
        <v>424</v>
      </c>
      <c r="I245" t="s">
        <v>461</v>
      </c>
      <c r="J245" t="s">
        <v>18529</v>
      </c>
      <c r="K245" s="46">
        <v>2.2000000000000001E-4</v>
      </c>
      <c r="L245" t="s">
        <v>18449</v>
      </c>
      <c r="M245" t="s">
        <v>13340</v>
      </c>
      <c r="N245" t="s">
        <v>18400</v>
      </c>
      <c r="O245" t="s">
        <v>25</v>
      </c>
      <c r="P245" t="s">
        <v>18424</v>
      </c>
    </row>
    <row r="246" spans="1:16">
      <c r="A246" t="s">
        <v>18473</v>
      </c>
      <c r="B246" t="s">
        <v>18473</v>
      </c>
      <c r="C246" t="s">
        <v>18493</v>
      </c>
      <c r="D246" t="s">
        <v>13340</v>
      </c>
      <c r="E246">
        <v>2518</v>
      </c>
      <c r="F246" t="s">
        <v>18515</v>
      </c>
      <c r="G246" t="str">
        <f>Config!$B$5</f>
        <v>SCH/L_ANSI.SchLib</v>
      </c>
      <c r="H246" t="s">
        <v>424</v>
      </c>
      <c r="I246" t="s">
        <v>461</v>
      </c>
      <c r="J246" t="s">
        <v>18529</v>
      </c>
      <c r="K246" s="46">
        <v>2.2000000000000001E-4</v>
      </c>
      <c r="L246" t="s">
        <v>18450</v>
      </c>
      <c r="M246" t="s">
        <v>13340</v>
      </c>
      <c r="N246" t="s">
        <v>18401</v>
      </c>
      <c r="O246" t="s">
        <v>25</v>
      </c>
      <c r="P246" t="s">
        <v>18425</v>
      </c>
    </row>
    <row r="247" spans="1:16">
      <c r="A247" t="s">
        <v>18474</v>
      </c>
      <c r="B247" t="s">
        <v>18474</v>
      </c>
      <c r="C247" t="s">
        <v>18494</v>
      </c>
      <c r="D247" t="s">
        <v>13340</v>
      </c>
      <c r="E247">
        <v>2518</v>
      </c>
      <c r="F247" t="s">
        <v>18516</v>
      </c>
      <c r="G247" t="str">
        <f>Config!$B$5</f>
        <v>SCH/L_ANSI.SchLib</v>
      </c>
      <c r="H247" t="s">
        <v>424</v>
      </c>
      <c r="I247" t="s">
        <v>461</v>
      </c>
      <c r="J247" t="s">
        <v>18529</v>
      </c>
      <c r="K247" s="46">
        <v>1.4999999999999999E-4</v>
      </c>
      <c r="L247" t="s">
        <v>18451</v>
      </c>
      <c r="M247" t="s">
        <v>13340</v>
      </c>
      <c r="N247" t="s">
        <v>18402</v>
      </c>
      <c r="O247" t="s">
        <v>25</v>
      </c>
      <c r="P247" t="s">
        <v>18426</v>
      </c>
    </row>
    <row r="248" spans="1:16">
      <c r="A248" t="s">
        <v>18475</v>
      </c>
      <c r="B248" t="s">
        <v>18475</v>
      </c>
      <c r="C248" t="s">
        <v>18495</v>
      </c>
      <c r="D248" t="s">
        <v>13340</v>
      </c>
      <c r="E248">
        <v>2518</v>
      </c>
      <c r="F248" t="s">
        <v>18517</v>
      </c>
      <c r="G248" t="str">
        <f>Config!$B$5</f>
        <v>SCH/L_ANSI.SchLib</v>
      </c>
      <c r="H248" t="s">
        <v>424</v>
      </c>
      <c r="I248" t="s">
        <v>461</v>
      </c>
      <c r="J248" t="s">
        <v>18529</v>
      </c>
      <c r="K248" s="46">
        <v>1E-4</v>
      </c>
      <c r="L248" t="s">
        <v>18452</v>
      </c>
      <c r="M248" t="s">
        <v>13340</v>
      </c>
      <c r="N248" t="s">
        <v>18403</v>
      </c>
      <c r="O248" t="s">
        <v>25</v>
      </c>
      <c r="P248" t="s">
        <v>18427</v>
      </c>
    </row>
    <row r="249" spans="1:16">
      <c r="A249" t="s">
        <v>18476</v>
      </c>
      <c r="B249" t="s">
        <v>18476</v>
      </c>
      <c r="C249" t="s">
        <v>18496</v>
      </c>
      <c r="D249" t="s">
        <v>13340</v>
      </c>
      <c r="E249">
        <v>2518</v>
      </c>
      <c r="F249" t="s">
        <v>18518</v>
      </c>
      <c r="G249" t="str">
        <f>Config!$B$5</f>
        <v>SCH/L_ANSI.SchLib</v>
      </c>
      <c r="H249" t="s">
        <v>424</v>
      </c>
      <c r="I249" t="s">
        <v>461</v>
      </c>
      <c r="J249" t="s">
        <v>18529</v>
      </c>
      <c r="K249" s="46">
        <v>6.7999999999999999E-5</v>
      </c>
      <c r="L249" t="s">
        <v>18453</v>
      </c>
      <c r="M249" t="s">
        <v>13340</v>
      </c>
      <c r="N249" t="s">
        <v>18404</v>
      </c>
      <c r="O249" t="s">
        <v>25</v>
      </c>
      <c r="P249" t="s">
        <v>18428</v>
      </c>
    </row>
    <row r="250" spans="1:16">
      <c r="A250" t="s">
        <v>18477</v>
      </c>
      <c r="B250" t="s">
        <v>18477</v>
      </c>
      <c r="C250" t="s">
        <v>18497</v>
      </c>
      <c r="D250" t="s">
        <v>13340</v>
      </c>
      <c r="E250">
        <v>2518</v>
      </c>
      <c r="F250" t="s">
        <v>18519</v>
      </c>
      <c r="G250" t="str">
        <f>Config!$B$5</f>
        <v>SCH/L_ANSI.SchLib</v>
      </c>
      <c r="H250" t="s">
        <v>424</v>
      </c>
      <c r="I250" t="s">
        <v>461</v>
      </c>
      <c r="J250" t="s">
        <v>18529</v>
      </c>
      <c r="K250" s="46">
        <v>4.6999999999999997E-5</v>
      </c>
      <c r="L250" t="s">
        <v>18454</v>
      </c>
      <c r="M250" t="s">
        <v>13340</v>
      </c>
      <c r="N250" t="s">
        <v>18405</v>
      </c>
      <c r="O250" t="s">
        <v>25</v>
      </c>
      <c r="P250" t="s">
        <v>18429</v>
      </c>
    </row>
    <row r="251" spans="1:16">
      <c r="A251" t="s">
        <v>18478</v>
      </c>
      <c r="B251" t="s">
        <v>18478</v>
      </c>
      <c r="C251" t="s">
        <v>18498</v>
      </c>
      <c r="D251" t="s">
        <v>13340</v>
      </c>
      <c r="E251">
        <v>2518</v>
      </c>
      <c r="F251" t="s">
        <v>18520</v>
      </c>
      <c r="G251" t="str">
        <f>Config!$B$5</f>
        <v>SCH/L_ANSI.SchLib</v>
      </c>
      <c r="H251" t="s">
        <v>424</v>
      </c>
      <c r="I251" t="s">
        <v>461</v>
      </c>
      <c r="J251" t="s">
        <v>18529</v>
      </c>
      <c r="K251" s="46">
        <v>3.3000000000000003E-5</v>
      </c>
      <c r="L251" t="s">
        <v>18455</v>
      </c>
      <c r="M251" t="s">
        <v>13340</v>
      </c>
      <c r="N251" t="s">
        <v>18406</v>
      </c>
      <c r="O251" t="s">
        <v>25</v>
      </c>
      <c r="P251" t="s">
        <v>18430</v>
      </c>
    </row>
    <row r="252" spans="1:16">
      <c r="A252" t="s">
        <v>18478</v>
      </c>
      <c r="B252" t="s">
        <v>18478</v>
      </c>
      <c r="C252" t="s">
        <v>18499</v>
      </c>
      <c r="D252" t="s">
        <v>13340</v>
      </c>
      <c r="E252">
        <v>2518</v>
      </c>
      <c r="F252" t="s">
        <v>18520</v>
      </c>
      <c r="G252" t="str">
        <f>Config!$B$5</f>
        <v>SCH/L_ANSI.SchLib</v>
      </c>
      <c r="H252" t="s">
        <v>424</v>
      </c>
      <c r="I252" t="s">
        <v>461</v>
      </c>
      <c r="J252" t="s">
        <v>18529</v>
      </c>
      <c r="K252" s="46">
        <v>3.3000000000000003E-5</v>
      </c>
      <c r="L252" t="s">
        <v>18456</v>
      </c>
      <c r="M252" t="s">
        <v>13340</v>
      </c>
      <c r="N252" t="s">
        <v>18407</v>
      </c>
      <c r="O252" t="s">
        <v>25</v>
      </c>
      <c r="P252" t="s">
        <v>18431</v>
      </c>
    </row>
    <row r="253" spans="1:16">
      <c r="A253" t="s">
        <v>18478</v>
      </c>
      <c r="B253" t="s">
        <v>18478</v>
      </c>
      <c r="C253" t="s">
        <v>18498</v>
      </c>
      <c r="D253" t="s">
        <v>13340</v>
      </c>
      <c r="E253">
        <v>2518</v>
      </c>
      <c r="F253" t="s">
        <v>18520</v>
      </c>
      <c r="G253" t="str">
        <f>Config!$B$5</f>
        <v>SCH/L_ANSI.SchLib</v>
      </c>
      <c r="H253" t="s">
        <v>424</v>
      </c>
      <c r="I253" t="s">
        <v>461</v>
      </c>
      <c r="J253" t="s">
        <v>18529</v>
      </c>
      <c r="K253" s="46">
        <v>3.3000000000000003E-5</v>
      </c>
      <c r="L253" t="s">
        <v>18457</v>
      </c>
      <c r="M253" t="s">
        <v>13340</v>
      </c>
      <c r="N253" t="s">
        <v>18408</v>
      </c>
      <c r="O253" t="s">
        <v>25</v>
      </c>
      <c r="P253" t="s">
        <v>18432</v>
      </c>
    </row>
    <row r="254" spans="1:16">
      <c r="A254" t="s">
        <v>18479</v>
      </c>
      <c r="B254" t="s">
        <v>18479</v>
      </c>
      <c r="C254" t="s">
        <v>18500</v>
      </c>
      <c r="D254" t="s">
        <v>13340</v>
      </c>
      <c r="E254">
        <v>2518</v>
      </c>
      <c r="F254" t="s">
        <v>18521</v>
      </c>
      <c r="G254" t="str">
        <f>Config!$B$5</f>
        <v>SCH/L_ANSI.SchLib</v>
      </c>
      <c r="H254" t="s">
        <v>424</v>
      </c>
      <c r="I254" t="s">
        <v>461</v>
      </c>
      <c r="J254" t="s">
        <v>18529</v>
      </c>
      <c r="K254" s="46">
        <v>2.1999999999999999E-5</v>
      </c>
      <c r="L254" t="s">
        <v>18458</v>
      </c>
      <c r="M254" t="s">
        <v>13340</v>
      </c>
      <c r="N254" t="s">
        <v>18409</v>
      </c>
      <c r="O254" t="s">
        <v>25</v>
      </c>
      <c r="P254" t="s">
        <v>18433</v>
      </c>
    </row>
    <row r="255" spans="1:16">
      <c r="A255" t="s">
        <v>18479</v>
      </c>
      <c r="B255" t="s">
        <v>18479</v>
      </c>
      <c r="C255" t="s">
        <v>18501</v>
      </c>
      <c r="D255" t="s">
        <v>13340</v>
      </c>
      <c r="E255">
        <v>2518</v>
      </c>
      <c r="F255" t="s">
        <v>18521</v>
      </c>
      <c r="G255" t="str">
        <f>Config!$B$5</f>
        <v>SCH/L_ANSI.SchLib</v>
      </c>
      <c r="H255" t="s">
        <v>424</v>
      </c>
      <c r="I255" t="s">
        <v>461</v>
      </c>
      <c r="J255" t="s">
        <v>18529</v>
      </c>
      <c r="K255" s="46">
        <v>2.1999999999999999E-5</v>
      </c>
      <c r="L255" t="s">
        <v>18459</v>
      </c>
      <c r="M255" t="s">
        <v>13340</v>
      </c>
      <c r="N255" t="s">
        <v>18410</v>
      </c>
      <c r="O255" t="s">
        <v>25</v>
      </c>
      <c r="P255" t="s">
        <v>18434</v>
      </c>
    </row>
    <row r="256" spans="1:16">
      <c r="A256" t="s">
        <v>18480</v>
      </c>
      <c r="B256" t="s">
        <v>18480</v>
      </c>
      <c r="C256" t="s">
        <v>18502</v>
      </c>
      <c r="D256" t="s">
        <v>13340</v>
      </c>
      <c r="E256">
        <v>2518</v>
      </c>
      <c r="F256" t="s">
        <v>18522</v>
      </c>
      <c r="G256" t="str">
        <f>Config!$B$5</f>
        <v>SCH/L_ANSI.SchLib</v>
      </c>
      <c r="H256" t="s">
        <v>424</v>
      </c>
      <c r="I256" t="s">
        <v>461</v>
      </c>
      <c r="J256" t="s">
        <v>18529</v>
      </c>
      <c r="K256" s="46">
        <v>1.5E-5</v>
      </c>
      <c r="L256" t="s">
        <v>18460</v>
      </c>
      <c r="M256" t="s">
        <v>13340</v>
      </c>
      <c r="N256" t="s">
        <v>18411</v>
      </c>
      <c r="O256" t="s">
        <v>25</v>
      </c>
      <c r="P256" t="s">
        <v>18435</v>
      </c>
    </row>
    <row r="257" spans="1:25">
      <c r="A257" t="s">
        <v>18481</v>
      </c>
      <c r="B257" t="s">
        <v>18481</v>
      </c>
      <c r="C257" t="s">
        <v>18503</v>
      </c>
      <c r="D257" t="s">
        <v>13340</v>
      </c>
      <c r="E257">
        <v>2518</v>
      </c>
      <c r="F257" t="s">
        <v>18523</v>
      </c>
      <c r="G257" t="str">
        <f>Config!$B$5</f>
        <v>SCH/L_ANSI.SchLib</v>
      </c>
      <c r="H257" t="s">
        <v>424</v>
      </c>
      <c r="I257" t="s">
        <v>461</v>
      </c>
      <c r="J257" t="s">
        <v>18529</v>
      </c>
      <c r="K257" s="46">
        <v>1.0000000000000001E-5</v>
      </c>
      <c r="L257" t="s">
        <v>18461</v>
      </c>
      <c r="M257" t="s">
        <v>13340</v>
      </c>
      <c r="N257" t="s">
        <v>18412</v>
      </c>
      <c r="O257" t="s">
        <v>25</v>
      </c>
      <c r="P257" t="s">
        <v>18436</v>
      </c>
    </row>
    <row r="258" spans="1:25">
      <c r="A258" t="s">
        <v>18482</v>
      </c>
      <c r="B258" t="s">
        <v>18482</v>
      </c>
      <c r="C258" t="s">
        <v>18504</v>
      </c>
      <c r="D258" t="s">
        <v>13340</v>
      </c>
      <c r="E258">
        <v>2518</v>
      </c>
      <c r="F258" t="s">
        <v>18524</v>
      </c>
      <c r="G258" t="str">
        <f>Config!$B$5</f>
        <v>SCH/L_ANSI.SchLib</v>
      </c>
      <c r="H258" t="s">
        <v>424</v>
      </c>
      <c r="I258" t="s">
        <v>461</v>
      </c>
      <c r="J258" t="s">
        <v>18529</v>
      </c>
      <c r="K258" s="46">
        <v>6.8000000000000001E-6</v>
      </c>
      <c r="L258" t="s">
        <v>18462</v>
      </c>
      <c r="M258" t="s">
        <v>13340</v>
      </c>
      <c r="N258" t="s">
        <v>18413</v>
      </c>
      <c r="O258" t="s">
        <v>25</v>
      </c>
      <c r="P258" t="s">
        <v>18437</v>
      </c>
    </row>
    <row r="259" spans="1:25">
      <c r="A259" t="s">
        <v>18483</v>
      </c>
      <c r="B259" t="s">
        <v>18483</v>
      </c>
      <c r="C259" t="s">
        <v>18505</v>
      </c>
      <c r="D259" t="s">
        <v>13340</v>
      </c>
      <c r="E259">
        <v>2518</v>
      </c>
      <c r="F259" t="s">
        <v>18525</v>
      </c>
      <c r="G259" t="str">
        <f>Config!$B$5</f>
        <v>SCH/L_ANSI.SchLib</v>
      </c>
      <c r="H259" t="s">
        <v>424</v>
      </c>
      <c r="I259" t="s">
        <v>461</v>
      </c>
      <c r="J259" t="s">
        <v>18529</v>
      </c>
      <c r="K259" s="46">
        <v>4.6999999999999999E-6</v>
      </c>
      <c r="L259" t="s">
        <v>18463</v>
      </c>
      <c r="M259" t="s">
        <v>13340</v>
      </c>
      <c r="N259" t="s">
        <v>18414</v>
      </c>
      <c r="O259" t="s">
        <v>25</v>
      </c>
      <c r="P259" t="s">
        <v>18438</v>
      </c>
    </row>
    <row r="260" spans="1:25">
      <c r="A260" t="s">
        <v>18483</v>
      </c>
      <c r="B260" t="s">
        <v>18483</v>
      </c>
      <c r="C260" t="s">
        <v>18506</v>
      </c>
      <c r="D260" t="s">
        <v>13340</v>
      </c>
      <c r="E260">
        <v>2518</v>
      </c>
      <c r="F260" t="s">
        <v>18525</v>
      </c>
      <c r="G260" t="str">
        <f>Config!$B$5</f>
        <v>SCH/L_ANSI.SchLib</v>
      </c>
      <c r="H260" t="s">
        <v>424</v>
      </c>
      <c r="I260" t="s">
        <v>461</v>
      </c>
      <c r="J260" t="s">
        <v>18529</v>
      </c>
      <c r="K260" s="46">
        <v>4.6999999999999999E-6</v>
      </c>
      <c r="L260" t="s">
        <v>18464</v>
      </c>
      <c r="M260" t="s">
        <v>13340</v>
      </c>
      <c r="N260" t="s">
        <v>18415</v>
      </c>
      <c r="O260" t="s">
        <v>25</v>
      </c>
      <c r="P260" t="s">
        <v>18439</v>
      </c>
    </row>
    <row r="261" spans="1:25">
      <c r="A261" t="s">
        <v>18484</v>
      </c>
      <c r="B261" t="s">
        <v>18484</v>
      </c>
      <c r="C261" t="s">
        <v>18507</v>
      </c>
      <c r="D261" t="s">
        <v>13340</v>
      </c>
      <c r="E261">
        <v>2518</v>
      </c>
      <c r="F261" t="s">
        <v>18526</v>
      </c>
      <c r="G261" t="str">
        <f>Config!$B$5</f>
        <v>SCH/L_ANSI.SchLib</v>
      </c>
      <c r="H261" t="s">
        <v>424</v>
      </c>
      <c r="I261" t="s">
        <v>461</v>
      </c>
      <c r="J261" t="s">
        <v>18529</v>
      </c>
      <c r="K261" s="46">
        <v>3.3000000000000002E-6</v>
      </c>
      <c r="L261" t="s">
        <v>18465</v>
      </c>
      <c r="M261" t="s">
        <v>13340</v>
      </c>
      <c r="N261" t="s">
        <v>18416</v>
      </c>
      <c r="O261" t="s">
        <v>25</v>
      </c>
      <c r="P261" t="s">
        <v>18440</v>
      </c>
    </row>
    <row r="262" spans="1:25">
      <c r="A262" t="s">
        <v>18485</v>
      </c>
      <c r="B262" t="s">
        <v>18485</v>
      </c>
      <c r="C262" t="s">
        <v>18508</v>
      </c>
      <c r="D262" t="s">
        <v>13340</v>
      </c>
      <c r="E262">
        <v>2518</v>
      </c>
      <c r="F262" t="s">
        <v>18527</v>
      </c>
      <c r="G262" t="str">
        <f>Config!$B$5</f>
        <v>SCH/L_ANSI.SchLib</v>
      </c>
      <c r="H262" t="s">
        <v>424</v>
      </c>
      <c r="I262" t="s">
        <v>461</v>
      </c>
      <c r="J262" t="s">
        <v>18529</v>
      </c>
      <c r="K262" s="46">
        <v>2.2000000000000001E-6</v>
      </c>
      <c r="L262" t="s">
        <v>18466</v>
      </c>
      <c r="M262" t="s">
        <v>13340</v>
      </c>
      <c r="N262" t="s">
        <v>18417</v>
      </c>
      <c r="O262" t="s">
        <v>25</v>
      </c>
      <c r="P262" t="s">
        <v>18441</v>
      </c>
    </row>
    <row r="263" spans="1:25">
      <c r="A263" t="s">
        <v>18486</v>
      </c>
      <c r="B263" t="s">
        <v>18486</v>
      </c>
      <c r="C263" t="s">
        <v>18509</v>
      </c>
      <c r="D263" t="s">
        <v>13340</v>
      </c>
      <c r="E263">
        <v>2518</v>
      </c>
      <c r="F263" t="s">
        <v>18528</v>
      </c>
      <c r="G263" t="str">
        <f>Config!$B$5</f>
        <v>SCH/L_ANSI.SchLib</v>
      </c>
      <c r="H263" t="s">
        <v>424</v>
      </c>
      <c r="I263" t="s">
        <v>461</v>
      </c>
      <c r="J263" t="s">
        <v>18529</v>
      </c>
      <c r="K263" s="46">
        <v>9.9999999999999995E-7</v>
      </c>
      <c r="L263" t="s">
        <v>18467</v>
      </c>
      <c r="M263" t="s">
        <v>13340</v>
      </c>
      <c r="N263" t="s">
        <v>18418</v>
      </c>
      <c r="O263" t="s">
        <v>25</v>
      </c>
      <c r="P263" t="s">
        <v>18442</v>
      </c>
    </row>
    <row r="264" spans="1:25">
      <c r="A264" t="s">
        <v>18486</v>
      </c>
      <c r="B264" t="s">
        <v>18486</v>
      </c>
      <c r="C264" t="s">
        <v>18510</v>
      </c>
      <c r="D264" t="s">
        <v>13340</v>
      </c>
      <c r="E264">
        <v>2518</v>
      </c>
      <c r="F264" t="s">
        <v>18528</v>
      </c>
      <c r="G264" t="str">
        <f>Config!$B$5</f>
        <v>SCH/L_ANSI.SchLib</v>
      </c>
      <c r="H264" t="s">
        <v>424</v>
      </c>
      <c r="I264" t="s">
        <v>461</v>
      </c>
      <c r="J264" t="s">
        <v>18529</v>
      </c>
      <c r="K264" s="46">
        <v>9.9999999999999995E-7</v>
      </c>
      <c r="L264" t="s">
        <v>18459</v>
      </c>
      <c r="M264" t="s">
        <v>13340</v>
      </c>
      <c r="N264" t="s">
        <v>18468</v>
      </c>
      <c r="O264" t="s">
        <v>25</v>
      </c>
      <c r="P264" t="s">
        <v>18443</v>
      </c>
    </row>
    <row r="265" spans="1:25">
      <c r="A265" t="s">
        <v>18604</v>
      </c>
      <c r="B265" t="s">
        <v>18604</v>
      </c>
      <c r="C265" t="s">
        <v>18585</v>
      </c>
      <c r="D265" t="s">
        <v>13340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18603</v>
      </c>
      <c r="K265" s="46">
        <v>1.0000000000000001E-5</v>
      </c>
      <c r="L265" t="s">
        <v>18530</v>
      </c>
      <c r="M265" t="s">
        <v>13340</v>
      </c>
      <c r="N265" t="s">
        <v>18547</v>
      </c>
      <c r="O265" t="s">
        <v>25</v>
      </c>
      <c r="P265" t="s">
        <v>18566</v>
      </c>
    </row>
    <row r="266" spans="1:25">
      <c r="A266" t="s">
        <v>18605</v>
      </c>
      <c r="B266" t="s">
        <v>18605</v>
      </c>
      <c r="C266" t="s">
        <v>18586</v>
      </c>
      <c r="D266" t="s">
        <v>13340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18603</v>
      </c>
      <c r="K266" s="46">
        <v>4.6999999999999997E-5</v>
      </c>
      <c r="L266" t="s">
        <v>18531</v>
      </c>
      <c r="M266" t="s">
        <v>13340</v>
      </c>
      <c r="N266" t="s">
        <v>18548</v>
      </c>
      <c r="O266" t="s">
        <v>25</v>
      </c>
      <c r="P266" t="s">
        <v>18567</v>
      </c>
    </row>
    <row r="267" spans="1:25">
      <c r="A267" t="s">
        <v>18604</v>
      </c>
      <c r="B267" t="s">
        <v>18604</v>
      </c>
      <c r="C267" t="s">
        <v>18585</v>
      </c>
      <c r="D267" t="s">
        <v>13340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18603</v>
      </c>
      <c r="K267" s="46">
        <v>1.0000000000000001E-5</v>
      </c>
      <c r="L267" t="s">
        <v>18532</v>
      </c>
      <c r="M267" t="s">
        <v>13340</v>
      </c>
      <c r="N267" t="s">
        <v>18549</v>
      </c>
      <c r="O267" t="s">
        <v>25</v>
      </c>
      <c r="P267" t="s">
        <v>18568</v>
      </c>
    </row>
    <row r="268" spans="1:25">
      <c r="A268" t="s">
        <v>18606</v>
      </c>
      <c r="B268" t="s">
        <v>18606</v>
      </c>
      <c r="C268" t="s">
        <v>18587</v>
      </c>
      <c r="D268" t="s">
        <v>13340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18603</v>
      </c>
      <c r="K268" s="46">
        <v>4.6999999999999999E-6</v>
      </c>
      <c r="L268" t="s">
        <v>18533</v>
      </c>
      <c r="M268" t="s">
        <v>13340</v>
      </c>
      <c r="N268" t="s">
        <v>18550</v>
      </c>
      <c r="O268" t="s">
        <v>25</v>
      </c>
      <c r="P268" t="s">
        <v>18569</v>
      </c>
    </row>
    <row r="269" spans="1:25">
      <c r="A269" t="s">
        <v>18607</v>
      </c>
      <c r="B269" t="s">
        <v>18607</v>
      </c>
      <c r="C269" t="s">
        <v>18588</v>
      </c>
      <c r="D269" t="s">
        <v>13340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18603</v>
      </c>
      <c r="K269" s="46">
        <v>2.1999999999999999E-5</v>
      </c>
      <c r="L269" t="s">
        <v>18534</v>
      </c>
      <c r="M269" t="s">
        <v>13340</v>
      </c>
      <c r="N269" t="s">
        <v>18551</v>
      </c>
      <c r="O269" t="s">
        <v>25</v>
      </c>
      <c r="P269" t="s">
        <v>18570</v>
      </c>
    </row>
    <row r="270" spans="1:25">
      <c r="A270" t="s">
        <v>18608</v>
      </c>
      <c r="B270" t="s">
        <v>18608</v>
      </c>
      <c r="C270" t="s">
        <v>18589</v>
      </c>
      <c r="D270" t="s">
        <v>13340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18603</v>
      </c>
      <c r="K270" s="46">
        <v>6.8000000000000001E-6</v>
      </c>
      <c r="L270" t="s">
        <v>18535</v>
      </c>
      <c r="M270" t="s">
        <v>13340</v>
      </c>
      <c r="N270" t="s">
        <v>18552</v>
      </c>
      <c r="O270" t="s">
        <v>25</v>
      </c>
      <c r="P270" t="s">
        <v>18571</v>
      </c>
    </row>
    <row r="271" spans="1:25">
      <c r="A271" t="s">
        <v>18609</v>
      </c>
      <c r="B271" t="s">
        <v>18609</v>
      </c>
      <c r="C271" t="s">
        <v>18590</v>
      </c>
      <c r="D271" t="s">
        <v>13340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18603</v>
      </c>
      <c r="K271" s="46">
        <v>1.5E-5</v>
      </c>
      <c r="L271" t="s">
        <v>18536</v>
      </c>
      <c r="M271" t="s">
        <v>13340</v>
      </c>
      <c r="N271" t="s">
        <v>18553</v>
      </c>
      <c r="O271" t="s">
        <v>25</v>
      </c>
      <c r="P271" t="s">
        <v>18572</v>
      </c>
    </row>
    <row r="272" spans="1:25">
      <c r="A272" t="s">
        <v>18610</v>
      </c>
      <c r="B272" t="s">
        <v>18610</v>
      </c>
      <c r="C272" t="s">
        <v>18591</v>
      </c>
      <c r="D272" t="s">
        <v>13340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18603</v>
      </c>
      <c r="K272" s="46">
        <v>1E-4</v>
      </c>
      <c r="L272" t="s">
        <v>18537</v>
      </c>
      <c r="M272" t="s">
        <v>13340</v>
      </c>
      <c r="N272" t="s">
        <v>18554</v>
      </c>
      <c r="O272" t="s">
        <v>25</v>
      </c>
      <c r="P272" t="s">
        <v>18573</v>
      </c>
      <c r="U272" t="s">
        <v>4479</v>
      </c>
      <c r="V272" t="s">
        <v>18630</v>
      </c>
      <c r="W272" t="s">
        <v>4559</v>
      </c>
      <c r="X272" t="s">
        <v>18629</v>
      </c>
      <c r="Y272" t="s">
        <v>4727</v>
      </c>
    </row>
    <row r="273" spans="1:16">
      <c r="A273" t="s">
        <v>18604</v>
      </c>
      <c r="B273" t="s">
        <v>18604</v>
      </c>
      <c r="C273" t="s">
        <v>18592</v>
      </c>
      <c r="D273" t="s">
        <v>13340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18603</v>
      </c>
      <c r="K273" s="46">
        <v>1.0000000000000001E-5</v>
      </c>
      <c r="L273" t="s">
        <v>18538</v>
      </c>
      <c r="M273" t="s">
        <v>13340</v>
      </c>
      <c r="N273" t="s">
        <v>18555</v>
      </c>
      <c r="O273" t="s">
        <v>25</v>
      </c>
      <c r="P273" t="s">
        <v>18574</v>
      </c>
    </row>
    <row r="274" spans="1:16">
      <c r="A274" t="s">
        <v>18611</v>
      </c>
      <c r="B274" t="s">
        <v>18611</v>
      </c>
      <c r="C274" t="s">
        <v>18593</v>
      </c>
      <c r="D274" t="s">
        <v>13340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18603</v>
      </c>
      <c r="K274" s="46">
        <v>6.7999999999999999E-5</v>
      </c>
      <c r="L274" t="s">
        <v>18539</v>
      </c>
      <c r="M274" t="s">
        <v>13340</v>
      </c>
      <c r="N274" t="s">
        <v>18556</v>
      </c>
      <c r="O274" t="s">
        <v>25</v>
      </c>
      <c r="P274" t="s">
        <v>18575</v>
      </c>
    </row>
    <row r="275" spans="1:16">
      <c r="A275" t="s">
        <v>18605</v>
      </c>
      <c r="B275" t="s">
        <v>18605</v>
      </c>
      <c r="C275" t="s">
        <v>18594</v>
      </c>
      <c r="D275" t="s">
        <v>13340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18603</v>
      </c>
      <c r="K275" s="46">
        <v>4.6999999999999997E-5</v>
      </c>
      <c r="L275" t="s">
        <v>18540</v>
      </c>
      <c r="M275" t="s">
        <v>13340</v>
      </c>
      <c r="N275" t="s">
        <v>18557</v>
      </c>
      <c r="O275" t="s">
        <v>25</v>
      </c>
      <c r="P275" t="s">
        <v>18576</v>
      </c>
    </row>
    <row r="276" spans="1:16">
      <c r="A276" t="s">
        <v>18612</v>
      </c>
      <c r="B276" t="s">
        <v>18612</v>
      </c>
      <c r="C276" t="s">
        <v>18595</v>
      </c>
      <c r="D276" t="s">
        <v>13340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18603</v>
      </c>
      <c r="K276" s="46">
        <v>3.3000000000000002E-6</v>
      </c>
      <c r="L276" t="s">
        <v>18541</v>
      </c>
      <c r="M276" t="s">
        <v>13340</v>
      </c>
      <c r="N276" t="s">
        <v>18558</v>
      </c>
      <c r="O276" t="s">
        <v>25</v>
      </c>
      <c r="P276" t="s">
        <v>18577</v>
      </c>
    </row>
    <row r="277" spans="1:16">
      <c r="A277" t="s">
        <v>18613</v>
      </c>
      <c r="B277" t="s">
        <v>18613</v>
      </c>
      <c r="C277" t="s">
        <v>18596</v>
      </c>
      <c r="D277" t="s">
        <v>13340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18603</v>
      </c>
      <c r="K277" s="46">
        <v>9.9999999999999995E-7</v>
      </c>
      <c r="L277" t="s">
        <v>18542</v>
      </c>
      <c r="M277" t="s">
        <v>13340</v>
      </c>
      <c r="N277" t="s">
        <v>18559</v>
      </c>
      <c r="O277" t="s">
        <v>25</v>
      </c>
      <c r="P277" t="s">
        <v>18578</v>
      </c>
    </row>
    <row r="278" spans="1:16">
      <c r="A278" t="s">
        <v>18612</v>
      </c>
      <c r="B278" t="s">
        <v>18612</v>
      </c>
      <c r="C278" t="s">
        <v>18597</v>
      </c>
      <c r="D278" t="s">
        <v>13340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18603</v>
      </c>
      <c r="K278" s="46">
        <v>3.3000000000000002E-6</v>
      </c>
      <c r="L278" t="s">
        <v>18543</v>
      </c>
      <c r="M278" t="s">
        <v>13340</v>
      </c>
      <c r="N278" t="s">
        <v>18560</v>
      </c>
      <c r="O278" t="s">
        <v>25</v>
      </c>
      <c r="P278" t="s">
        <v>18579</v>
      </c>
    </row>
    <row r="279" spans="1:16">
      <c r="A279" t="s">
        <v>18614</v>
      </c>
      <c r="B279" t="s">
        <v>18614</v>
      </c>
      <c r="C279" t="s">
        <v>18598</v>
      </c>
      <c r="D279" t="s">
        <v>13340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18603</v>
      </c>
      <c r="K279" s="46">
        <v>2.2000000000000001E-6</v>
      </c>
      <c r="L279" t="s">
        <v>18544</v>
      </c>
      <c r="M279" t="s">
        <v>13340</v>
      </c>
      <c r="N279" t="s">
        <v>18561</v>
      </c>
      <c r="O279" t="s">
        <v>25</v>
      </c>
      <c r="P279" t="s">
        <v>18580</v>
      </c>
    </row>
    <row r="280" spans="1:16">
      <c r="A280" t="s">
        <v>18613</v>
      </c>
      <c r="B280" t="s">
        <v>18613</v>
      </c>
      <c r="C280" t="s">
        <v>18599</v>
      </c>
      <c r="D280" t="s">
        <v>13340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18603</v>
      </c>
      <c r="K280" s="46">
        <v>9.9999999999999995E-7</v>
      </c>
      <c r="L280" t="s">
        <v>18459</v>
      </c>
      <c r="M280" t="s">
        <v>13340</v>
      </c>
      <c r="N280" t="s">
        <v>18562</v>
      </c>
      <c r="O280" t="s">
        <v>25</v>
      </c>
      <c r="P280" t="s">
        <v>18581</v>
      </c>
    </row>
    <row r="281" spans="1:16">
      <c r="A281" t="s">
        <v>18613</v>
      </c>
      <c r="B281" t="s">
        <v>18613</v>
      </c>
      <c r="C281" t="s">
        <v>18600</v>
      </c>
      <c r="D281" t="s">
        <v>13340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18603</v>
      </c>
      <c r="K281" s="46">
        <v>9.9999999999999995E-7</v>
      </c>
      <c r="L281" t="s">
        <v>18545</v>
      </c>
      <c r="M281" t="s">
        <v>13340</v>
      </c>
      <c r="N281" t="s">
        <v>18563</v>
      </c>
      <c r="O281" t="s">
        <v>25</v>
      </c>
      <c r="P281" t="s">
        <v>18582</v>
      </c>
    </row>
    <row r="282" spans="1:16">
      <c r="A282" t="s">
        <v>18606</v>
      </c>
      <c r="B282" t="s">
        <v>18606</v>
      </c>
      <c r="C282" t="s">
        <v>18601</v>
      </c>
      <c r="D282" t="s">
        <v>13340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18603</v>
      </c>
      <c r="K282" s="46">
        <v>4.6999999999999999E-6</v>
      </c>
      <c r="L282" t="s">
        <v>18459</v>
      </c>
      <c r="M282" t="s">
        <v>13340</v>
      </c>
      <c r="N282" t="s">
        <v>18564</v>
      </c>
      <c r="O282" t="s">
        <v>25</v>
      </c>
      <c r="P282" t="s">
        <v>18583</v>
      </c>
    </row>
    <row r="283" spans="1:16">
      <c r="A283" t="s">
        <v>18604</v>
      </c>
      <c r="B283" t="s">
        <v>18604</v>
      </c>
      <c r="C283" t="s">
        <v>18602</v>
      </c>
      <c r="D283" t="s">
        <v>13340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18603</v>
      </c>
      <c r="K283" s="46">
        <v>1.0000000000000001E-5</v>
      </c>
      <c r="L283" t="s">
        <v>18546</v>
      </c>
      <c r="M283" t="s">
        <v>13340</v>
      </c>
      <c r="N283" t="s">
        <v>18565</v>
      </c>
      <c r="O283" t="s">
        <v>25</v>
      </c>
      <c r="P283" t="s">
        <v>18584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18130</v>
      </c>
      <c r="B256" t="s">
        <v>18130</v>
      </c>
      <c r="C256" t="s">
        <v>18131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18130</v>
      </c>
      <c r="L256" s="1" t="s">
        <v>13497</v>
      </c>
    </row>
    <row r="257" spans="1:25" ht="15.75">
      <c r="A257" t="s">
        <v>14038</v>
      </c>
      <c r="B257" t="s">
        <v>14038</v>
      </c>
      <c r="C257" t="s">
        <v>14039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14038</v>
      </c>
      <c r="L257" s="1" t="s">
        <v>13497</v>
      </c>
    </row>
    <row r="258" spans="1:25" ht="15.75">
      <c r="A258" t="s">
        <v>14036</v>
      </c>
      <c r="B258" t="s">
        <v>14036</v>
      </c>
      <c r="C258" t="s">
        <v>14037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14036</v>
      </c>
      <c r="L258" s="1" t="s">
        <v>13497</v>
      </c>
    </row>
    <row r="259" spans="1:25" ht="15.75">
      <c r="A259" t="s">
        <v>14034</v>
      </c>
      <c r="B259" t="s">
        <v>14034</v>
      </c>
      <c r="C259" t="s">
        <v>14035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14034</v>
      </c>
      <c r="L259" s="1" t="s">
        <v>13497</v>
      </c>
    </row>
    <row r="260" spans="1:25" ht="15.75">
      <c r="A260" t="s">
        <v>14030</v>
      </c>
      <c r="B260" t="s">
        <v>14030</v>
      </c>
      <c r="C260" t="s">
        <v>14032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14030</v>
      </c>
      <c r="L260" s="1" t="s">
        <v>13497</v>
      </c>
    </row>
    <row r="261" spans="1:25" ht="15.75">
      <c r="A261" t="s">
        <v>14031</v>
      </c>
      <c r="B261" t="s">
        <v>14031</v>
      </c>
      <c r="C261" t="s">
        <v>14033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14031</v>
      </c>
      <c r="L261" s="1" t="s">
        <v>13497</v>
      </c>
    </row>
    <row r="262" spans="1:25" ht="15.75">
      <c r="A262" t="s">
        <v>12715</v>
      </c>
      <c r="B262" t="s">
        <v>12715</v>
      </c>
      <c r="C262" t="s">
        <v>12720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12715</v>
      </c>
      <c r="L262" s="1" t="s">
        <v>13497</v>
      </c>
    </row>
    <row r="263" spans="1:25" ht="15.75">
      <c r="A263" t="s">
        <v>13384</v>
      </c>
      <c r="B263" t="s">
        <v>13384</v>
      </c>
      <c r="C263" t="s">
        <v>13385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13384</v>
      </c>
      <c r="L263" s="1" t="s">
        <v>13497</v>
      </c>
    </row>
    <row r="264" spans="1:25" ht="15.75">
      <c r="A264" t="s">
        <v>12716</v>
      </c>
      <c r="B264" t="s">
        <v>12716</v>
      </c>
      <c r="C264" t="s">
        <v>12721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12716</v>
      </c>
      <c r="L264" s="1" t="s">
        <v>13497</v>
      </c>
    </row>
    <row r="265" spans="1:25" ht="15.75">
      <c r="A265" t="s">
        <v>12727</v>
      </c>
      <c r="B265" t="s">
        <v>12727</v>
      </c>
      <c r="C265" t="s">
        <v>12728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12727</v>
      </c>
      <c r="L265" s="1" t="s">
        <v>13497</v>
      </c>
    </row>
    <row r="266" spans="1:25" ht="15.75">
      <c r="A266" t="s">
        <v>12717</v>
      </c>
      <c r="B266" t="s">
        <v>12717</v>
      </c>
      <c r="C266" t="s">
        <v>12722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12717</v>
      </c>
      <c r="L266" s="1" t="s">
        <v>13497</v>
      </c>
    </row>
    <row r="267" spans="1:25" ht="15.75">
      <c r="A267" t="s">
        <v>12725</v>
      </c>
      <c r="B267" t="s">
        <v>12725</v>
      </c>
      <c r="C267" t="s">
        <v>12726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12725</v>
      </c>
      <c r="L267" s="1" t="s">
        <v>13497</v>
      </c>
    </row>
    <row r="268" spans="1:25" ht="15.75">
      <c r="A268" t="s">
        <v>12718</v>
      </c>
      <c r="B268" t="s">
        <v>12718</v>
      </c>
      <c r="C268" t="s">
        <v>12723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12718</v>
      </c>
      <c r="L268" s="1" t="s">
        <v>13497</v>
      </c>
    </row>
    <row r="269" spans="1:25" ht="15.75">
      <c r="A269" t="s">
        <v>12719</v>
      </c>
      <c r="B269" t="s">
        <v>12719</v>
      </c>
      <c r="C269" t="s">
        <v>12724</v>
      </c>
      <c r="D269" t="s">
        <v>21</v>
      </c>
      <c r="G269" t="str">
        <f>Config!$B$7</f>
        <v>SCH/Connector.SchLib</v>
      </c>
      <c r="H269" t="s">
        <v>6983</v>
      </c>
      <c r="I269" t="s">
        <v>6232</v>
      </c>
      <c r="J269" t="s">
        <v>12719</v>
      </c>
      <c r="L269" s="1" t="s">
        <v>13497</v>
      </c>
    </row>
    <row r="270" spans="1:25" ht="15.75">
      <c r="A270" t="s">
        <v>13070</v>
      </c>
      <c r="B270">
        <v>5600200320</v>
      </c>
      <c r="C270" t="s">
        <v>13071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5600200320</v>
      </c>
      <c r="L270" s="1" t="s">
        <v>13497</v>
      </c>
      <c r="M270" t="s">
        <v>13072</v>
      </c>
      <c r="N270" t="s">
        <v>6637</v>
      </c>
      <c r="O270" s="14" t="s">
        <v>13073</v>
      </c>
      <c r="P270" t="s">
        <v>25</v>
      </c>
      <c r="Q270" t="s">
        <v>13074</v>
      </c>
      <c r="V270" t="s">
        <v>6637</v>
      </c>
      <c r="W270" s="14" t="s">
        <v>13073</v>
      </c>
      <c r="X270" t="s">
        <v>4559</v>
      </c>
      <c r="Y270" t="s">
        <v>13075</v>
      </c>
    </row>
    <row r="271" spans="1:25" ht="15.75">
      <c r="A271" t="s">
        <v>13076</v>
      </c>
      <c r="B271">
        <v>5023520300</v>
      </c>
      <c r="C271" t="s">
        <v>13077</v>
      </c>
      <c r="D271" t="s">
        <v>6637</v>
      </c>
      <c r="G271" t="str">
        <f>Config!$B$7</f>
        <v>SCH/Connector.SchLib</v>
      </c>
      <c r="H271" t="s">
        <v>7852</v>
      </c>
      <c r="I271" t="str">
        <f>_xlfn.CONCAT(PrivateLibraryPath,"PCB/Molex.PcbLib")</f>
        <v>../altium_lib_private/PCB/Molex.PcbLib</v>
      </c>
      <c r="J271">
        <v>5023520300</v>
      </c>
      <c r="L271" s="1" t="s">
        <v>13497</v>
      </c>
      <c r="M271" t="s">
        <v>13078</v>
      </c>
      <c r="N271" t="s">
        <v>6637</v>
      </c>
      <c r="O271">
        <v>5023520300</v>
      </c>
      <c r="P271" t="s">
        <v>25</v>
      </c>
      <c r="Q271" t="s">
        <v>13079</v>
      </c>
      <c r="V271" t="s">
        <v>6637</v>
      </c>
      <c r="W271">
        <v>5023520300</v>
      </c>
      <c r="X271" t="s">
        <v>4559</v>
      </c>
      <c r="Y271" t="s">
        <v>13080</v>
      </c>
    </row>
    <row r="272" spans="1:25" ht="15.75">
      <c r="A272" t="s">
        <v>13081</v>
      </c>
      <c r="B272">
        <v>5023520200</v>
      </c>
      <c r="C272" t="s">
        <v>13082</v>
      </c>
      <c r="D272" t="s">
        <v>6637</v>
      </c>
      <c r="G272" t="str">
        <f>Config!$B$7</f>
        <v>SCH/Connector.SchLib</v>
      </c>
      <c r="H272" t="s">
        <v>7005</v>
      </c>
      <c r="I272" t="str">
        <f>_xlfn.CONCAT(PrivateLibraryPath,"PCB/Molex.PcbLib")</f>
        <v>../altium_lib_private/PCB/Molex.PcbLib</v>
      </c>
      <c r="J272">
        <v>5023520200</v>
      </c>
      <c r="L272" s="1" t="s">
        <v>13497</v>
      </c>
      <c r="M272" s="28" t="s">
        <v>13084</v>
      </c>
      <c r="N272" t="s">
        <v>6637</v>
      </c>
      <c r="O272">
        <v>5023520200</v>
      </c>
      <c r="P272" t="s">
        <v>25</v>
      </c>
      <c r="Q272" t="s">
        <v>13083</v>
      </c>
      <c r="V272" t="s">
        <v>6637</v>
      </c>
      <c r="W272">
        <v>5023520200</v>
      </c>
      <c r="X272" t="s">
        <v>4559</v>
      </c>
      <c r="Y272" t="s">
        <v>13085</v>
      </c>
    </row>
    <row r="273" spans="1:26" ht="15.75">
      <c r="A273" t="s">
        <v>13305</v>
      </c>
      <c r="B273" t="s">
        <v>13306</v>
      </c>
      <c r="C273" t="s">
        <v>13307</v>
      </c>
      <c r="D273" t="s">
        <v>13045</v>
      </c>
      <c r="G273" t="str">
        <f>Config!$B$7</f>
        <v>SCH/Connector.SchLib</v>
      </c>
      <c r="H273" t="s">
        <v>13308</v>
      </c>
      <c r="I273" t="s">
        <v>7983</v>
      </c>
      <c r="J273" t="s">
        <v>13329</v>
      </c>
      <c r="L273" s="1" t="s">
        <v>13497</v>
      </c>
      <c r="M273" t="s">
        <v>13309</v>
      </c>
      <c r="N273" t="s">
        <v>13045</v>
      </c>
      <c r="O273" t="s">
        <v>13311</v>
      </c>
      <c r="P273" t="s">
        <v>25</v>
      </c>
      <c r="Q273" t="s">
        <v>13310</v>
      </c>
      <c r="V273" t="s">
        <v>13314</v>
      </c>
      <c r="W273" t="s">
        <v>13312</v>
      </c>
      <c r="X273" t="s">
        <v>4559</v>
      </c>
      <c r="Y273" t="s">
        <v>13313</v>
      </c>
    </row>
    <row r="274" spans="1:26" ht="15.75">
      <c r="A274" t="s">
        <v>14343</v>
      </c>
      <c r="B274" t="s">
        <v>14343</v>
      </c>
      <c r="C274" t="s">
        <v>14344</v>
      </c>
      <c r="D274" t="s">
        <v>6648</v>
      </c>
      <c r="G274" t="str">
        <f>Config!$B$7</f>
        <v>SCH/Connector.SchLib</v>
      </c>
      <c r="H274" t="s">
        <v>14341</v>
      </c>
      <c r="I274" t="s">
        <v>12318</v>
      </c>
      <c r="J274" t="s">
        <v>14340</v>
      </c>
      <c r="L274" s="1" t="s">
        <v>13497</v>
      </c>
      <c r="M274" t="s">
        <v>14342</v>
      </c>
      <c r="N274" t="s">
        <v>14345</v>
      </c>
      <c r="O274" t="s">
        <v>14346</v>
      </c>
      <c r="P274" t="s">
        <v>25</v>
      </c>
      <c r="Q274" t="s">
        <v>14347</v>
      </c>
      <c r="V274" t="s">
        <v>14348</v>
      </c>
      <c r="W274" t="s">
        <v>14346</v>
      </c>
      <c r="X274" t="s">
        <v>4559</v>
      </c>
      <c r="Y274" t="s">
        <v>14349</v>
      </c>
      <c r="Z274" t="s">
        <v>4727</v>
      </c>
    </row>
    <row r="275" spans="1:26" ht="15.75">
      <c r="A275" t="s">
        <v>14350</v>
      </c>
      <c r="B275" t="s">
        <v>14350</v>
      </c>
      <c r="C275" t="s">
        <v>14351</v>
      </c>
      <c r="D275" t="s">
        <v>14352</v>
      </c>
      <c r="G275" t="s">
        <v>4430</v>
      </c>
      <c r="H275" t="s">
        <v>14341</v>
      </c>
      <c r="I275" s="39"/>
      <c r="J275" s="39"/>
      <c r="L275" s="1" t="s">
        <v>13497</v>
      </c>
      <c r="M275" t="s">
        <v>14353</v>
      </c>
      <c r="N275" t="s">
        <v>12253</v>
      </c>
      <c r="O275" t="s">
        <v>14354</v>
      </c>
      <c r="P275" t="s">
        <v>25</v>
      </c>
      <c r="Q275" t="s">
        <v>14355</v>
      </c>
      <c r="V275" t="s">
        <v>14356</v>
      </c>
      <c r="W275" t="s">
        <v>14354</v>
      </c>
      <c r="X275" t="s">
        <v>4559</v>
      </c>
      <c r="Y275" t="s">
        <v>14357</v>
      </c>
      <c r="Z275" t="s">
        <v>4727</v>
      </c>
    </row>
    <row r="276" spans="1:26">
      <c r="A276" t="s">
        <v>18214</v>
      </c>
      <c r="B276" t="s">
        <v>12576</v>
      </c>
      <c r="C276" t="s">
        <v>18215</v>
      </c>
      <c r="D276" t="s">
        <v>21</v>
      </c>
      <c r="G276" t="s">
        <v>4430</v>
      </c>
      <c r="H276" t="s">
        <v>6983</v>
      </c>
      <c r="I276" t="s">
        <v>18216</v>
      </c>
      <c r="J276" t="s">
        <v>18217</v>
      </c>
      <c r="L276" t="s">
        <v>13497</v>
      </c>
    </row>
    <row r="277" spans="1:26">
      <c r="A277" t="s">
        <v>18218</v>
      </c>
      <c r="B277" t="s">
        <v>12958</v>
      </c>
      <c r="C277" t="s">
        <v>18219</v>
      </c>
      <c r="D277" t="s">
        <v>21</v>
      </c>
      <c r="G277" t="s">
        <v>4430</v>
      </c>
      <c r="H277" t="s">
        <v>7005</v>
      </c>
      <c r="I277" t="s">
        <v>18216</v>
      </c>
      <c r="J277" t="s">
        <v>18220</v>
      </c>
      <c r="L277" t="s">
        <v>13497</v>
      </c>
    </row>
    <row r="278" spans="1:26">
      <c r="A278" t="s">
        <v>18221</v>
      </c>
      <c r="B278" t="s">
        <v>12959</v>
      </c>
      <c r="C278" t="s">
        <v>18222</v>
      </c>
      <c r="D278" t="s">
        <v>21</v>
      </c>
      <c r="G278" t="s">
        <v>4430</v>
      </c>
      <c r="H278" t="s">
        <v>7852</v>
      </c>
      <c r="I278" t="s">
        <v>18216</v>
      </c>
      <c r="J278" t="s">
        <v>18223</v>
      </c>
      <c r="L278" t="s">
        <v>13497</v>
      </c>
    </row>
    <row r="279" spans="1:26">
      <c r="A279" t="s">
        <v>18224</v>
      </c>
      <c r="B279" t="s">
        <v>12960</v>
      </c>
      <c r="C279" t="s">
        <v>18225</v>
      </c>
      <c r="D279" t="s">
        <v>21</v>
      </c>
      <c r="G279" t="s">
        <v>4430</v>
      </c>
      <c r="H279" t="s">
        <v>6356</v>
      </c>
      <c r="I279" t="s">
        <v>18216</v>
      </c>
      <c r="J279" t="s">
        <v>18226</v>
      </c>
      <c r="L279" t="s">
        <v>13497</v>
      </c>
    </row>
    <row r="280" spans="1:26">
      <c r="A280" t="s">
        <v>18227</v>
      </c>
      <c r="B280" t="s">
        <v>12961</v>
      </c>
      <c r="C280" t="s">
        <v>18228</v>
      </c>
      <c r="D280" t="s">
        <v>21</v>
      </c>
      <c r="G280" t="s">
        <v>4430</v>
      </c>
      <c r="H280" t="s">
        <v>6365</v>
      </c>
      <c r="I280" t="s">
        <v>18216</v>
      </c>
      <c r="J280" t="s">
        <v>18229</v>
      </c>
      <c r="L280" t="s">
        <v>13497</v>
      </c>
    </row>
    <row r="281" spans="1:26">
      <c r="A281" t="s">
        <v>18230</v>
      </c>
      <c r="B281" t="s">
        <v>12962</v>
      </c>
      <c r="C281" t="s">
        <v>18231</v>
      </c>
      <c r="D281" t="s">
        <v>21</v>
      </c>
      <c r="G281" t="s">
        <v>4430</v>
      </c>
      <c r="H281" t="s">
        <v>6559</v>
      </c>
      <c r="I281" t="s">
        <v>18216</v>
      </c>
      <c r="J281" t="s">
        <v>18232</v>
      </c>
      <c r="L281" t="s">
        <v>13497</v>
      </c>
    </row>
    <row r="282" spans="1:26">
      <c r="A282" t="s">
        <v>18233</v>
      </c>
      <c r="B282" t="s">
        <v>12963</v>
      </c>
      <c r="C282" t="s">
        <v>18234</v>
      </c>
      <c r="D282" t="s">
        <v>21</v>
      </c>
      <c r="G282" t="s">
        <v>4430</v>
      </c>
      <c r="H282" t="s">
        <v>7860</v>
      </c>
      <c r="I282" t="s">
        <v>18216</v>
      </c>
      <c r="J282" t="s">
        <v>18235</v>
      </c>
      <c r="L282" t="s">
        <v>13497</v>
      </c>
    </row>
    <row r="283" spans="1:26">
      <c r="A283" t="s">
        <v>18236</v>
      </c>
      <c r="B283" t="s">
        <v>12964</v>
      </c>
      <c r="C283" t="s">
        <v>18237</v>
      </c>
      <c r="D283" t="s">
        <v>21</v>
      </c>
      <c r="G283" t="s">
        <v>4430</v>
      </c>
      <c r="H283" t="s">
        <v>4429</v>
      </c>
      <c r="I283" t="s">
        <v>18216</v>
      </c>
      <c r="J283" t="s">
        <v>18238</v>
      </c>
      <c r="L283" t="s">
        <v>13497</v>
      </c>
    </row>
    <row r="284" spans="1:26">
      <c r="A284" t="s">
        <v>18239</v>
      </c>
      <c r="B284" t="s">
        <v>12965</v>
      </c>
      <c r="C284" t="s">
        <v>18240</v>
      </c>
      <c r="D284" t="s">
        <v>21</v>
      </c>
      <c r="G284" t="s">
        <v>4430</v>
      </c>
      <c r="H284" t="s">
        <v>7865</v>
      </c>
      <c r="I284" t="s">
        <v>18216</v>
      </c>
      <c r="J284" t="s">
        <v>18241</v>
      </c>
      <c r="L284" t="s">
        <v>13497</v>
      </c>
    </row>
    <row r="285" spans="1:26">
      <c r="A285" t="s">
        <v>18242</v>
      </c>
      <c r="B285" t="s">
        <v>12966</v>
      </c>
      <c r="C285" t="s">
        <v>18243</v>
      </c>
      <c r="D285" t="s">
        <v>21</v>
      </c>
      <c r="G285" t="s">
        <v>4430</v>
      </c>
      <c r="H285" t="s">
        <v>6566</v>
      </c>
      <c r="I285" t="s">
        <v>18216</v>
      </c>
      <c r="J285" t="s">
        <v>18244</v>
      </c>
      <c r="L285" t="s">
        <v>13497</v>
      </c>
    </row>
    <row r="286" spans="1:26">
      <c r="A286" t="s">
        <v>18245</v>
      </c>
      <c r="B286" t="s">
        <v>12967</v>
      </c>
      <c r="C286" t="s">
        <v>18246</v>
      </c>
      <c r="D286" t="s">
        <v>21</v>
      </c>
      <c r="G286" t="s">
        <v>4430</v>
      </c>
      <c r="H286" t="s">
        <v>7873</v>
      </c>
      <c r="I286" t="s">
        <v>18216</v>
      </c>
      <c r="J286" t="s">
        <v>18247</v>
      </c>
      <c r="L286" t="s">
        <v>13497</v>
      </c>
    </row>
    <row r="287" spans="1:26">
      <c r="A287" t="s">
        <v>18248</v>
      </c>
      <c r="B287" t="s">
        <v>12968</v>
      </c>
      <c r="C287" t="s">
        <v>18249</v>
      </c>
      <c r="D287" t="s">
        <v>21</v>
      </c>
      <c r="G287" t="s">
        <v>4430</v>
      </c>
      <c r="H287" t="s">
        <v>7870</v>
      </c>
      <c r="I287" t="s">
        <v>18216</v>
      </c>
      <c r="J287" t="s">
        <v>18250</v>
      </c>
      <c r="L287" t="s">
        <v>13497</v>
      </c>
    </row>
    <row r="288" spans="1:26">
      <c r="A288" t="s">
        <v>18251</v>
      </c>
      <c r="B288" t="s">
        <v>12969</v>
      </c>
      <c r="C288" t="s">
        <v>18252</v>
      </c>
      <c r="D288" t="s">
        <v>21</v>
      </c>
      <c r="G288" t="s">
        <v>4430</v>
      </c>
      <c r="H288" t="s">
        <v>7876</v>
      </c>
      <c r="I288" t="s">
        <v>18216</v>
      </c>
      <c r="J288" t="s">
        <v>18253</v>
      </c>
      <c r="L288" t="s">
        <v>13497</v>
      </c>
    </row>
    <row r="289" spans="1:12">
      <c r="A289" t="s">
        <v>18254</v>
      </c>
      <c r="B289" t="s">
        <v>12970</v>
      </c>
      <c r="C289" t="s">
        <v>18255</v>
      </c>
      <c r="D289" t="s">
        <v>21</v>
      </c>
      <c r="G289" t="s">
        <v>4430</v>
      </c>
      <c r="H289" t="s">
        <v>6569</v>
      </c>
      <c r="I289" t="s">
        <v>18216</v>
      </c>
      <c r="J289" t="s">
        <v>18256</v>
      </c>
      <c r="L289" t="s">
        <v>13497</v>
      </c>
    </row>
    <row r="290" spans="1:12">
      <c r="A290" t="s">
        <v>18257</v>
      </c>
      <c r="B290" t="s">
        <v>12971</v>
      </c>
      <c r="C290" t="s">
        <v>18258</v>
      </c>
      <c r="D290" t="s">
        <v>21</v>
      </c>
      <c r="G290" t="s">
        <v>4430</v>
      </c>
      <c r="H290" t="s">
        <v>7881</v>
      </c>
      <c r="I290" t="s">
        <v>18216</v>
      </c>
      <c r="J290" t="s">
        <v>18259</v>
      </c>
      <c r="L290" t="s">
        <v>13497</v>
      </c>
    </row>
    <row r="291" spans="1:12">
      <c r="A291" t="s">
        <v>18260</v>
      </c>
      <c r="B291" t="s">
        <v>12972</v>
      </c>
      <c r="C291" t="s">
        <v>18261</v>
      </c>
      <c r="D291" t="s">
        <v>21</v>
      </c>
      <c r="G291" t="s">
        <v>4430</v>
      </c>
      <c r="H291" t="s">
        <v>7884</v>
      </c>
      <c r="I291" t="s">
        <v>18216</v>
      </c>
      <c r="J291" t="s">
        <v>18262</v>
      </c>
      <c r="L291" t="s">
        <v>13497</v>
      </c>
    </row>
    <row r="292" spans="1:12">
      <c r="A292" t="s">
        <v>18263</v>
      </c>
      <c r="B292" t="s">
        <v>12973</v>
      </c>
      <c r="C292" t="s">
        <v>18264</v>
      </c>
      <c r="D292" t="s">
        <v>21</v>
      </c>
      <c r="G292" t="s">
        <v>4430</v>
      </c>
      <c r="H292" t="s">
        <v>7887</v>
      </c>
      <c r="I292" t="s">
        <v>18216</v>
      </c>
      <c r="J292" t="s">
        <v>18265</v>
      </c>
      <c r="L292" t="s">
        <v>13497</v>
      </c>
    </row>
    <row r="293" spans="1:12">
      <c r="A293" t="s">
        <v>18266</v>
      </c>
      <c r="B293" t="s">
        <v>12974</v>
      </c>
      <c r="C293" t="s">
        <v>18267</v>
      </c>
      <c r="D293" t="s">
        <v>21</v>
      </c>
      <c r="G293" t="s">
        <v>4430</v>
      </c>
      <c r="H293" t="s">
        <v>7890</v>
      </c>
      <c r="I293" t="s">
        <v>18216</v>
      </c>
      <c r="J293" t="s">
        <v>18268</v>
      </c>
      <c r="L293" t="s">
        <v>13497</v>
      </c>
    </row>
    <row r="294" spans="1:12">
      <c r="A294" t="s">
        <v>18269</v>
      </c>
      <c r="B294" t="s">
        <v>12975</v>
      </c>
      <c r="C294" t="s">
        <v>18270</v>
      </c>
      <c r="D294" t="s">
        <v>21</v>
      </c>
      <c r="G294" t="s">
        <v>4430</v>
      </c>
      <c r="H294" t="s">
        <v>7893</v>
      </c>
      <c r="I294" t="s">
        <v>18216</v>
      </c>
      <c r="J294" t="s">
        <v>18271</v>
      </c>
      <c r="L294" t="s">
        <v>13497</v>
      </c>
    </row>
    <row r="295" spans="1:12">
      <c r="A295" t="s">
        <v>18272</v>
      </c>
      <c r="B295" t="s">
        <v>12976</v>
      </c>
      <c r="C295" t="s">
        <v>18273</v>
      </c>
      <c r="D295" t="s">
        <v>21</v>
      </c>
      <c r="G295" t="s">
        <v>4430</v>
      </c>
      <c r="H295" t="s">
        <v>7894</v>
      </c>
      <c r="I295" t="s">
        <v>18216</v>
      </c>
      <c r="J295" t="s">
        <v>18274</v>
      </c>
      <c r="L295" t="s">
        <v>13497</v>
      </c>
    </row>
    <row r="296" spans="1:12">
      <c r="A296" t="s">
        <v>18275</v>
      </c>
      <c r="B296" t="s">
        <v>13086</v>
      </c>
      <c r="C296" t="s">
        <v>18276</v>
      </c>
      <c r="D296" t="s">
        <v>21</v>
      </c>
      <c r="G296" t="s">
        <v>4430</v>
      </c>
      <c r="H296" t="s">
        <v>13088</v>
      </c>
      <c r="I296" t="s">
        <v>18216</v>
      </c>
      <c r="J296" t="s">
        <v>18277</v>
      </c>
      <c r="L296" t="s">
        <v>13497</v>
      </c>
    </row>
    <row r="297" spans="1:12">
      <c r="A297" t="s">
        <v>18278</v>
      </c>
      <c r="B297" t="s">
        <v>13090</v>
      </c>
      <c r="C297" t="s">
        <v>18279</v>
      </c>
      <c r="D297" t="s">
        <v>21</v>
      </c>
      <c r="G297" t="s">
        <v>4430</v>
      </c>
      <c r="H297" t="s">
        <v>13092</v>
      </c>
      <c r="I297" t="s">
        <v>18216</v>
      </c>
      <c r="J297" t="s">
        <v>18280</v>
      </c>
      <c r="L297" t="s">
        <v>13497</v>
      </c>
    </row>
    <row r="298" spans="1:12">
      <c r="A298" t="s">
        <v>18281</v>
      </c>
      <c r="B298" t="s">
        <v>13094</v>
      </c>
      <c r="C298" t="s">
        <v>18282</v>
      </c>
      <c r="D298" t="s">
        <v>21</v>
      </c>
      <c r="G298" t="s">
        <v>4430</v>
      </c>
      <c r="H298" t="s">
        <v>13096</v>
      </c>
      <c r="I298" t="s">
        <v>18216</v>
      </c>
      <c r="J298" t="s">
        <v>18283</v>
      </c>
      <c r="L298" t="s">
        <v>13497</v>
      </c>
    </row>
    <row r="299" spans="1:12">
      <c r="A299" t="s">
        <v>18284</v>
      </c>
      <c r="B299" t="s">
        <v>13098</v>
      </c>
      <c r="C299" t="s">
        <v>18285</v>
      </c>
      <c r="D299" t="s">
        <v>21</v>
      </c>
      <c r="G299" t="s">
        <v>4430</v>
      </c>
      <c r="H299" t="s">
        <v>13100</v>
      </c>
      <c r="I299" t="s">
        <v>18216</v>
      </c>
      <c r="J299" t="s">
        <v>18286</v>
      </c>
      <c r="L299" t="s">
        <v>13497</v>
      </c>
    </row>
    <row r="300" spans="1:12">
      <c r="A300" t="s">
        <v>18287</v>
      </c>
      <c r="B300" t="s">
        <v>13102</v>
      </c>
      <c r="C300" t="s">
        <v>18288</v>
      </c>
      <c r="D300" t="s">
        <v>21</v>
      </c>
      <c r="G300" t="s">
        <v>4430</v>
      </c>
      <c r="H300" t="s">
        <v>13104</v>
      </c>
      <c r="I300" t="s">
        <v>18216</v>
      </c>
      <c r="J300" t="s">
        <v>18289</v>
      </c>
      <c r="L300" t="s">
        <v>13497</v>
      </c>
    </row>
    <row r="301" spans="1:12">
      <c r="A301" t="s">
        <v>18290</v>
      </c>
      <c r="B301" t="s">
        <v>13106</v>
      </c>
      <c r="C301" t="s">
        <v>18291</v>
      </c>
      <c r="D301" t="s">
        <v>21</v>
      </c>
      <c r="G301" t="s">
        <v>4430</v>
      </c>
      <c r="H301" t="s">
        <v>13108</v>
      </c>
      <c r="I301" t="s">
        <v>18216</v>
      </c>
      <c r="J301" t="s">
        <v>18292</v>
      </c>
      <c r="L301" t="s">
        <v>13497</v>
      </c>
    </row>
    <row r="302" spans="1:12">
      <c r="A302" t="s">
        <v>18293</v>
      </c>
      <c r="B302" t="s">
        <v>13110</v>
      </c>
      <c r="C302" t="s">
        <v>18294</v>
      </c>
      <c r="D302" t="s">
        <v>21</v>
      </c>
      <c r="G302" t="s">
        <v>4430</v>
      </c>
      <c r="H302" t="s">
        <v>13112</v>
      </c>
      <c r="I302" t="s">
        <v>18216</v>
      </c>
      <c r="J302" t="s">
        <v>18295</v>
      </c>
      <c r="L302" t="s">
        <v>13497</v>
      </c>
    </row>
    <row r="303" spans="1:12">
      <c r="A303" t="s">
        <v>18296</v>
      </c>
      <c r="B303" t="s">
        <v>13114</v>
      </c>
      <c r="C303" t="s">
        <v>18297</v>
      </c>
      <c r="D303" t="s">
        <v>21</v>
      </c>
      <c r="G303" t="s">
        <v>4430</v>
      </c>
      <c r="H303" t="s">
        <v>13116</v>
      </c>
      <c r="I303" t="s">
        <v>18216</v>
      </c>
      <c r="J303" t="s">
        <v>18298</v>
      </c>
      <c r="L303" t="s">
        <v>13497</v>
      </c>
    </row>
    <row r="304" spans="1:12">
      <c r="A304" t="s">
        <v>18299</v>
      </c>
      <c r="B304" t="s">
        <v>13118</v>
      </c>
      <c r="C304" t="s">
        <v>18300</v>
      </c>
      <c r="D304" t="s">
        <v>21</v>
      </c>
      <c r="G304" t="s">
        <v>4430</v>
      </c>
      <c r="H304" t="s">
        <v>13120</v>
      </c>
      <c r="I304" t="s">
        <v>18216</v>
      </c>
      <c r="J304" t="s">
        <v>18301</v>
      </c>
      <c r="L304" t="s">
        <v>13497</v>
      </c>
    </row>
    <row r="305" spans="1:12">
      <c r="A305" t="s">
        <v>18302</v>
      </c>
      <c r="B305" t="s">
        <v>13122</v>
      </c>
      <c r="C305" t="s">
        <v>18303</v>
      </c>
      <c r="D305" t="s">
        <v>21</v>
      </c>
      <c r="G305" t="s">
        <v>4430</v>
      </c>
      <c r="H305" t="s">
        <v>13124</v>
      </c>
      <c r="I305" t="s">
        <v>18216</v>
      </c>
      <c r="J305" t="s">
        <v>18304</v>
      </c>
      <c r="L305" t="s">
        <v>13497</v>
      </c>
    </row>
    <row r="306" spans="1:12">
      <c r="A306" t="s">
        <v>18305</v>
      </c>
      <c r="B306" t="s">
        <v>13126</v>
      </c>
      <c r="C306" t="s">
        <v>18306</v>
      </c>
      <c r="D306" t="s">
        <v>21</v>
      </c>
      <c r="G306" t="s">
        <v>4430</v>
      </c>
      <c r="H306" t="s">
        <v>12320</v>
      </c>
      <c r="I306" t="s">
        <v>18216</v>
      </c>
      <c r="J306" t="s">
        <v>18307</v>
      </c>
      <c r="L306" t="s">
        <v>13497</v>
      </c>
    </row>
    <row r="307" spans="1:12">
      <c r="A307" t="s">
        <v>18308</v>
      </c>
      <c r="B307" t="s">
        <v>13129</v>
      </c>
      <c r="C307" t="s">
        <v>18309</v>
      </c>
      <c r="D307" t="s">
        <v>21</v>
      </c>
      <c r="G307" t="s">
        <v>4430</v>
      </c>
      <c r="H307" t="s">
        <v>13131</v>
      </c>
      <c r="I307" t="s">
        <v>18216</v>
      </c>
      <c r="J307" t="s">
        <v>18310</v>
      </c>
      <c r="L307" t="s">
        <v>13497</v>
      </c>
    </row>
    <row r="308" spans="1:12">
      <c r="A308" t="s">
        <v>18311</v>
      </c>
      <c r="B308" t="s">
        <v>13133</v>
      </c>
      <c r="C308" t="s">
        <v>18312</v>
      </c>
      <c r="D308" t="s">
        <v>21</v>
      </c>
      <c r="G308" t="s">
        <v>4430</v>
      </c>
      <c r="H308" t="s">
        <v>13135</v>
      </c>
      <c r="I308" t="s">
        <v>18216</v>
      </c>
      <c r="J308" t="s">
        <v>18313</v>
      </c>
      <c r="L308" t="s">
        <v>13497</v>
      </c>
    </row>
    <row r="309" spans="1:12">
      <c r="A309" t="s">
        <v>18314</v>
      </c>
      <c r="B309" t="s">
        <v>13137</v>
      </c>
      <c r="C309" t="s">
        <v>18315</v>
      </c>
      <c r="D309" t="s">
        <v>21</v>
      </c>
      <c r="G309" t="s">
        <v>4430</v>
      </c>
      <c r="H309" t="s">
        <v>13139</v>
      </c>
      <c r="I309" t="s">
        <v>18216</v>
      </c>
      <c r="J309" t="s">
        <v>18316</v>
      </c>
      <c r="L309" t="s">
        <v>13497</v>
      </c>
    </row>
    <row r="310" spans="1:12">
      <c r="A310" t="s">
        <v>18317</v>
      </c>
      <c r="B310" t="s">
        <v>13141</v>
      </c>
      <c r="C310" t="s">
        <v>18318</v>
      </c>
      <c r="D310" t="s">
        <v>21</v>
      </c>
      <c r="G310" t="s">
        <v>4430</v>
      </c>
      <c r="H310" t="s">
        <v>13143</v>
      </c>
      <c r="I310" t="s">
        <v>18216</v>
      </c>
      <c r="J310" t="s">
        <v>18319</v>
      </c>
      <c r="L310" t="s">
        <v>13497</v>
      </c>
    </row>
    <row r="311" spans="1:12">
      <c r="A311" t="s">
        <v>18320</v>
      </c>
      <c r="B311" t="s">
        <v>13145</v>
      </c>
      <c r="C311" t="s">
        <v>18321</v>
      </c>
      <c r="D311" t="s">
        <v>21</v>
      </c>
      <c r="G311" t="s">
        <v>4430</v>
      </c>
      <c r="H311" t="s">
        <v>13147</v>
      </c>
      <c r="I311" t="s">
        <v>18216</v>
      </c>
      <c r="J311" t="s">
        <v>18322</v>
      </c>
      <c r="L311" t="s">
        <v>13497</v>
      </c>
    </row>
    <row r="312" spans="1:12">
      <c r="A312" t="s">
        <v>18323</v>
      </c>
      <c r="B312" t="s">
        <v>13149</v>
      </c>
      <c r="C312" t="s">
        <v>18324</v>
      </c>
      <c r="D312" t="s">
        <v>21</v>
      </c>
      <c r="G312" t="s">
        <v>4430</v>
      </c>
      <c r="H312" t="s">
        <v>13151</v>
      </c>
      <c r="I312" t="s">
        <v>18216</v>
      </c>
      <c r="J312" t="s">
        <v>18325</v>
      </c>
      <c r="L312" t="s">
        <v>13497</v>
      </c>
    </row>
    <row r="313" spans="1:12">
      <c r="A313" t="s">
        <v>18326</v>
      </c>
      <c r="B313" t="s">
        <v>13153</v>
      </c>
      <c r="C313" t="s">
        <v>18327</v>
      </c>
      <c r="D313" t="s">
        <v>21</v>
      </c>
      <c r="G313" t="s">
        <v>4430</v>
      </c>
      <c r="H313" t="s">
        <v>13155</v>
      </c>
      <c r="I313" t="s">
        <v>18216</v>
      </c>
      <c r="J313" t="s">
        <v>18328</v>
      </c>
      <c r="L313" t="s">
        <v>13497</v>
      </c>
    </row>
    <row r="314" spans="1:12">
      <c r="A314" t="s">
        <v>18329</v>
      </c>
      <c r="B314" t="s">
        <v>13157</v>
      </c>
      <c r="C314" t="s">
        <v>18330</v>
      </c>
      <c r="D314" t="s">
        <v>21</v>
      </c>
      <c r="G314" t="s">
        <v>4430</v>
      </c>
      <c r="H314" t="s">
        <v>13159</v>
      </c>
      <c r="I314" t="s">
        <v>18216</v>
      </c>
      <c r="J314" t="s">
        <v>18331</v>
      </c>
      <c r="L314" t="s">
        <v>13497</v>
      </c>
    </row>
    <row r="315" spans="1:12">
      <c r="A315" t="s">
        <v>18332</v>
      </c>
      <c r="B315" t="s">
        <v>13161</v>
      </c>
      <c r="C315" t="s">
        <v>18333</v>
      </c>
      <c r="D315" t="s">
        <v>21</v>
      </c>
      <c r="G315" t="s">
        <v>4430</v>
      </c>
      <c r="H315" t="s">
        <v>7493</v>
      </c>
      <c r="I315" t="s">
        <v>18216</v>
      </c>
      <c r="J315" t="s">
        <v>18334</v>
      </c>
      <c r="L315" t="s">
        <v>13497</v>
      </c>
    </row>
    <row r="316" spans="1:12">
      <c r="A316" t="s">
        <v>18335</v>
      </c>
      <c r="B316" t="s">
        <v>13164</v>
      </c>
      <c r="C316" t="s">
        <v>18336</v>
      </c>
      <c r="D316" t="s">
        <v>21</v>
      </c>
      <c r="G316" t="s">
        <v>4430</v>
      </c>
      <c r="H316" t="s">
        <v>13166</v>
      </c>
      <c r="I316" t="s">
        <v>18216</v>
      </c>
      <c r="J316" t="s">
        <v>18337</v>
      </c>
      <c r="L316" t="s">
        <v>13497</v>
      </c>
    </row>
    <row r="317" spans="1:12">
      <c r="A317" t="s">
        <v>18338</v>
      </c>
      <c r="B317" t="s">
        <v>13168</v>
      </c>
      <c r="C317" t="s">
        <v>18339</v>
      </c>
      <c r="D317" t="s">
        <v>21</v>
      </c>
      <c r="G317" t="s">
        <v>4430</v>
      </c>
      <c r="H317" t="s">
        <v>13170</v>
      </c>
      <c r="I317" t="s">
        <v>18216</v>
      </c>
      <c r="J317" t="s">
        <v>18340</v>
      </c>
      <c r="L317" t="s">
        <v>13497</v>
      </c>
    </row>
    <row r="318" spans="1:12">
      <c r="A318" t="s">
        <v>18341</v>
      </c>
      <c r="B318" t="s">
        <v>13172</v>
      </c>
      <c r="C318" t="s">
        <v>18342</v>
      </c>
      <c r="D318" t="s">
        <v>21</v>
      </c>
      <c r="G318" t="s">
        <v>4430</v>
      </c>
      <c r="H318" t="s">
        <v>13174</v>
      </c>
      <c r="I318" t="s">
        <v>18216</v>
      </c>
      <c r="J318" t="s">
        <v>18343</v>
      </c>
      <c r="L318" t="s">
        <v>13497</v>
      </c>
    </row>
    <row r="319" spans="1:12">
      <c r="A319" t="s">
        <v>18344</v>
      </c>
      <c r="B319" t="s">
        <v>13176</v>
      </c>
      <c r="C319" t="s">
        <v>18345</v>
      </c>
      <c r="D319" t="s">
        <v>21</v>
      </c>
      <c r="G319" t="s">
        <v>4430</v>
      </c>
      <c r="H319" t="s">
        <v>13178</v>
      </c>
      <c r="I319" t="s">
        <v>18216</v>
      </c>
      <c r="J319" t="s">
        <v>18346</v>
      </c>
      <c r="L319" t="s">
        <v>13497</v>
      </c>
    </row>
    <row r="320" spans="1:12">
      <c r="A320" t="s">
        <v>18347</v>
      </c>
      <c r="B320" t="s">
        <v>13180</v>
      </c>
      <c r="C320" t="s">
        <v>18348</v>
      </c>
      <c r="D320" t="s">
        <v>21</v>
      </c>
      <c r="G320" t="s">
        <v>4430</v>
      </c>
      <c r="H320" t="s">
        <v>13182</v>
      </c>
      <c r="I320" t="s">
        <v>18216</v>
      </c>
      <c r="J320" t="s">
        <v>18349</v>
      </c>
      <c r="L320" t="s">
        <v>13497</v>
      </c>
    </row>
    <row r="321" spans="1:12">
      <c r="A321" t="s">
        <v>18350</v>
      </c>
      <c r="B321" t="s">
        <v>13184</v>
      </c>
      <c r="C321" t="s">
        <v>18351</v>
      </c>
      <c r="D321" t="s">
        <v>21</v>
      </c>
      <c r="G321" t="s">
        <v>4430</v>
      </c>
      <c r="H321" t="s">
        <v>13186</v>
      </c>
      <c r="I321" t="s">
        <v>18216</v>
      </c>
      <c r="J321" t="s">
        <v>18352</v>
      </c>
      <c r="L321" t="s">
        <v>13497</v>
      </c>
    </row>
    <row r="322" spans="1:12">
      <c r="A322" t="s">
        <v>18353</v>
      </c>
      <c r="B322" t="s">
        <v>13188</v>
      </c>
      <c r="C322" t="s">
        <v>18354</v>
      </c>
      <c r="D322" t="s">
        <v>21</v>
      </c>
      <c r="G322" t="s">
        <v>4430</v>
      </c>
      <c r="H322" t="s">
        <v>13190</v>
      </c>
      <c r="I322" t="s">
        <v>18216</v>
      </c>
      <c r="J322" t="s">
        <v>18355</v>
      </c>
      <c r="L322" t="s">
        <v>13497</v>
      </c>
    </row>
    <row r="323" spans="1:12">
      <c r="A323" t="s">
        <v>18356</v>
      </c>
      <c r="B323" t="s">
        <v>13192</v>
      </c>
      <c r="C323" t="s">
        <v>18357</v>
      </c>
      <c r="D323" t="s">
        <v>21</v>
      </c>
      <c r="G323" t="s">
        <v>4430</v>
      </c>
      <c r="H323" t="s">
        <v>13194</v>
      </c>
      <c r="I323" t="s">
        <v>18216</v>
      </c>
      <c r="J323" t="s">
        <v>18358</v>
      </c>
      <c r="L323" t="s">
        <v>13497</v>
      </c>
    </row>
    <row r="324" spans="1:12">
      <c r="A324" t="s">
        <v>18359</v>
      </c>
      <c r="B324" t="s">
        <v>13196</v>
      </c>
      <c r="C324" t="s">
        <v>18360</v>
      </c>
      <c r="D324" t="s">
        <v>21</v>
      </c>
      <c r="G324" t="s">
        <v>4430</v>
      </c>
      <c r="H324" t="s">
        <v>13198</v>
      </c>
      <c r="I324" t="s">
        <v>18216</v>
      </c>
      <c r="J324" t="s">
        <v>18361</v>
      </c>
      <c r="L324" t="s">
        <v>13497</v>
      </c>
    </row>
    <row r="325" spans="1:12">
      <c r="A325" t="s">
        <v>18362</v>
      </c>
      <c r="B325" t="s">
        <v>13200</v>
      </c>
      <c r="C325" t="s">
        <v>18363</v>
      </c>
      <c r="D325" t="s">
        <v>21</v>
      </c>
      <c r="G325" t="s">
        <v>4430</v>
      </c>
      <c r="H325" t="s">
        <v>13202</v>
      </c>
      <c r="I325" t="s">
        <v>18216</v>
      </c>
      <c r="J325" t="s">
        <v>18364</v>
      </c>
      <c r="L325" t="s">
        <v>13497</v>
      </c>
    </row>
    <row r="326" spans="1:12">
      <c r="A326" t="s">
        <v>18365</v>
      </c>
      <c r="B326" t="s">
        <v>13386</v>
      </c>
      <c r="C326" t="s">
        <v>18366</v>
      </c>
      <c r="D326" t="s">
        <v>21</v>
      </c>
      <c r="G326" t="s">
        <v>4430</v>
      </c>
      <c r="H326" t="s">
        <v>7005</v>
      </c>
      <c r="I326" t="s">
        <v>18216</v>
      </c>
      <c r="J326" t="s">
        <v>18367</v>
      </c>
      <c r="L326" t="s">
        <v>13497</v>
      </c>
    </row>
    <row r="327" spans="1:12">
      <c r="A327" t="s">
        <v>18368</v>
      </c>
      <c r="B327" t="s">
        <v>13389</v>
      </c>
      <c r="C327" t="s">
        <v>18369</v>
      </c>
      <c r="D327" t="s">
        <v>21</v>
      </c>
      <c r="G327" t="s">
        <v>4430</v>
      </c>
      <c r="H327" t="s">
        <v>6356</v>
      </c>
      <c r="I327" t="s">
        <v>18216</v>
      </c>
      <c r="J327" t="s">
        <v>18370</v>
      </c>
      <c r="L327" t="s">
        <v>13497</v>
      </c>
    </row>
    <row r="328" spans="1:12">
      <c r="A328" t="s">
        <v>18371</v>
      </c>
      <c r="B328" t="s">
        <v>8513</v>
      </c>
      <c r="C328" t="s">
        <v>18372</v>
      </c>
      <c r="D328" t="s">
        <v>21</v>
      </c>
      <c r="G328" t="s">
        <v>4430</v>
      </c>
      <c r="H328" t="s">
        <v>6559</v>
      </c>
      <c r="I328" t="s">
        <v>18216</v>
      </c>
      <c r="J328" t="s">
        <v>18373</v>
      </c>
      <c r="L328" t="s">
        <v>13497</v>
      </c>
    </row>
    <row r="329" spans="1:12">
      <c r="A329" t="s">
        <v>18374</v>
      </c>
      <c r="B329" t="s">
        <v>4427</v>
      </c>
      <c r="C329" t="s">
        <v>18375</v>
      </c>
      <c r="D329" t="s">
        <v>21</v>
      </c>
      <c r="G329" t="s">
        <v>4430</v>
      </c>
      <c r="H329" t="s">
        <v>4429</v>
      </c>
      <c r="I329" t="s">
        <v>18216</v>
      </c>
      <c r="J329" t="s">
        <v>18376</v>
      </c>
      <c r="L329" t="s">
        <v>13497</v>
      </c>
    </row>
    <row r="330" spans="1:12">
      <c r="A330" t="s">
        <v>18377</v>
      </c>
      <c r="B330" t="s">
        <v>13392</v>
      </c>
      <c r="C330" t="s">
        <v>18378</v>
      </c>
      <c r="D330" t="s">
        <v>21</v>
      </c>
      <c r="G330" t="s">
        <v>4430</v>
      </c>
      <c r="H330" t="s">
        <v>6566</v>
      </c>
      <c r="I330" t="s">
        <v>18216</v>
      </c>
      <c r="J330" t="s">
        <v>18379</v>
      </c>
      <c r="L330" t="s">
        <v>13497</v>
      </c>
    </row>
    <row r="331" spans="1:12">
      <c r="A331" t="s">
        <v>18380</v>
      </c>
      <c r="B331" t="s">
        <v>13395</v>
      </c>
      <c r="C331" t="s">
        <v>18381</v>
      </c>
      <c r="D331" t="s">
        <v>21</v>
      </c>
      <c r="G331" t="s">
        <v>4430</v>
      </c>
      <c r="H331" t="s">
        <v>7870</v>
      </c>
      <c r="I331" t="s">
        <v>18216</v>
      </c>
      <c r="J331" t="s">
        <v>18382</v>
      </c>
      <c r="L331" t="s">
        <v>13497</v>
      </c>
    </row>
    <row r="332" spans="1:12">
      <c r="A332" t="s">
        <v>18383</v>
      </c>
      <c r="B332" t="s">
        <v>13398</v>
      </c>
      <c r="C332" t="s">
        <v>18384</v>
      </c>
      <c r="D332" t="s">
        <v>21</v>
      </c>
      <c r="G332" t="s">
        <v>4430</v>
      </c>
      <c r="H332" t="s">
        <v>6569</v>
      </c>
      <c r="I332" t="s">
        <v>18216</v>
      </c>
      <c r="J332" t="s">
        <v>18385</v>
      </c>
      <c r="L332" t="s">
        <v>13497</v>
      </c>
    </row>
    <row r="333" spans="1:12">
      <c r="A333" t="s">
        <v>18386</v>
      </c>
      <c r="B333" t="s">
        <v>13401</v>
      </c>
      <c r="C333" t="s">
        <v>18387</v>
      </c>
      <c r="D333" t="s">
        <v>21</v>
      </c>
      <c r="G333" t="s">
        <v>4430</v>
      </c>
      <c r="H333" t="s">
        <v>7884</v>
      </c>
      <c r="I333" t="s">
        <v>18216</v>
      </c>
      <c r="J333" t="s">
        <v>18388</v>
      </c>
      <c r="L333" t="s">
        <v>13497</v>
      </c>
    </row>
    <row r="334" spans="1:12">
      <c r="A334" t="s">
        <v>18389</v>
      </c>
      <c r="B334" t="s">
        <v>13404</v>
      </c>
      <c r="C334" t="s">
        <v>18390</v>
      </c>
      <c r="D334" t="s">
        <v>21</v>
      </c>
      <c r="G334" t="s">
        <v>4430</v>
      </c>
      <c r="H334" t="s">
        <v>7890</v>
      </c>
      <c r="I334" t="s">
        <v>18216</v>
      </c>
      <c r="J334" t="s">
        <v>18391</v>
      </c>
      <c r="L334" t="s">
        <v>13497</v>
      </c>
    </row>
    <row r="335" spans="1:12">
      <c r="A335" t="s">
        <v>18392</v>
      </c>
      <c r="B335" t="s">
        <v>13407</v>
      </c>
      <c r="C335" t="s">
        <v>18393</v>
      </c>
      <c r="D335" t="s">
        <v>21</v>
      </c>
      <c r="G335" t="s">
        <v>4430</v>
      </c>
      <c r="H335" t="s">
        <v>7894</v>
      </c>
      <c r="I335" t="s">
        <v>18216</v>
      </c>
      <c r="J335" t="s">
        <v>18394</v>
      </c>
      <c r="L335" t="s">
        <v>13497</v>
      </c>
    </row>
  </sheetData>
  <phoneticPr fontId="2" type="noConversion"/>
  <conditionalFormatting sqref="G2:G274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72"/>
  <sheetViews>
    <sheetView tabSelected="1" zoomScaleNormal="100" workbookViewId="0">
      <pane xSplit="1" ySplit="1" topLeftCell="B238" activePane="bottomRight" state="frozen"/>
      <selection pane="topRight" activeCell="B1" sqref="B1"/>
      <selection pane="bottomLeft" activeCell="A2" sqref="A2"/>
      <selection pane="bottomRight" activeCell="Z267" sqref="Z267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18125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18078</v>
      </c>
      <c r="B211" t="s">
        <v>18078</v>
      </c>
      <c r="C211" t="s">
        <v>18079</v>
      </c>
      <c r="D211" t="s">
        <v>16928</v>
      </c>
      <c r="E211" t="s">
        <v>16875</v>
      </c>
      <c r="F211" t="s">
        <v>18125</v>
      </c>
      <c r="G211" t="s">
        <v>18078</v>
      </c>
      <c r="H211" t="s">
        <v>10703</v>
      </c>
      <c r="I211" t="s">
        <v>18080</v>
      </c>
      <c r="J211" t="s">
        <v>18081</v>
      </c>
      <c r="K211" t="s">
        <v>16928</v>
      </c>
      <c r="L211" t="s">
        <v>18077</v>
      </c>
      <c r="M211" t="s">
        <v>25</v>
      </c>
      <c r="N211" t="s">
        <v>18082</v>
      </c>
    </row>
    <row r="212" spans="1:22">
      <c r="A212" t="s">
        <v>16932</v>
      </c>
      <c r="B212" t="s">
        <v>16932</v>
      </c>
      <c r="C212" t="s">
        <v>16933</v>
      </c>
      <c r="D212" t="s">
        <v>6322</v>
      </c>
      <c r="E212" t="s">
        <v>4553</v>
      </c>
      <c r="F212" t="s">
        <v>2655</v>
      </c>
      <c r="G212" t="s">
        <v>16932</v>
      </c>
      <c r="H212" t="s">
        <v>4376</v>
      </c>
      <c r="I212" t="s">
        <v>8890</v>
      </c>
      <c r="J212" t="s">
        <v>16936</v>
      </c>
      <c r="K212" t="s">
        <v>6322</v>
      </c>
      <c r="L212" t="s">
        <v>16935</v>
      </c>
      <c r="M212" t="s">
        <v>25</v>
      </c>
      <c r="N212" t="s">
        <v>16934</v>
      </c>
    </row>
    <row r="213" spans="1:22">
      <c r="A213" t="s">
        <v>16945</v>
      </c>
      <c r="B213" t="s">
        <v>16945</v>
      </c>
      <c r="C213" t="s">
        <v>16981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16945</v>
      </c>
      <c r="M213" t="s">
        <v>25</v>
      </c>
      <c r="N213" t="s">
        <v>16963</v>
      </c>
      <c r="S213" t="s">
        <v>4517</v>
      </c>
      <c r="T213" t="s">
        <v>16945</v>
      </c>
      <c r="U213" t="s">
        <v>4559</v>
      </c>
      <c r="V213" t="s">
        <v>17039</v>
      </c>
    </row>
    <row r="214" spans="1:22">
      <c r="A214" t="s">
        <v>16946</v>
      </c>
      <c r="B214" t="s">
        <v>16946</v>
      </c>
      <c r="C214" t="s">
        <v>16982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16946</v>
      </c>
      <c r="M214" t="s">
        <v>25</v>
      </c>
      <c r="N214" t="s">
        <v>16964</v>
      </c>
      <c r="S214" t="s">
        <v>4517</v>
      </c>
      <c r="T214" t="s">
        <v>16946</v>
      </c>
      <c r="U214" t="s">
        <v>4559</v>
      </c>
      <c r="V214" t="s">
        <v>17040</v>
      </c>
    </row>
    <row r="215" spans="1:22">
      <c r="A215" t="s">
        <v>16947</v>
      </c>
      <c r="B215" t="s">
        <v>16947</v>
      </c>
      <c r="C215" t="s">
        <v>16983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16947</v>
      </c>
      <c r="M215" t="s">
        <v>25</v>
      </c>
      <c r="N215" t="s">
        <v>16965</v>
      </c>
      <c r="S215" t="s">
        <v>4517</v>
      </c>
      <c r="T215" t="s">
        <v>16947</v>
      </c>
      <c r="U215" t="s">
        <v>4559</v>
      </c>
      <c r="V215" t="s">
        <v>17041</v>
      </c>
    </row>
    <row r="216" spans="1:22">
      <c r="A216" t="s">
        <v>16948</v>
      </c>
      <c r="B216" t="s">
        <v>16948</v>
      </c>
      <c r="C216" t="s">
        <v>16984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16948</v>
      </c>
      <c r="M216" t="s">
        <v>25</v>
      </c>
      <c r="N216" t="s">
        <v>16966</v>
      </c>
      <c r="S216" t="s">
        <v>4517</v>
      </c>
      <c r="T216" t="s">
        <v>16948</v>
      </c>
      <c r="U216" t="s">
        <v>4559</v>
      </c>
      <c r="V216" t="s">
        <v>17042</v>
      </c>
    </row>
    <row r="217" spans="1:22">
      <c r="A217" t="s">
        <v>16949</v>
      </c>
      <c r="B217" t="s">
        <v>16949</v>
      </c>
      <c r="C217" t="s">
        <v>16985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16949</v>
      </c>
      <c r="M217" t="s">
        <v>25</v>
      </c>
      <c r="N217" t="s">
        <v>16967</v>
      </c>
      <c r="S217" t="s">
        <v>4517</v>
      </c>
      <c r="T217" t="s">
        <v>16949</v>
      </c>
      <c r="U217" t="s">
        <v>4559</v>
      </c>
      <c r="V217" t="s">
        <v>17043</v>
      </c>
    </row>
    <row r="218" spans="1:22">
      <c r="A218" t="s">
        <v>16950</v>
      </c>
      <c r="B218" t="s">
        <v>16950</v>
      </c>
      <c r="C218" t="s">
        <v>16986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16950</v>
      </c>
      <c r="M218" t="s">
        <v>25</v>
      </c>
      <c r="N218" t="s">
        <v>16968</v>
      </c>
      <c r="S218" t="s">
        <v>4517</v>
      </c>
      <c r="T218" t="s">
        <v>16950</v>
      </c>
      <c r="U218" t="s">
        <v>4559</v>
      </c>
      <c r="V218" t="s">
        <v>17044</v>
      </c>
    </row>
    <row r="219" spans="1:22">
      <c r="A219" t="s">
        <v>16951</v>
      </c>
      <c r="B219" t="s">
        <v>16951</v>
      </c>
      <c r="C219" t="s">
        <v>16987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16951</v>
      </c>
      <c r="M219" t="s">
        <v>25</v>
      </c>
      <c r="N219" t="s">
        <v>16969</v>
      </c>
      <c r="S219" t="s">
        <v>4517</v>
      </c>
      <c r="T219" t="s">
        <v>16951</v>
      </c>
      <c r="U219" t="s">
        <v>4559</v>
      </c>
      <c r="V219" t="s">
        <v>17045</v>
      </c>
    </row>
    <row r="220" spans="1:22">
      <c r="A220" t="s">
        <v>16952</v>
      </c>
      <c r="B220" t="s">
        <v>16952</v>
      </c>
      <c r="C220" t="s">
        <v>16988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16952</v>
      </c>
      <c r="M220" t="s">
        <v>25</v>
      </c>
      <c r="N220" t="s">
        <v>16970</v>
      </c>
      <c r="S220" t="s">
        <v>4517</v>
      </c>
      <c r="T220" t="s">
        <v>16952</v>
      </c>
      <c r="U220" t="s">
        <v>4559</v>
      </c>
      <c r="V220" t="s">
        <v>17046</v>
      </c>
    </row>
    <row r="221" spans="1:22">
      <c r="A221" t="s">
        <v>16953</v>
      </c>
      <c r="B221" t="s">
        <v>16953</v>
      </c>
      <c r="C221" t="s">
        <v>16989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16953</v>
      </c>
      <c r="M221" t="s">
        <v>25</v>
      </c>
      <c r="N221" t="s">
        <v>16971</v>
      </c>
      <c r="S221" t="s">
        <v>4517</v>
      </c>
      <c r="T221" t="s">
        <v>16953</v>
      </c>
      <c r="U221" t="s">
        <v>4559</v>
      </c>
      <c r="V221" t="s">
        <v>17047</v>
      </c>
    </row>
    <row r="222" spans="1:22">
      <c r="A222" t="s">
        <v>16954</v>
      </c>
      <c r="B222" t="s">
        <v>16954</v>
      </c>
      <c r="C222" t="s">
        <v>16990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16954</v>
      </c>
      <c r="M222" t="s">
        <v>25</v>
      </c>
      <c r="N222" t="s">
        <v>16972</v>
      </c>
      <c r="S222" t="s">
        <v>4517</v>
      </c>
      <c r="T222" t="s">
        <v>16954</v>
      </c>
      <c r="U222" t="s">
        <v>4559</v>
      </c>
      <c r="V222" t="s">
        <v>17048</v>
      </c>
    </row>
    <row r="223" spans="1:22">
      <c r="A223" t="s">
        <v>16955</v>
      </c>
      <c r="B223" t="s">
        <v>16955</v>
      </c>
      <c r="C223" t="s">
        <v>16986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16955</v>
      </c>
      <c r="M223" t="s">
        <v>25</v>
      </c>
      <c r="N223" t="s">
        <v>16973</v>
      </c>
    </row>
    <row r="224" spans="1:22">
      <c r="A224" t="s">
        <v>16956</v>
      </c>
      <c r="B224" t="s">
        <v>16956</v>
      </c>
      <c r="C224" t="s">
        <v>16991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16956</v>
      </c>
      <c r="M224" t="s">
        <v>25</v>
      </c>
      <c r="N224" t="s">
        <v>16974</v>
      </c>
    </row>
    <row r="225" spans="1:23">
      <c r="A225" t="s">
        <v>16957</v>
      </c>
      <c r="B225" t="s">
        <v>16957</v>
      </c>
      <c r="C225" t="s">
        <v>16984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16957</v>
      </c>
      <c r="M225" t="s">
        <v>25</v>
      </c>
      <c r="N225" t="s">
        <v>16975</v>
      </c>
    </row>
    <row r="226" spans="1:23">
      <c r="A226" t="s">
        <v>16958</v>
      </c>
      <c r="B226" t="s">
        <v>16958</v>
      </c>
      <c r="C226" t="s">
        <v>16992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16958</v>
      </c>
      <c r="M226" t="s">
        <v>25</v>
      </c>
      <c r="N226" t="s">
        <v>16976</v>
      </c>
    </row>
    <row r="227" spans="1:23">
      <c r="A227" t="s">
        <v>16959</v>
      </c>
      <c r="B227" t="s">
        <v>16959</v>
      </c>
      <c r="C227" t="s">
        <v>16993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16959</v>
      </c>
      <c r="M227" t="s">
        <v>25</v>
      </c>
      <c r="N227" t="s">
        <v>16977</v>
      </c>
      <c r="S227" t="s">
        <v>4517</v>
      </c>
      <c r="T227" t="s">
        <v>16959</v>
      </c>
      <c r="U227" t="s">
        <v>4559</v>
      </c>
      <c r="V227" t="s">
        <v>17049</v>
      </c>
    </row>
    <row r="228" spans="1:23">
      <c r="A228" t="s">
        <v>16960</v>
      </c>
      <c r="B228" t="s">
        <v>16960</v>
      </c>
      <c r="C228" t="s">
        <v>16994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16960</v>
      </c>
      <c r="M228" t="s">
        <v>25</v>
      </c>
      <c r="N228" t="s">
        <v>16978</v>
      </c>
      <c r="S228" t="s">
        <v>4517</v>
      </c>
      <c r="T228" t="s">
        <v>16960</v>
      </c>
      <c r="U228" t="s">
        <v>4559</v>
      </c>
      <c r="V228" t="s">
        <v>17050</v>
      </c>
    </row>
    <row r="229" spans="1:23">
      <c r="A229" t="s">
        <v>16961</v>
      </c>
      <c r="B229" t="s">
        <v>16961</v>
      </c>
      <c r="C229" t="s">
        <v>16983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16961</v>
      </c>
      <c r="M229" t="s">
        <v>25</v>
      </c>
      <c r="N229" t="s">
        <v>16979</v>
      </c>
      <c r="S229" t="s">
        <v>4517</v>
      </c>
      <c r="T229" t="s">
        <v>16961</v>
      </c>
      <c r="U229" t="s">
        <v>4559</v>
      </c>
      <c r="V229" t="s">
        <v>17051</v>
      </c>
    </row>
    <row r="230" spans="1:23">
      <c r="A230" t="s">
        <v>16962</v>
      </c>
      <c r="B230" t="s">
        <v>16962</v>
      </c>
      <c r="C230" t="s">
        <v>16981</v>
      </c>
      <c r="D230" t="s">
        <v>4517</v>
      </c>
      <c r="E230" t="s">
        <v>16875</v>
      </c>
      <c r="F230" t="s">
        <v>2655</v>
      </c>
      <c r="G230" t="s">
        <v>16995</v>
      </c>
      <c r="H230" t="s">
        <v>10703</v>
      </c>
      <c r="I230" t="s">
        <v>16996</v>
      </c>
      <c r="J230" t="s">
        <v>16997</v>
      </c>
      <c r="K230" t="s">
        <v>4517</v>
      </c>
      <c r="L230" t="s">
        <v>16962</v>
      </c>
      <c r="M230" t="s">
        <v>25</v>
      </c>
      <c r="N230" t="s">
        <v>16980</v>
      </c>
      <c r="S230" t="s">
        <v>4517</v>
      </c>
      <c r="T230" t="s">
        <v>16962</v>
      </c>
      <c r="U230" t="s">
        <v>4559</v>
      </c>
      <c r="V230" t="s">
        <v>17052</v>
      </c>
    </row>
    <row r="231" spans="1:23">
      <c r="A231" t="s">
        <v>17023</v>
      </c>
      <c r="B231" t="s">
        <v>17023</v>
      </c>
      <c r="C231" t="s">
        <v>17015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16999</v>
      </c>
      <c r="M231" t="s">
        <v>25</v>
      </c>
      <c r="N231" t="s">
        <v>17007</v>
      </c>
      <c r="S231" t="s">
        <v>4517</v>
      </c>
      <c r="T231" t="s">
        <v>16999</v>
      </c>
      <c r="U231" t="s">
        <v>4559</v>
      </c>
      <c r="V231" t="s">
        <v>17034</v>
      </c>
    </row>
    <row r="232" spans="1:23">
      <c r="A232" t="s">
        <v>17024</v>
      </c>
      <c r="B232" t="s">
        <v>17024</v>
      </c>
      <c r="C232" t="s">
        <v>17016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17000</v>
      </c>
      <c r="M232" t="s">
        <v>25</v>
      </c>
      <c r="N232" t="s">
        <v>17008</v>
      </c>
      <c r="S232" t="s">
        <v>4517</v>
      </c>
      <c r="T232" t="s">
        <v>17000</v>
      </c>
      <c r="U232" t="s">
        <v>4559</v>
      </c>
      <c r="V232" t="s">
        <v>17035</v>
      </c>
    </row>
    <row r="233" spans="1:23">
      <c r="A233" t="s">
        <v>17025</v>
      </c>
      <c r="B233" t="s">
        <v>17025</v>
      </c>
      <c r="C233" t="s">
        <v>17017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17001</v>
      </c>
      <c r="M233" t="s">
        <v>25</v>
      </c>
      <c r="N233" t="s">
        <v>17009</v>
      </c>
    </row>
    <row r="234" spans="1:23">
      <c r="A234" t="s">
        <v>17026</v>
      </c>
      <c r="B234" t="s">
        <v>17026</v>
      </c>
      <c r="C234" t="s">
        <v>17018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17002</v>
      </c>
      <c r="M234" t="s">
        <v>25</v>
      </c>
      <c r="N234" t="s">
        <v>17010</v>
      </c>
      <c r="S234" t="s">
        <v>4517</v>
      </c>
      <c r="T234" t="s">
        <v>17002</v>
      </c>
      <c r="U234" t="s">
        <v>4559</v>
      </c>
      <c r="V234" t="s">
        <v>17036</v>
      </c>
    </row>
    <row r="235" spans="1:23">
      <c r="A235" t="s">
        <v>17027</v>
      </c>
      <c r="B235" t="s">
        <v>17027</v>
      </c>
      <c r="C235" t="s">
        <v>17019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17003</v>
      </c>
      <c r="M235" t="s">
        <v>25</v>
      </c>
      <c r="N235" t="s">
        <v>17011</v>
      </c>
    </row>
    <row r="236" spans="1:23">
      <c r="A236" t="s">
        <v>17028</v>
      </c>
      <c r="B236" t="s">
        <v>17028</v>
      </c>
      <c r="C236" t="s">
        <v>17020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17004</v>
      </c>
      <c r="M236" t="s">
        <v>25</v>
      </c>
      <c r="N236" t="s">
        <v>17012</v>
      </c>
      <c r="S236" t="s">
        <v>4517</v>
      </c>
      <c r="T236" t="s">
        <v>17004</v>
      </c>
      <c r="U236" t="s">
        <v>4559</v>
      </c>
      <c r="V236" t="s">
        <v>17038</v>
      </c>
    </row>
    <row r="237" spans="1:23">
      <c r="A237" t="s">
        <v>17029</v>
      </c>
      <c r="B237" t="s">
        <v>17029</v>
      </c>
      <c r="C237" t="s">
        <v>17021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17005</v>
      </c>
      <c r="M237" t="s">
        <v>25</v>
      </c>
      <c r="N237" t="s">
        <v>17013</v>
      </c>
    </row>
    <row r="238" spans="1:23">
      <c r="A238" t="s">
        <v>17030</v>
      </c>
      <c r="B238" t="s">
        <v>17030</v>
      </c>
      <c r="C238" t="s">
        <v>17022</v>
      </c>
      <c r="D238" t="s">
        <v>4517</v>
      </c>
      <c r="E238" t="s">
        <v>17031</v>
      </c>
      <c r="F238" t="s">
        <v>2655</v>
      </c>
      <c r="G238" t="s">
        <v>17032</v>
      </c>
      <c r="H238" t="s">
        <v>6243</v>
      </c>
      <c r="I238" t="s">
        <v>17033</v>
      </c>
      <c r="J238" t="s">
        <v>16998</v>
      </c>
      <c r="K238" t="s">
        <v>4517</v>
      </c>
      <c r="L238" t="s">
        <v>17006</v>
      </c>
      <c r="M238" t="s">
        <v>25</v>
      </c>
      <c r="N238" t="s">
        <v>17014</v>
      </c>
      <c r="S238" t="s">
        <v>4517</v>
      </c>
      <c r="T238" t="s">
        <v>17006</v>
      </c>
      <c r="U238" t="s">
        <v>4559</v>
      </c>
      <c r="V238" t="s">
        <v>17037</v>
      </c>
    </row>
    <row r="239" spans="1:23">
      <c r="A239" t="s">
        <v>18048</v>
      </c>
      <c r="B239" t="s">
        <v>18048</v>
      </c>
      <c r="C239" t="s">
        <v>18057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18068</v>
      </c>
      <c r="M239" t="s">
        <v>25</v>
      </c>
      <c r="N239" t="s">
        <v>18067</v>
      </c>
      <c r="S239" t="s">
        <v>4517</v>
      </c>
      <c r="T239" t="s">
        <v>18068</v>
      </c>
      <c r="U239" t="s">
        <v>4559</v>
      </c>
      <c r="V239" t="s">
        <v>18641</v>
      </c>
      <c r="W239" t="s">
        <v>4727</v>
      </c>
    </row>
    <row r="240" spans="1:23">
      <c r="A240" t="s">
        <v>18049</v>
      </c>
      <c r="B240" t="s">
        <v>18049</v>
      </c>
      <c r="C240" t="s">
        <v>18058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18070</v>
      </c>
      <c r="M240" t="s">
        <v>25</v>
      </c>
      <c r="N240" t="s">
        <v>18069</v>
      </c>
    </row>
    <row r="241" spans="1:23">
      <c r="A241" t="s">
        <v>18050</v>
      </c>
      <c r="B241" t="s">
        <v>18050</v>
      </c>
      <c r="C241" t="s">
        <v>18059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18072</v>
      </c>
      <c r="M241" t="s">
        <v>25</v>
      </c>
      <c r="N241" t="s">
        <v>18071</v>
      </c>
    </row>
    <row r="242" spans="1:23">
      <c r="A242" t="s">
        <v>18051</v>
      </c>
      <c r="B242" t="s">
        <v>18051</v>
      </c>
      <c r="C242" t="s">
        <v>18060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L242" t="s">
        <v>18074</v>
      </c>
      <c r="M242" t="s">
        <v>25</v>
      </c>
      <c r="N242" t="s">
        <v>18073</v>
      </c>
    </row>
    <row r="243" spans="1:23">
      <c r="A243" t="s">
        <v>18052</v>
      </c>
      <c r="B243" t="s">
        <v>18052</v>
      </c>
      <c r="C243" t="s">
        <v>18061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23">
      <c r="A244" t="s">
        <v>18053</v>
      </c>
      <c r="B244" t="s">
        <v>18053</v>
      </c>
      <c r="C244" t="s">
        <v>18062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23">
      <c r="A245" t="s">
        <v>18054</v>
      </c>
      <c r="B245" t="s">
        <v>18054</v>
      </c>
      <c r="C245" t="s">
        <v>18063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23">
      <c r="A246" t="s">
        <v>18055</v>
      </c>
      <c r="B246" t="s">
        <v>18055</v>
      </c>
      <c r="C246" t="s">
        <v>18064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M246" t="s">
        <v>25</v>
      </c>
    </row>
    <row r="247" spans="1:23">
      <c r="A247" t="s">
        <v>18056</v>
      </c>
      <c r="B247" t="s">
        <v>18056</v>
      </c>
      <c r="C247" t="s">
        <v>18065</v>
      </c>
      <c r="D247" t="s">
        <v>4517</v>
      </c>
      <c r="E247" t="s">
        <v>18066</v>
      </c>
      <c r="F247" t="s">
        <v>2655</v>
      </c>
      <c r="G247" t="s">
        <v>18047</v>
      </c>
      <c r="H247" t="s">
        <v>6741</v>
      </c>
      <c r="I247" t="s">
        <v>18045</v>
      </c>
      <c r="J247" t="s">
        <v>18046</v>
      </c>
      <c r="K247" t="s">
        <v>4517</v>
      </c>
      <c r="L247" t="s">
        <v>18076</v>
      </c>
      <c r="M247" t="s">
        <v>25</v>
      </c>
      <c r="N247" t="s">
        <v>18075</v>
      </c>
    </row>
    <row r="248" spans="1:23">
      <c r="A248" t="s">
        <v>18101</v>
      </c>
      <c r="B248" t="s">
        <v>18101</v>
      </c>
      <c r="C248" t="s">
        <v>18096</v>
      </c>
      <c r="D248" t="s">
        <v>4517</v>
      </c>
      <c r="E248" t="s">
        <v>18114</v>
      </c>
      <c r="F248" t="s">
        <v>2655</v>
      </c>
      <c r="G248" t="s">
        <v>6663</v>
      </c>
      <c r="H248" t="s">
        <v>4376</v>
      </c>
      <c r="I248" t="s">
        <v>18118</v>
      </c>
      <c r="J248" t="s">
        <v>18113</v>
      </c>
      <c r="K248" t="s">
        <v>4517</v>
      </c>
      <c r="L248" t="s">
        <v>6666</v>
      </c>
      <c r="M248" t="s">
        <v>25</v>
      </c>
      <c r="N248" t="s">
        <v>18107</v>
      </c>
    </row>
    <row r="249" spans="1:23">
      <c r="A249" t="s">
        <v>18102</v>
      </c>
      <c r="B249" t="s">
        <v>18102</v>
      </c>
      <c r="C249" t="s">
        <v>18097</v>
      </c>
      <c r="D249" t="s">
        <v>4517</v>
      </c>
      <c r="E249" t="s">
        <v>2656</v>
      </c>
      <c r="F249" t="s">
        <v>2655</v>
      </c>
      <c r="G249" t="s">
        <v>6663</v>
      </c>
      <c r="H249" t="s">
        <v>4376</v>
      </c>
      <c r="I249" t="s">
        <v>4789</v>
      </c>
      <c r="J249" t="s">
        <v>18113</v>
      </c>
      <c r="K249" t="s">
        <v>4517</v>
      </c>
      <c r="L249" t="s">
        <v>18091</v>
      </c>
      <c r="M249" t="s">
        <v>25</v>
      </c>
      <c r="N249" t="s">
        <v>18108</v>
      </c>
    </row>
    <row r="250" spans="1:23">
      <c r="A250" t="s">
        <v>18103</v>
      </c>
      <c r="B250" t="s">
        <v>18103</v>
      </c>
      <c r="C250" t="s">
        <v>18098</v>
      </c>
      <c r="D250" t="s">
        <v>4517</v>
      </c>
      <c r="E250" t="s">
        <v>18115</v>
      </c>
      <c r="F250" t="s">
        <v>2655</v>
      </c>
      <c r="G250" t="s">
        <v>6663</v>
      </c>
      <c r="H250" t="s">
        <v>6741</v>
      </c>
      <c r="I250" t="s">
        <v>18119</v>
      </c>
      <c r="J250" t="s">
        <v>18113</v>
      </c>
      <c r="K250" t="s">
        <v>4517</v>
      </c>
      <c r="L250" t="s">
        <v>18092</v>
      </c>
      <c r="M250" t="s">
        <v>25</v>
      </c>
      <c r="N250" t="s">
        <v>18109</v>
      </c>
    </row>
    <row r="251" spans="1:23">
      <c r="A251" t="s">
        <v>18104</v>
      </c>
      <c r="B251" t="s">
        <v>18104</v>
      </c>
      <c r="C251" t="s">
        <v>18099</v>
      </c>
      <c r="D251" t="s">
        <v>4517</v>
      </c>
      <c r="E251" t="s">
        <v>18116</v>
      </c>
      <c r="F251" t="s">
        <v>2655</v>
      </c>
      <c r="G251" t="s">
        <v>6663</v>
      </c>
      <c r="H251" t="s">
        <v>6741</v>
      </c>
      <c r="I251" s="39"/>
      <c r="J251" t="s">
        <v>18113</v>
      </c>
      <c r="K251" t="s">
        <v>4517</v>
      </c>
      <c r="L251" t="s">
        <v>18093</v>
      </c>
      <c r="M251" t="s">
        <v>25</v>
      </c>
      <c r="N251" t="s">
        <v>18110</v>
      </c>
    </row>
    <row r="252" spans="1:23">
      <c r="A252" t="s">
        <v>18106</v>
      </c>
      <c r="B252" t="s">
        <v>18106</v>
      </c>
      <c r="C252" t="s">
        <v>18098</v>
      </c>
      <c r="D252" t="s">
        <v>4517</v>
      </c>
      <c r="E252" t="s">
        <v>18115</v>
      </c>
      <c r="F252" t="s">
        <v>2655</v>
      </c>
      <c r="G252" t="s">
        <v>6663</v>
      </c>
      <c r="H252" t="s">
        <v>6741</v>
      </c>
      <c r="I252" t="s">
        <v>18120</v>
      </c>
      <c r="J252" t="s">
        <v>18113</v>
      </c>
      <c r="K252" t="s">
        <v>4517</v>
      </c>
      <c r="L252" t="s">
        <v>18094</v>
      </c>
      <c r="M252" t="s">
        <v>25</v>
      </c>
      <c r="N252" t="s">
        <v>18111</v>
      </c>
    </row>
    <row r="253" spans="1:23">
      <c r="A253" t="s">
        <v>18105</v>
      </c>
      <c r="B253" t="s">
        <v>18105</v>
      </c>
      <c r="C253" t="s">
        <v>18100</v>
      </c>
      <c r="D253" t="s">
        <v>4517</v>
      </c>
      <c r="E253" t="s">
        <v>18117</v>
      </c>
      <c r="F253" t="s">
        <v>2655</v>
      </c>
      <c r="G253" t="s">
        <v>6663</v>
      </c>
      <c r="H253" t="s">
        <v>4376</v>
      </c>
      <c r="I253" t="s">
        <v>18121</v>
      </c>
      <c r="J253" t="s">
        <v>18113</v>
      </c>
      <c r="K253" t="s">
        <v>4517</v>
      </c>
      <c r="L253" t="s">
        <v>18095</v>
      </c>
      <c r="M253" t="s">
        <v>25</v>
      </c>
      <c r="N253" t="s">
        <v>18112</v>
      </c>
    </row>
    <row r="254" spans="1:23">
      <c r="A254" t="s">
        <v>18129</v>
      </c>
      <c r="B254" t="s">
        <v>18129</v>
      </c>
      <c r="C254" t="s">
        <v>18128</v>
      </c>
      <c r="D254" t="s">
        <v>16928</v>
      </c>
      <c r="E254" t="s">
        <v>18127</v>
      </c>
      <c r="F254" t="s">
        <v>18125</v>
      </c>
      <c r="G254" t="s">
        <v>18126</v>
      </c>
      <c r="H254" t="s">
        <v>10703</v>
      </c>
      <c r="I254" t="s">
        <v>18124</v>
      </c>
      <c r="J254" t="s">
        <v>18123</v>
      </c>
      <c r="K254" t="s">
        <v>16928</v>
      </c>
      <c r="L254" t="s">
        <v>18642</v>
      </c>
      <c r="M254" t="s">
        <v>25</v>
      </c>
      <c r="N254" t="s">
        <v>18122</v>
      </c>
      <c r="S254" t="s">
        <v>18643</v>
      </c>
      <c r="T254" t="s">
        <v>18642</v>
      </c>
      <c r="U254" t="s">
        <v>4559</v>
      </c>
      <c r="V254" t="s">
        <v>18644</v>
      </c>
      <c r="W254" t="s">
        <v>4727</v>
      </c>
    </row>
    <row r="255" spans="1:23">
      <c r="A255" t="s">
        <v>18655</v>
      </c>
      <c r="B255" t="s">
        <v>18655</v>
      </c>
      <c r="C255" t="s">
        <v>18668</v>
      </c>
      <c r="D255" t="s">
        <v>4517</v>
      </c>
      <c r="E255" t="s">
        <v>4553</v>
      </c>
      <c r="F255" t="s">
        <v>2655</v>
      </c>
      <c r="G255" t="s">
        <v>14145</v>
      </c>
      <c r="H255" t="s">
        <v>4376</v>
      </c>
      <c r="I255" t="s">
        <v>8890</v>
      </c>
      <c r="J255" t="s">
        <v>16997</v>
      </c>
      <c r="K255" t="s">
        <v>4517</v>
      </c>
      <c r="L255" t="s">
        <v>18655</v>
      </c>
      <c r="M255" t="s">
        <v>25</v>
      </c>
      <c r="N255" t="s">
        <v>18682</v>
      </c>
      <c r="S255" t="s">
        <v>4517</v>
      </c>
      <c r="T255" t="s">
        <v>18655</v>
      </c>
      <c r="U255" t="s">
        <v>4559</v>
      </c>
      <c r="V255" t="s">
        <v>18705</v>
      </c>
    </row>
    <row r="256" spans="1:23">
      <c r="A256" t="s">
        <v>18700</v>
      </c>
      <c r="B256" t="s">
        <v>18700</v>
      </c>
      <c r="C256" t="s">
        <v>18669</v>
      </c>
      <c r="D256" t="s">
        <v>4517</v>
      </c>
      <c r="E256" t="s">
        <v>4553</v>
      </c>
      <c r="F256" t="s">
        <v>2655</v>
      </c>
      <c r="G256" t="s">
        <v>14145</v>
      </c>
      <c r="H256" t="s">
        <v>4376</v>
      </c>
      <c r="I256" t="s">
        <v>8890</v>
      </c>
      <c r="J256" t="s">
        <v>16997</v>
      </c>
      <c r="K256" t="s">
        <v>4517</v>
      </c>
      <c r="L256" t="s">
        <v>18700</v>
      </c>
      <c r="M256" t="s">
        <v>25</v>
      </c>
      <c r="N256" t="s">
        <v>18695</v>
      </c>
      <c r="S256" t="s">
        <v>4517</v>
      </c>
      <c r="T256" t="s">
        <v>18700</v>
      </c>
      <c r="U256" t="s">
        <v>4559</v>
      </c>
      <c r="V256" t="s">
        <v>18706</v>
      </c>
    </row>
    <row r="257" spans="1:22">
      <c r="A257" t="s">
        <v>18701</v>
      </c>
      <c r="B257" t="s">
        <v>18701</v>
      </c>
      <c r="C257" t="s">
        <v>18670</v>
      </c>
      <c r="D257" t="s">
        <v>4517</v>
      </c>
      <c r="E257" t="s">
        <v>4553</v>
      </c>
      <c r="F257" t="s">
        <v>2655</v>
      </c>
      <c r="G257" t="s">
        <v>14145</v>
      </c>
      <c r="H257" t="s">
        <v>4376</v>
      </c>
      <c r="I257" t="s">
        <v>8890</v>
      </c>
      <c r="J257" t="s">
        <v>16997</v>
      </c>
      <c r="K257" t="s">
        <v>4517</v>
      </c>
      <c r="L257" t="s">
        <v>18701</v>
      </c>
      <c r="M257" t="s">
        <v>25</v>
      </c>
      <c r="N257" t="s">
        <v>18696</v>
      </c>
      <c r="S257" t="s">
        <v>4517</v>
      </c>
      <c r="T257" t="s">
        <v>18701</v>
      </c>
      <c r="U257" t="s">
        <v>4559</v>
      </c>
      <c r="V257" t="s">
        <v>18707</v>
      </c>
    </row>
    <row r="258" spans="1:22">
      <c r="A258" t="s">
        <v>18702</v>
      </c>
      <c r="B258" t="s">
        <v>18702</v>
      </c>
      <c r="C258" t="s">
        <v>18671</v>
      </c>
      <c r="D258" t="s">
        <v>4517</v>
      </c>
      <c r="E258" t="s">
        <v>4553</v>
      </c>
      <c r="F258" t="s">
        <v>2655</v>
      </c>
      <c r="G258" t="s">
        <v>14145</v>
      </c>
      <c r="H258" t="s">
        <v>4376</v>
      </c>
      <c r="I258" t="s">
        <v>8890</v>
      </c>
      <c r="J258" t="s">
        <v>16997</v>
      </c>
      <c r="K258" t="s">
        <v>4517</v>
      </c>
      <c r="L258" t="s">
        <v>18702</v>
      </c>
      <c r="M258" t="s">
        <v>25</v>
      </c>
      <c r="N258" t="s">
        <v>18697</v>
      </c>
      <c r="S258" t="s">
        <v>4517</v>
      </c>
      <c r="T258" t="s">
        <v>18702</v>
      </c>
      <c r="U258" t="s">
        <v>4559</v>
      </c>
      <c r="V258" t="s">
        <v>18708</v>
      </c>
    </row>
    <row r="259" spans="1:22">
      <c r="A259" t="s">
        <v>18656</v>
      </c>
      <c r="B259" t="s">
        <v>18656</v>
      </c>
      <c r="C259" t="s">
        <v>18672</v>
      </c>
      <c r="D259" t="s">
        <v>4517</v>
      </c>
      <c r="E259" t="s">
        <v>4553</v>
      </c>
      <c r="F259" t="s">
        <v>2655</v>
      </c>
      <c r="G259" t="s">
        <v>14145</v>
      </c>
      <c r="H259" t="s">
        <v>4376</v>
      </c>
      <c r="I259" t="s">
        <v>8890</v>
      </c>
      <c r="J259" t="s">
        <v>16997</v>
      </c>
      <c r="K259" t="s">
        <v>4517</v>
      </c>
      <c r="L259" t="s">
        <v>18656</v>
      </c>
      <c r="M259" t="s">
        <v>25</v>
      </c>
      <c r="N259" t="s">
        <v>18683</v>
      </c>
    </row>
    <row r="260" spans="1:22">
      <c r="A260" t="s">
        <v>18657</v>
      </c>
      <c r="B260" t="s">
        <v>18657</v>
      </c>
      <c r="C260" t="s">
        <v>18673</v>
      </c>
      <c r="D260" t="s">
        <v>4517</v>
      </c>
      <c r="E260" t="s">
        <v>4553</v>
      </c>
      <c r="F260" t="s">
        <v>2655</v>
      </c>
      <c r="G260" t="s">
        <v>14145</v>
      </c>
      <c r="H260" t="s">
        <v>4376</v>
      </c>
      <c r="I260" t="s">
        <v>8890</v>
      </c>
      <c r="J260" t="s">
        <v>16997</v>
      </c>
      <c r="K260" t="s">
        <v>4517</v>
      </c>
      <c r="L260" t="s">
        <v>18657</v>
      </c>
      <c r="M260" t="s">
        <v>25</v>
      </c>
      <c r="N260" t="s">
        <v>18684</v>
      </c>
      <c r="S260" t="s">
        <v>4517</v>
      </c>
      <c r="T260" t="s">
        <v>18657</v>
      </c>
      <c r="U260" t="s">
        <v>4559</v>
      </c>
      <c r="V260" t="s">
        <v>18709</v>
      </c>
    </row>
    <row r="261" spans="1:22">
      <c r="A261" t="s">
        <v>18658</v>
      </c>
      <c r="B261" t="s">
        <v>18658</v>
      </c>
      <c r="C261" t="s">
        <v>18674</v>
      </c>
      <c r="D261" t="s">
        <v>4517</v>
      </c>
      <c r="E261" t="s">
        <v>4553</v>
      </c>
      <c r="F261" t="s">
        <v>2655</v>
      </c>
      <c r="G261" t="s">
        <v>14145</v>
      </c>
      <c r="H261" t="s">
        <v>4376</v>
      </c>
      <c r="I261" t="s">
        <v>8890</v>
      </c>
      <c r="J261" t="s">
        <v>16997</v>
      </c>
      <c r="K261" t="s">
        <v>4517</v>
      </c>
      <c r="L261" t="s">
        <v>18658</v>
      </c>
      <c r="M261" t="s">
        <v>25</v>
      </c>
      <c r="N261" t="s">
        <v>18685</v>
      </c>
      <c r="S261" t="s">
        <v>4517</v>
      </c>
      <c r="T261" t="s">
        <v>18658</v>
      </c>
      <c r="U261" t="s">
        <v>4559</v>
      </c>
      <c r="V261" t="s">
        <v>18710</v>
      </c>
    </row>
    <row r="262" spans="1:22">
      <c r="A262" t="s">
        <v>18703</v>
      </c>
      <c r="B262" t="s">
        <v>18703</v>
      </c>
      <c r="C262" t="s">
        <v>18675</v>
      </c>
      <c r="D262" t="s">
        <v>4517</v>
      </c>
      <c r="E262" t="s">
        <v>4553</v>
      </c>
      <c r="F262" t="s">
        <v>2655</v>
      </c>
      <c r="G262" t="s">
        <v>14145</v>
      </c>
      <c r="H262" t="s">
        <v>4376</v>
      </c>
      <c r="I262" t="s">
        <v>8890</v>
      </c>
      <c r="J262" t="s">
        <v>16997</v>
      </c>
      <c r="K262" t="s">
        <v>4517</v>
      </c>
      <c r="L262" t="s">
        <v>18703</v>
      </c>
      <c r="M262" t="s">
        <v>25</v>
      </c>
      <c r="N262" t="s">
        <v>18698</v>
      </c>
      <c r="S262" t="s">
        <v>4517</v>
      </c>
      <c r="T262" t="s">
        <v>18703</v>
      </c>
      <c r="U262" t="s">
        <v>4559</v>
      </c>
      <c r="V262" t="s">
        <v>18711</v>
      </c>
    </row>
    <row r="263" spans="1:22">
      <c r="A263" t="s">
        <v>18704</v>
      </c>
      <c r="B263" t="s">
        <v>18704</v>
      </c>
      <c r="C263" t="s">
        <v>18676</v>
      </c>
      <c r="D263" t="s">
        <v>4517</v>
      </c>
      <c r="E263" t="s">
        <v>4553</v>
      </c>
      <c r="F263" t="s">
        <v>2655</v>
      </c>
      <c r="G263" t="s">
        <v>14145</v>
      </c>
      <c r="H263" t="s">
        <v>4376</v>
      </c>
      <c r="I263" t="s">
        <v>8890</v>
      </c>
      <c r="J263" t="s">
        <v>16997</v>
      </c>
      <c r="K263" t="s">
        <v>4517</v>
      </c>
      <c r="L263" t="s">
        <v>18704</v>
      </c>
      <c r="M263" t="s">
        <v>25</v>
      </c>
      <c r="N263" t="s">
        <v>18699</v>
      </c>
      <c r="S263" t="s">
        <v>4517</v>
      </c>
      <c r="T263" t="s">
        <v>18704</v>
      </c>
      <c r="U263" t="s">
        <v>4559</v>
      </c>
      <c r="V263" t="s">
        <v>18708</v>
      </c>
    </row>
    <row r="264" spans="1:22">
      <c r="A264" t="s">
        <v>18659</v>
      </c>
      <c r="B264" t="s">
        <v>18659</v>
      </c>
      <c r="C264" t="s">
        <v>18677</v>
      </c>
      <c r="D264" t="s">
        <v>4517</v>
      </c>
      <c r="E264" t="s">
        <v>4553</v>
      </c>
      <c r="F264" t="s">
        <v>2655</v>
      </c>
      <c r="G264" t="s">
        <v>14145</v>
      </c>
      <c r="H264" t="s">
        <v>4376</v>
      </c>
      <c r="I264" t="s">
        <v>8890</v>
      </c>
      <c r="J264" t="s">
        <v>16997</v>
      </c>
      <c r="K264" t="s">
        <v>4517</v>
      </c>
      <c r="L264" t="s">
        <v>18659</v>
      </c>
      <c r="M264" t="s">
        <v>25</v>
      </c>
      <c r="N264" t="s">
        <v>18686</v>
      </c>
      <c r="S264" t="s">
        <v>4517</v>
      </c>
      <c r="T264" t="s">
        <v>18659</v>
      </c>
      <c r="U264" t="s">
        <v>4559</v>
      </c>
      <c r="V264" t="s">
        <v>18712</v>
      </c>
    </row>
    <row r="265" spans="1:22">
      <c r="A265" t="s">
        <v>18660</v>
      </c>
      <c r="B265" t="s">
        <v>18660</v>
      </c>
      <c r="C265" t="s">
        <v>18673</v>
      </c>
      <c r="D265" t="s">
        <v>4517</v>
      </c>
      <c r="E265" t="s">
        <v>4553</v>
      </c>
      <c r="F265" t="s">
        <v>2655</v>
      </c>
      <c r="G265" t="s">
        <v>14145</v>
      </c>
      <c r="H265" t="s">
        <v>4376</v>
      </c>
      <c r="I265" t="s">
        <v>8890</v>
      </c>
      <c r="J265" t="s">
        <v>16997</v>
      </c>
      <c r="K265" t="s">
        <v>4517</v>
      </c>
      <c r="L265" t="s">
        <v>18660</v>
      </c>
      <c r="M265" t="s">
        <v>25</v>
      </c>
      <c r="N265" t="s">
        <v>18687</v>
      </c>
      <c r="S265" t="s">
        <v>4517</v>
      </c>
      <c r="T265" t="s">
        <v>18660</v>
      </c>
      <c r="U265" t="s">
        <v>4559</v>
      </c>
      <c r="V265" t="s">
        <v>18709</v>
      </c>
    </row>
    <row r="266" spans="1:22">
      <c r="A266" t="s">
        <v>18661</v>
      </c>
      <c r="B266" t="s">
        <v>18661</v>
      </c>
      <c r="C266" t="s">
        <v>18678</v>
      </c>
      <c r="D266" t="s">
        <v>4517</v>
      </c>
      <c r="E266" t="s">
        <v>4553</v>
      </c>
      <c r="F266" t="s">
        <v>2655</v>
      </c>
      <c r="G266" t="s">
        <v>14145</v>
      </c>
      <c r="H266" t="s">
        <v>4376</v>
      </c>
      <c r="I266" t="s">
        <v>8890</v>
      </c>
      <c r="J266" t="s">
        <v>16997</v>
      </c>
      <c r="K266" t="s">
        <v>4517</v>
      </c>
      <c r="L266" t="s">
        <v>18661</v>
      </c>
      <c r="M266" t="s">
        <v>25</v>
      </c>
      <c r="N266" t="s">
        <v>18688</v>
      </c>
    </row>
    <row r="267" spans="1:22">
      <c r="A267" t="s">
        <v>18662</v>
      </c>
      <c r="B267" t="s">
        <v>18662</v>
      </c>
      <c r="C267" t="s">
        <v>18671</v>
      </c>
      <c r="D267" t="s">
        <v>4517</v>
      </c>
      <c r="E267" t="s">
        <v>4553</v>
      </c>
      <c r="F267" t="s">
        <v>2655</v>
      </c>
      <c r="G267" t="s">
        <v>14145</v>
      </c>
      <c r="H267" t="s">
        <v>4376</v>
      </c>
      <c r="I267" t="s">
        <v>8890</v>
      </c>
      <c r="J267" t="s">
        <v>16997</v>
      </c>
      <c r="K267" t="s">
        <v>4517</v>
      </c>
      <c r="L267" t="s">
        <v>18662</v>
      </c>
      <c r="M267" t="s">
        <v>25</v>
      </c>
      <c r="N267" t="s">
        <v>18689</v>
      </c>
      <c r="S267" t="s">
        <v>4517</v>
      </c>
      <c r="T267" t="s">
        <v>18662</v>
      </c>
      <c r="U267" t="s">
        <v>4559</v>
      </c>
      <c r="V267" t="s">
        <v>18708</v>
      </c>
    </row>
    <row r="268" spans="1:22">
      <c r="A268" t="s">
        <v>18663</v>
      </c>
      <c r="B268" t="s">
        <v>18663</v>
      </c>
      <c r="C268" t="s">
        <v>18679</v>
      </c>
      <c r="D268" t="s">
        <v>4517</v>
      </c>
      <c r="E268" t="s">
        <v>4553</v>
      </c>
      <c r="F268" t="s">
        <v>2655</v>
      </c>
      <c r="G268" t="s">
        <v>14145</v>
      </c>
      <c r="H268" t="s">
        <v>4376</v>
      </c>
      <c r="I268" t="s">
        <v>8890</v>
      </c>
      <c r="J268" t="s">
        <v>16997</v>
      </c>
      <c r="K268" t="s">
        <v>4517</v>
      </c>
      <c r="L268" t="s">
        <v>18663</v>
      </c>
      <c r="M268" t="s">
        <v>25</v>
      </c>
      <c r="N268" t="s">
        <v>18690</v>
      </c>
    </row>
    <row r="269" spans="1:22">
      <c r="A269" t="s">
        <v>18664</v>
      </c>
      <c r="B269" t="s">
        <v>18664</v>
      </c>
      <c r="C269" t="s">
        <v>18680</v>
      </c>
      <c r="D269" t="s">
        <v>4517</v>
      </c>
      <c r="E269" t="s">
        <v>4553</v>
      </c>
      <c r="F269" t="s">
        <v>2655</v>
      </c>
      <c r="G269" t="s">
        <v>14145</v>
      </c>
      <c r="H269" t="s">
        <v>4376</v>
      </c>
      <c r="I269" t="s">
        <v>8890</v>
      </c>
      <c r="J269" t="s">
        <v>16997</v>
      </c>
      <c r="K269" t="s">
        <v>4517</v>
      </c>
      <c r="L269" t="s">
        <v>18664</v>
      </c>
      <c r="M269" t="s">
        <v>25</v>
      </c>
      <c r="N269" t="s">
        <v>18691</v>
      </c>
    </row>
    <row r="270" spans="1:22">
      <c r="A270" t="s">
        <v>18665</v>
      </c>
      <c r="B270" t="s">
        <v>18665</v>
      </c>
      <c r="C270" t="s">
        <v>18681</v>
      </c>
      <c r="D270" t="s">
        <v>4517</v>
      </c>
      <c r="E270" t="s">
        <v>4553</v>
      </c>
      <c r="F270" t="s">
        <v>2655</v>
      </c>
      <c r="G270" t="s">
        <v>14145</v>
      </c>
      <c r="H270" t="s">
        <v>4376</v>
      </c>
      <c r="I270" t="s">
        <v>8890</v>
      </c>
      <c r="J270" t="s">
        <v>16997</v>
      </c>
      <c r="K270" t="s">
        <v>4517</v>
      </c>
      <c r="L270" t="s">
        <v>18665</v>
      </c>
      <c r="M270" t="s">
        <v>25</v>
      </c>
      <c r="N270" t="s">
        <v>18692</v>
      </c>
      <c r="S270" t="s">
        <v>4517</v>
      </c>
      <c r="T270" t="s">
        <v>18714</v>
      </c>
      <c r="U270" t="s">
        <v>4559</v>
      </c>
      <c r="V270" t="s">
        <v>18713</v>
      </c>
    </row>
    <row r="271" spans="1:22">
      <c r="A271" t="s">
        <v>18666</v>
      </c>
      <c r="B271" t="s">
        <v>18666</v>
      </c>
      <c r="C271" t="s">
        <v>18670</v>
      </c>
      <c r="D271" t="s">
        <v>4517</v>
      </c>
      <c r="E271" t="s">
        <v>4553</v>
      </c>
      <c r="F271" t="s">
        <v>2655</v>
      </c>
      <c r="G271" t="s">
        <v>14145</v>
      </c>
      <c r="H271" t="s">
        <v>4376</v>
      </c>
      <c r="I271" t="s">
        <v>8890</v>
      </c>
      <c r="J271" t="s">
        <v>16997</v>
      </c>
      <c r="K271" t="s">
        <v>4517</v>
      </c>
      <c r="L271" t="s">
        <v>18666</v>
      </c>
      <c r="M271" t="s">
        <v>25</v>
      </c>
      <c r="N271" t="s">
        <v>18693</v>
      </c>
      <c r="S271" t="s">
        <v>4517</v>
      </c>
      <c r="T271" t="s">
        <v>18701</v>
      </c>
      <c r="U271" t="s">
        <v>4559</v>
      </c>
      <c r="V271" t="s">
        <v>18707</v>
      </c>
    </row>
    <row r="272" spans="1:22">
      <c r="A272" t="s">
        <v>18667</v>
      </c>
      <c r="B272" t="s">
        <v>18667</v>
      </c>
      <c r="C272" t="s">
        <v>18668</v>
      </c>
      <c r="D272" t="s">
        <v>4517</v>
      </c>
      <c r="E272" t="s">
        <v>4553</v>
      </c>
      <c r="F272" t="s">
        <v>2655</v>
      </c>
      <c r="G272" t="s">
        <v>14145</v>
      </c>
      <c r="H272" t="s">
        <v>4376</v>
      </c>
      <c r="I272" t="s">
        <v>8890</v>
      </c>
      <c r="J272" t="s">
        <v>16997</v>
      </c>
      <c r="K272" t="s">
        <v>4517</v>
      </c>
      <c r="L272" t="s">
        <v>18667</v>
      </c>
      <c r="M272" t="s">
        <v>25</v>
      </c>
      <c r="N272" t="s">
        <v>18694</v>
      </c>
      <c r="S272" t="s">
        <v>4517</v>
      </c>
      <c r="T272" t="s">
        <v>18655</v>
      </c>
      <c r="U272" t="s">
        <v>4559</v>
      </c>
      <c r="V272" t="s">
        <v>18705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B245" activePane="bottomRight" state="frozen"/>
      <selection pane="topRight" activeCell="B1" sqref="B1"/>
      <selection pane="bottomLeft" activeCell="A2" sqref="A2"/>
      <selection pane="bottomRight" activeCell="S276" sqref="S276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  <row r="276" spans="1:23">
      <c r="A276" t="s">
        <v>18132</v>
      </c>
      <c r="B276" t="s">
        <v>18132</v>
      </c>
      <c r="C276" t="s">
        <v>18133</v>
      </c>
      <c r="D276" t="s">
        <v>13332</v>
      </c>
      <c r="F276" t="s">
        <v>2655</v>
      </c>
      <c r="G276" t="s">
        <v>18134</v>
      </c>
      <c r="H276" t="s">
        <v>13059</v>
      </c>
      <c r="I276" t="s">
        <v>18135</v>
      </c>
      <c r="J276" t="s">
        <v>18138</v>
      </c>
      <c r="K276" t="s">
        <v>13332</v>
      </c>
      <c r="L276" t="s">
        <v>18137</v>
      </c>
      <c r="M276" t="s">
        <v>25</v>
      </c>
      <c r="N276" t="s">
        <v>18136</v>
      </c>
      <c r="S276" t="s">
        <v>18141</v>
      </c>
      <c r="T276" t="s">
        <v>18140</v>
      </c>
      <c r="U276" t="s">
        <v>4559</v>
      </c>
      <c r="V276" t="s">
        <v>18139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2026-07-24T13:26:33Z</dcterms:modified>
</cp:coreProperties>
</file>